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HERMETİK YAĞ DİLEKÇESİ" sheetId="7" state="visible" r:id="rId7"/>
    <sheet xmlns:r="http://schemas.openxmlformats.org/officeDocument/2006/relationships" name="TOPRAKLAMALAR" sheetId="8" state="visible" r:id="rId8"/>
    <sheet xmlns:r="http://schemas.openxmlformats.org/officeDocument/2006/relationships" name="HV PF" sheetId="9" state="visible" r:id="rId9"/>
    <sheet xmlns:r="http://schemas.openxmlformats.org/officeDocument/2006/relationships" name="LV PF" sheetId="10" state="visible" r:id="rId10"/>
    <sheet xmlns:r="http://schemas.openxmlformats.org/officeDocument/2006/relationships" name="ANA SAYFA KESİCİ" sheetId="11" state="visible" r:id="rId11"/>
    <sheet xmlns:r="http://schemas.openxmlformats.org/officeDocument/2006/relationships" name="KESİCİ İZOLASYON" sheetId="12" state="visible" r:id="rId12"/>
    <sheet xmlns:r="http://schemas.openxmlformats.org/officeDocument/2006/relationships" name="KESİCİ KONTAK" sheetId="13" state="visible" r:id="rId13"/>
    <sheet xmlns:r="http://schemas.openxmlformats.org/officeDocument/2006/relationships" name="AÇMA-KAPAMA" sheetId="14" state="visible" r:id="rId14"/>
    <sheet xmlns:r="http://schemas.openxmlformats.org/officeDocument/2006/relationships" name="DİĞER" sheetId="15" state="visible" r:id="rId15"/>
    <sheet xmlns:r="http://schemas.openxmlformats.org/officeDocument/2006/relationships" name="AKIM TRAFOLAR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i val="1"/>
      <color theme="1"/>
      <sz val="12"/>
      <scheme val="minor"/>
    </font>
    <font>
      <name val="Calibri"/>
      <charset val="162"/>
      <family val="2"/>
      <i val="1"/>
      <color theme="1"/>
      <sz val="11"/>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
      <patternFill patternType="solid">
        <fgColor rgb="FF00B0F0"/>
        <bgColor indexed="64"/>
      </patternFill>
    </fill>
    <fill>
      <patternFill patternType="solid">
        <fgColor rgb="FFBAE18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s>
  <cellStyleXfs count="4">
    <xf numFmtId="0" fontId="0" fillId="0" borderId="0"/>
    <xf numFmtId="0" fontId="19" fillId="2" borderId="0"/>
    <xf numFmtId="0" fontId="27" fillId="4" borderId="28"/>
    <xf numFmtId="0" fontId="32" fillId="0" borderId="0"/>
  </cellStyleXfs>
  <cellXfs count="643">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7" fillId="5" borderId="33" applyAlignment="1" pivotButton="0" quotePrefix="0" xfId="0">
      <alignment horizontal="center" vertical="top"/>
    </xf>
    <xf numFmtId="0" fontId="0" fillId="5" borderId="33" applyAlignment="1" pivotButton="0" quotePrefix="0" xfId="0">
      <alignment horizontal="left" vertical="top" wrapText="1"/>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4" applyAlignment="1" pivotButton="0" quotePrefix="0" xfId="0">
      <alignment horizontal="left" vertical="center"/>
    </xf>
    <xf numFmtId="14" fontId="11" fillId="0" borderId="4" applyAlignment="1" pivotButton="0" quotePrefix="0" xfId="0">
      <alignment horizontal="left" vertical="center" wrapText="1"/>
    </xf>
    <xf numFmtId="0" fontId="10" fillId="0" borderId="5" applyAlignment="1" pivotButton="0" quotePrefix="0" xfId="0">
      <alignment vertical="center"/>
    </xf>
    <xf numFmtId="0" fontId="9" fillId="0" borderId="1" applyAlignment="1" pivotButton="0" quotePrefix="0" xfId="0">
      <alignment horizontal="center" vertical="top" wrapText="1"/>
    </xf>
    <xf numFmtId="0" fontId="35" fillId="5" borderId="1" applyAlignment="1" pivotButton="0" quotePrefix="0" xfId="0">
      <alignment horizontal="center" vertical="center"/>
    </xf>
    <xf numFmtId="0" fontId="10" fillId="0" borderId="10" applyAlignment="1" pivotButton="0" quotePrefix="0" xfId="0">
      <alignment vertical="center"/>
    </xf>
    <xf numFmtId="0" fontId="36" fillId="7" borderId="1" applyAlignment="1" pivotButton="0" quotePrefix="0" xfId="0">
      <alignment horizontal="center" vertical="center" textRotation="90"/>
    </xf>
    <xf numFmtId="0" fontId="0" fillId="0" borderId="33" pivotButton="0" quotePrefix="0" xfId="0"/>
    <xf numFmtId="0" fontId="11" fillId="0" borderId="10" applyAlignment="1" pivotButton="0" quotePrefix="0" xfId="0">
      <alignment horizontal="center" vertical="center"/>
    </xf>
    <xf numFmtId="0" fontId="0" fillId="0" borderId="31" pivotButton="0" quotePrefix="0" xfId="0"/>
    <xf numFmtId="0" fontId="37" fillId="8" borderId="1" applyAlignment="1" pivotButton="0" quotePrefix="0" xfId="0">
      <alignment horizontal="center" vertical="center" textRotation="90"/>
    </xf>
    <xf numFmtId="0" fontId="0" fillId="5" borderId="11" applyAlignment="1" pivotButton="0" quotePrefix="0" xfId="0">
      <alignment vertical="center" textRotation="90"/>
    </xf>
    <xf numFmtId="0" fontId="21" fillId="0" borderId="33" applyAlignment="1" pivotButton="0" quotePrefix="0" xfId="0">
      <alignment horizontal="left" vertical="top" wrapText="1"/>
    </xf>
    <xf numFmtId="0" fontId="6" fillId="0" borderId="1" applyAlignment="1" pivotButton="0" quotePrefix="0" xfId="0">
      <alignment horizontal="left" vertical="top" wrapText="1"/>
    </xf>
    <xf numFmtId="0" fontId="12" fillId="0" borderId="0" applyAlignment="1" pivotButton="0" quotePrefix="0" xfId="0">
      <alignment vertical="center"/>
    </xf>
    <xf numFmtId="0" fontId="12" fillId="0" borderId="5" applyAlignment="1" pivotButton="0" quotePrefix="0" xfId="0">
      <alignment vertical="center"/>
    </xf>
    <xf numFmtId="0" fontId="12" fillId="0" borderId="6" applyAlignment="1" pivotButton="0" quotePrefix="0" xfId="0">
      <alignment vertical="center"/>
    </xf>
    <xf numFmtId="0" fontId="12" fillId="0" borderId="7"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0" fontId="6" fillId="0" borderId="36" applyAlignment="1" pivotButton="0" quotePrefix="0" xfId="0">
      <alignment horizontal="center" vertical="center"/>
    </xf>
    <xf numFmtId="0" fontId="0" fillId="0" borderId="36" pivotButton="0" quotePrefix="0" xfId="0"/>
    <xf numFmtId="0" fontId="0" fillId="0" borderId="24" applyAlignment="1" pivotButton="0" quotePrefix="0" xfId="0">
      <alignment vertical="center"/>
    </xf>
    <xf numFmtId="0" fontId="22" fillId="0" borderId="1" applyAlignment="1" pivotButton="0" quotePrefix="0" xfId="0">
      <alignment horizontal="center"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10" applyAlignment="1" pivotButton="0" quotePrefix="0" xfId="0">
      <alignment vertical="center"/>
    </xf>
    <xf numFmtId="0" fontId="6" fillId="0" borderId="11" applyAlignment="1" pivotButton="0" quotePrefix="0" xfId="0">
      <alignment horizontal="center"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6" fillId="0" borderId="8" applyAlignment="1" pivotButton="0" quotePrefix="0" xfId="0">
      <alignment horizontal="right" vertical="center"/>
    </xf>
    <xf numFmtId="0" fontId="6" fillId="0" borderId="10" applyAlignment="1" pivotButton="0" quotePrefix="0" xfId="0">
      <alignment horizontal="center" vertical="center"/>
    </xf>
    <xf numFmtId="164" fontId="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6" fillId="0" borderId="0" applyAlignment="1" pivotButton="0" quotePrefix="0" xfId="0">
      <alignment horizontal="right" vertical="center"/>
    </xf>
    <xf numFmtId="164" fontId="6" fillId="0" borderId="0" applyAlignment="1" pivotButton="0" quotePrefix="0" xfId="0">
      <alignment vertical="center"/>
    </xf>
    <xf numFmtId="164" fontId="6" fillId="0" borderId="8" applyAlignment="1" pivotButton="0" quotePrefix="0" xfId="0">
      <alignment horizontal="right"/>
    </xf>
    <xf numFmtId="2" fontId="0"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0" fillId="0" borderId="0" pivotButton="0" quotePrefix="0" xfId="0"/>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0" fontId="7" fillId="0" borderId="9" applyAlignment="1" pivotButton="0" quotePrefix="0" xfId="0">
      <alignment vertical="center"/>
    </xf>
    <xf numFmtId="2" fontId="7" fillId="0" borderId="1" applyAlignment="1" pivotButton="0" quotePrefix="0" xfId="0">
      <alignment horizontal="center" vertical="center"/>
    </xf>
    <xf numFmtId="0" fontId="0" fillId="0" borderId="9" applyAlignment="1" pivotButton="0" quotePrefix="0" xfId="0">
      <alignment vertical="center"/>
    </xf>
    <xf numFmtId="2" fontId="0" fillId="0" borderId="0"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20" fillId="0" borderId="12" applyAlignment="1" pivotButton="0" quotePrefix="0" xfId="0">
      <alignment horizontal="left" vertical="top" wrapText="1"/>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8" fillId="0" borderId="33" applyAlignment="1" pivotButton="0" quotePrefix="0" xfId="0">
      <alignment horizontal="center"/>
    </xf>
    <xf numFmtId="0" fontId="39"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0" fillId="0" borderId="7" applyAlignment="1" pivotButton="0" quotePrefix="0" xfId="0">
      <alignment horizontal="left"/>
    </xf>
    <xf numFmtId="0" fontId="0" fillId="0" borderId="0" applyAlignment="1" pivotButton="0" quotePrefix="0" xfId="0">
      <alignment horizontal="center" vertical="center"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_rels/drawing14.xml.rels><Relationships xmlns="http://schemas.openxmlformats.org/package/2006/relationships"><Relationship Type="http://schemas.openxmlformats.org/officeDocument/2006/relationships/image" Target="/xl/media/image17.png" Id="rId1"/></Relationships>
</file>

<file path=xl/drawings/_rels/drawing15.xml.rels><Relationships xmlns="http://schemas.openxmlformats.org/package/2006/relationships"><Relationship Type="http://schemas.openxmlformats.org/officeDocument/2006/relationships/image" Target="/xl/media/image18.png" Id="rId1"/></Relationships>
</file>

<file path=xl/drawings/_rels/drawing16.xml.rels><Relationships xmlns="http://schemas.openxmlformats.org/package/2006/relationships"><Relationship Type="http://schemas.openxmlformats.org/officeDocument/2006/relationships/image" Target="/xl/media/image19.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C43" s="47" t="n"/>
      <c r="D43" s="47" t="n"/>
      <c r="E43" s="47" t="n"/>
      <c r="F43" s="47" t="n"/>
      <c r="G43" s="47" t="n"/>
      <c r="H43" s="47" t="n"/>
      <c r="I43" s="47" t="n"/>
      <c r="J43" s="47" t="n"/>
      <c r="K43" s="47" t="n"/>
      <c r="L43" s="47" t="n"/>
      <c r="M43" s="47" t="n"/>
      <c r="N43" s="47" t="n"/>
      <c r="O43" s="47" t="n"/>
      <c r="P43" s="47" t="n"/>
      <c r="Q43" s="47" t="n"/>
      <c r="R43" s="47" t="n"/>
      <c r="S43" s="211" t="n"/>
      <c r="T43" s="11" t="n"/>
    </row>
    <row r="44" ht="15.75" customHeight="1" s="227">
      <c r="A44" s="10" t="n"/>
      <c r="B44" s="62" t="n"/>
      <c r="S44" s="212"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B45" s="62" t="n"/>
      <c r="S45" s="212"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B46" s="62" t="n"/>
      <c r="S46" s="212"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B47" s="62" t="n"/>
      <c r="S47" s="212"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B48" s="62" t="n"/>
      <c r="S48" s="212"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B49" s="62" t="n"/>
      <c r="S49" s="212"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B50" s="62" t="n"/>
      <c r="S50" s="212"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B51" s="49" t="n"/>
      <c r="C51" s="50" t="n"/>
      <c r="D51" s="50" t="n"/>
      <c r="E51" s="50" t="n"/>
      <c r="F51" s="50" t="n"/>
      <c r="G51" s="50" t="n"/>
      <c r="H51" s="50" t="n"/>
      <c r="I51" s="50" t="n"/>
      <c r="J51" s="50" t="n"/>
      <c r="K51" s="50" t="n"/>
      <c r="L51" s="50" t="n"/>
      <c r="M51" s="50" t="n"/>
      <c r="N51" s="50" t="n"/>
      <c r="O51" s="50" t="n"/>
      <c r="P51" s="50" t="n"/>
      <c r="Q51" s="50" t="n"/>
      <c r="R51" s="50" t="n"/>
      <c r="S51" s="213"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1">
    <mergeCell ref="G55:J55"/>
    <mergeCell ref="F68:G68"/>
    <mergeCell ref="AL57:AN57"/>
    <mergeCell ref="V44:AD44"/>
    <mergeCell ref="AL66:AN66"/>
    <mergeCell ref="L66:M66"/>
    <mergeCell ref="AF62:AN62"/>
    <mergeCell ref="B78:J78"/>
    <mergeCell ref="L68:M68"/>
    <mergeCell ref="K5:S6"/>
    <mergeCell ref="V66:X66"/>
    <mergeCell ref="B43:S51"/>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514" t="inlineStr">
        <is>
          <t>FİRMA YETKİLİLERİNİN DİKKATİNE</t>
        </is>
      </c>
      <c r="Q8" s="212" t="n"/>
      <c r="R8" s="11" t="n"/>
    </row>
    <row r="9" ht="6.75" customHeight="1" s="227">
      <c r="A9" s="10" t="n"/>
      <c r="B9" s="62" t="n"/>
      <c r="Q9" s="212" t="n"/>
      <c r="R9" s="11" t="n"/>
    </row>
    <row r="10" ht="18.75" customHeight="1" s="227">
      <c r="A10" s="10" t="n"/>
      <c r="B10" s="515"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703125" customWidth="1" style="227" min="1" max="1"/>
    <col width="5.140625" customWidth="1" style="227" min="2" max="2"/>
    <col width="5.42578125" customWidth="1" style="227" min="4" max="4"/>
    <col width="4.85546875" customWidth="1" style="227" min="8" max="8"/>
    <col width="4.7109375" customWidth="1" style="227" min="10" max="10"/>
    <col width="5.85546875" customWidth="1" style="227" min="11" max="11"/>
    <col width="3.570312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516"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7" t="inlineStr">
        <is>
          <t>Max. Ω</t>
        </is>
      </c>
      <c r="C16" s="482" t="n"/>
      <c r="D16" s="517" t="n">
        <v>4</v>
      </c>
      <c r="E16" s="482" t="n"/>
      <c r="F16" s="518" t="inlineStr">
        <is>
          <t>Ω</t>
        </is>
      </c>
      <c r="G16" s="482" t="n"/>
      <c r="H16" s="397" t="inlineStr">
        <is>
          <t>Ölçülen</t>
        </is>
      </c>
      <c r="I16" s="99" t="n"/>
      <c r="J16" s="519" t="inlineStr">
        <is>
          <t>Ω</t>
        </is>
      </c>
      <c r="K16" s="375">
        <f>'ANA SAYFA'!H42</f>
        <v/>
      </c>
      <c r="L16" s="99" t="n"/>
      <c r="M16" s="519" t="inlineStr">
        <is>
          <t>Ω</t>
        </is>
      </c>
      <c r="N16" s="440">
        <f>IF(K16&lt;D16,W18,Y18)</f>
        <v/>
      </c>
      <c r="O16" s="99" t="n"/>
      <c r="P16" s="99" t="n"/>
      <c r="Q16" s="482" t="n"/>
      <c r="R16" s="11" t="n"/>
    </row>
    <row r="17" ht="15" customHeight="1" s="227">
      <c r="A17" s="10" t="n"/>
      <c r="B17" s="520" t="n"/>
      <c r="C17" s="521" t="n"/>
      <c r="D17" s="521" t="n"/>
      <c r="E17" s="521" t="n"/>
      <c r="F17" s="521" t="n"/>
      <c r="G17" s="521" t="n"/>
      <c r="H17" s="40" t="n"/>
      <c r="I17" s="40" t="n"/>
      <c r="J17" s="40" t="n"/>
      <c r="K17" s="52" t="n"/>
      <c r="L17" s="52" t="n"/>
      <c r="M17" s="40" t="n"/>
      <c r="N17" s="522" t="n"/>
      <c r="O17" s="522" t="n"/>
      <c r="P17" s="47" t="n"/>
      <c r="Q17" s="428" t="n"/>
      <c r="R17" s="11" t="n"/>
    </row>
    <row r="18" ht="15" customHeight="1" s="227">
      <c r="A18" s="10" t="n"/>
      <c r="B18" s="523" t="n"/>
      <c r="C18" s="45" t="n"/>
      <c r="D18" s="45" t="n"/>
      <c r="E18" s="45" t="n"/>
      <c r="F18" s="45" t="n"/>
      <c r="G18" s="45" t="n"/>
      <c r="H18" s="45" t="n"/>
      <c r="I18" s="45" t="n"/>
      <c r="J18" s="45" t="n"/>
      <c r="K18" s="45" t="n"/>
      <c r="L18" s="45" t="n"/>
      <c r="M18" s="45" t="n"/>
      <c r="N18" s="45" t="n"/>
      <c r="O18" s="45" t="n"/>
      <c r="P18" s="45" t="n"/>
      <c r="Q18" s="524" t="n"/>
      <c r="R18" s="11" t="n"/>
      <c r="W18" s="303" t="inlineStr">
        <is>
          <t>UYGUN</t>
        </is>
      </c>
      <c r="Y18" s="303" t="inlineStr">
        <is>
          <t>UYGUN DEĞİL</t>
        </is>
      </c>
    </row>
    <row r="19" ht="15" customHeight="1" s="227">
      <c r="A19" s="10" t="n"/>
      <c r="B19" s="523" t="n"/>
      <c r="C19" s="45" t="n"/>
      <c r="D19" s="45" t="n"/>
      <c r="E19" s="45" t="n"/>
      <c r="F19" s="45" t="n"/>
      <c r="G19" s="45" t="n"/>
      <c r="H19" s="45" t="n"/>
      <c r="I19" s="45" t="n"/>
      <c r="J19" s="45" t="n"/>
      <c r="K19" s="45" t="n"/>
      <c r="L19" s="45" t="n"/>
      <c r="M19" s="45" t="n"/>
      <c r="N19" s="45" t="n"/>
      <c r="O19" s="45" t="n"/>
      <c r="P19" s="45" t="n"/>
      <c r="Q19" s="524" t="n"/>
      <c r="R19" s="11" t="n"/>
    </row>
    <row r="20" ht="15" customHeight="1" s="227">
      <c r="A20" s="10" t="n"/>
      <c r="B20" s="523" t="n"/>
      <c r="C20" s="45" t="n"/>
      <c r="D20" s="45" t="n"/>
      <c r="E20" s="45" t="n"/>
      <c r="F20" s="45" t="n"/>
      <c r="G20" s="45" t="n"/>
      <c r="H20" s="45" t="n"/>
      <c r="I20" s="45" t="n"/>
      <c r="J20" s="45" t="n"/>
      <c r="K20" s="45" t="n"/>
      <c r="L20" s="45" t="n"/>
      <c r="M20" s="45" t="n"/>
      <c r="N20" s="45" t="n"/>
      <c r="O20" s="45" t="n"/>
      <c r="P20" s="45" t="n"/>
      <c r="Q20" s="524" t="n"/>
      <c r="R20" s="11" t="n"/>
    </row>
    <row r="21" ht="15" customHeight="1" s="227">
      <c r="A21" s="10" t="n"/>
      <c r="B21" s="523" t="n"/>
      <c r="C21" s="45" t="n"/>
      <c r="D21" s="45" t="n"/>
      <c r="E21" s="45" t="n"/>
      <c r="F21" s="45" t="n"/>
      <c r="G21" s="45" t="n"/>
      <c r="H21" s="45" t="n"/>
      <c r="I21" s="45" t="n"/>
      <c r="J21" s="45" t="n"/>
      <c r="K21" s="45" t="n"/>
      <c r="L21" s="45" t="n"/>
      <c r="M21" s="45" t="n"/>
      <c r="N21" s="45" t="n"/>
      <c r="O21" s="45" t="n"/>
      <c r="P21" s="45" t="n"/>
      <c r="Q21" s="524" t="n"/>
      <c r="R21" s="11" t="n"/>
    </row>
    <row r="22" ht="15" customHeight="1" s="227">
      <c r="A22" s="10" t="n"/>
      <c r="B22" s="523" t="n"/>
      <c r="C22" s="45" t="n"/>
      <c r="D22" s="45" t="n"/>
      <c r="E22" s="45" t="n"/>
      <c r="F22" s="45" t="n"/>
      <c r="G22" s="45" t="n"/>
      <c r="H22" s="45" t="n"/>
      <c r="I22" s="45" t="n"/>
      <c r="J22" s="45" t="n"/>
      <c r="K22" s="45" t="n"/>
      <c r="L22" s="45" t="n"/>
      <c r="M22" s="45" t="n"/>
      <c r="N22" s="45" t="n"/>
      <c r="O22" s="45" t="n"/>
      <c r="P22" s="45" t="n"/>
      <c r="Q22" s="524" t="n"/>
      <c r="R22" s="11" t="n"/>
    </row>
    <row r="23" ht="18.75"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75" customHeight="1" s="227">
      <c r="A26" s="10" t="n"/>
      <c r="B26" s="525" t="inlineStr">
        <is>
          <t>Trafo</t>
        </is>
      </c>
      <c r="C26" s="482" t="n"/>
      <c r="D26" s="526" t="inlineStr">
        <is>
          <t>Max. Ω</t>
        </is>
      </c>
      <c r="E26" s="99" t="n"/>
      <c r="F26" s="527" t="n">
        <v>4</v>
      </c>
      <c r="G26" s="528" t="inlineStr">
        <is>
          <t>Ω</t>
        </is>
      </c>
      <c r="H26" s="397" t="inlineStr">
        <is>
          <t>Ölçülen</t>
        </is>
      </c>
      <c r="I26" s="99" t="n"/>
      <c r="J26" s="519" t="inlineStr">
        <is>
          <t>Ω</t>
        </is>
      </c>
      <c r="K26" s="529">
        <f>'ANA SAYFA'!H40</f>
        <v/>
      </c>
      <c r="L26" s="99" t="n"/>
      <c r="M26" s="519" t="inlineStr">
        <is>
          <t>Ω</t>
        </is>
      </c>
      <c r="N26" s="440">
        <f>IF(K26&lt;F26,W18,Y18)</f>
        <v/>
      </c>
      <c r="O26" s="99" t="n"/>
      <c r="P26" s="99" t="n"/>
      <c r="Q26" s="482" t="n"/>
      <c r="R26" s="11" t="n"/>
      <c r="V26" s="361" t="inlineStr">
        <is>
          <t>İşletme (NÖTR) topraklaması direnç değeri yüksek bulunmuştur.</t>
        </is>
      </c>
    </row>
    <row r="27" ht="15.75" customHeight="1" s="227">
      <c r="A27" s="10" t="n"/>
      <c r="B27" s="525" t="inlineStr">
        <is>
          <t>Hücre</t>
        </is>
      </c>
      <c r="C27" s="482" t="n"/>
      <c r="D27" s="526" t="inlineStr">
        <is>
          <t>Max. Ω</t>
        </is>
      </c>
      <c r="E27" s="99" t="n"/>
      <c r="F27" s="527" t="n">
        <v>4</v>
      </c>
      <c r="G27" s="528" t="inlineStr">
        <is>
          <t>Ω</t>
        </is>
      </c>
      <c r="H27" s="397" t="inlineStr">
        <is>
          <t>Ölçülen</t>
        </is>
      </c>
      <c r="I27" s="99" t="n"/>
      <c r="J27" s="519" t="inlineStr">
        <is>
          <t>Ω</t>
        </is>
      </c>
      <c r="K27" s="529">
        <f>'ANA SAYFA'!H44</f>
        <v/>
      </c>
      <c r="L27" s="99" t="n"/>
      <c r="M27" s="519" t="inlineStr">
        <is>
          <t>Ω</t>
        </is>
      </c>
      <c r="N27" s="440">
        <f>IF(K27&lt;F27,W18,Y18)</f>
        <v/>
      </c>
      <c r="O27" s="99" t="n"/>
      <c r="P27" s="99" t="n"/>
      <c r="Q27" s="482" t="n"/>
      <c r="R27" s="11" t="n"/>
      <c r="V27" s="361" t="inlineStr">
        <is>
          <t>Trafo topraklaması direnç değeri normaldir.</t>
        </is>
      </c>
    </row>
    <row r="28" ht="15.75" customHeight="1" s="227">
      <c r="A28" s="10" t="n"/>
      <c r="B28" s="525" t="inlineStr">
        <is>
          <t>Kapılar</t>
        </is>
      </c>
      <c r="C28" s="482" t="n"/>
      <c r="D28" s="526" t="inlineStr">
        <is>
          <t>Max. Ω</t>
        </is>
      </c>
      <c r="E28" s="99" t="n"/>
      <c r="F28" s="527" t="n">
        <v>4</v>
      </c>
      <c r="G28" s="528" t="inlineStr">
        <is>
          <t>Ω</t>
        </is>
      </c>
      <c r="H28" s="397" t="inlineStr">
        <is>
          <t>Ölçülen</t>
        </is>
      </c>
      <c r="I28" s="99" t="n"/>
      <c r="J28" s="519" t="inlineStr">
        <is>
          <t>Ω</t>
        </is>
      </c>
      <c r="K28" s="529">
        <f>'ANA SAYFA'!Q42</f>
        <v/>
      </c>
      <c r="L28" s="99" t="n"/>
      <c r="M28" s="519" t="inlineStr">
        <is>
          <t>Ω</t>
        </is>
      </c>
      <c r="N28" s="440">
        <f>IF(K28&lt;F28,W18,Y18)</f>
        <v/>
      </c>
      <c r="O28" s="99" t="n"/>
      <c r="P28" s="99" t="n"/>
      <c r="Q28" s="482" t="n"/>
      <c r="R28" s="11" t="n"/>
      <c r="V28" s="361" t="inlineStr">
        <is>
          <t>Trafo topraklaması direnç değeri yüksek bulunmuştur.</t>
        </is>
      </c>
    </row>
    <row r="29" ht="15.75" customHeight="1" s="227">
      <c r="A29" s="10" t="n"/>
      <c r="B29" s="525" t="inlineStr">
        <is>
          <t>AG. Pano</t>
        </is>
      </c>
      <c r="C29" s="482" t="n"/>
      <c r="D29" s="526" t="inlineStr">
        <is>
          <t>Max. Ω</t>
        </is>
      </c>
      <c r="E29" s="99" t="n"/>
      <c r="F29" s="527" t="n">
        <v>4</v>
      </c>
      <c r="G29" s="528" t="inlineStr">
        <is>
          <t>Ω</t>
        </is>
      </c>
      <c r="H29" s="397" t="inlineStr">
        <is>
          <t>Ölçülen</t>
        </is>
      </c>
      <c r="I29" s="99" t="n"/>
      <c r="J29" s="519" t="inlineStr">
        <is>
          <t>Ω</t>
        </is>
      </c>
      <c r="K29" s="529">
        <f>'ANA SAYFA'!Q40</f>
        <v/>
      </c>
      <c r="L29" s="99" t="n"/>
      <c r="M29" s="519"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75"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75"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75"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75" customHeight="1" s="227">
      <c r="A36" s="10" t="n"/>
      <c r="B36" s="530"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75" customHeight="1" s="227">
      <c r="A37" s="10" t="n"/>
      <c r="B37" s="530"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75" customHeight="1" s="227">
      <c r="A38" s="10" t="n"/>
      <c r="B38" s="530"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75"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31"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2">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75" customHeight="1" s="227">
      <c r="A43" s="10" t="n"/>
      <c r="B43" s="118" t="n"/>
      <c r="C43" s="23" t="n"/>
      <c r="D43" s="295">
        <f>IF(K27&lt;F27,V30,V31)</f>
        <v/>
      </c>
      <c r="Q43" s="212" t="n"/>
      <c r="R43" s="11" t="n"/>
    </row>
    <row r="44" ht="15.75" customHeight="1" s="227">
      <c r="A44" s="10" t="n"/>
      <c r="B44" s="118" t="n"/>
      <c r="C44" s="23" t="n"/>
      <c r="D44" s="295">
        <f>IF(K28&lt;F28,V36,V37)</f>
        <v/>
      </c>
      <c r="Q44" s="212" t="n"/>
      <c r="R44" s="11" t="n"/>
    </row>
    <row r="45" ht="15.75"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3" t="inlineStr">
        <is>
          <t>:</t>
        </is>
      </c>
      <c r="F47" s="534" t="inlineStr">
        <is>
          <t>Elektrik Mühendisi</t>
        </is>
      </c>
      <c r="G47" s="47" t="n"/>
      <c r="H47" s="47" t="n"/>
      <c r="I47" s="211"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3" t="inlineStr">
        <is>
          <t>:</t>
        </is>
      </c>
      <c r="F48" s="535">
        <f>'ANA SAYFA'!F73</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4">
        <f>'ANA SAYFA'!F75:J75</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SAYFA'!F76:J76</f>
        <v/>
      </c>
      <c r="G50" s="99" t="n"/>
      <c r="H50" s="99" t="n"/>
      <c r="I50" s="482" t="n"/>
      <c r="J50" s="536" t="n"/>
      <c r="K50" s="139" t="n"/>
      <c r="L50" s="139" t="n"/>
      <c r="M50" s="139" t="n"/>
      <c r="N50" s="139" t="n"/>
      <c r="O50" s="139" t="n"/>
      <c r="P50" s="139" t="n"/>
      <c r="Q50" s="136" t="n"/>
      <c r="R50" s="11" t="n"/>
    </row>
    <row r="51" ht="15.7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C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YÜKSEK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7" t="n">
        <v>0.8</v>
      </c>
      <c r="Y8" s="482" t="n"/>
      <c r="Z8" s="102" t="n"/>
      <c r="AA8" s="102">
        <f>IF(P15=10,X8,
IF(P15=15,X9,
IF(P15=20,X10,
IF(P15=25,X11,
IF(P15=30,X12,
IF(P15=35,X13, IF(P15=40,X14, IF(P15=45,X15, IF(P15=50,X16)))))))))</f>
        <v/>
      </c>
      <c r="AB8" s="102" t="n"/>
      <c r="AC8" s="102" t="n"/>
    </row>
    <row r="9" ht="18.75" customHeight="1" s="227">
      <c r="A9" s="10" t="n"/>
      <c r="B9" s="402" t="inlineStr">
        <is>
          <t>OTURUM TARİHİ :</t>
        </is>
      </c>
      <c r="C9" s="99" t="n"/>
      <c r="D9" s="99" t="n"/>
      <c r="E9" s="99" t="n"/>
      <c r="F9" s="99" t="n"/>
      <c r="G9" s="99" t="n"/>
      <c r="H9" s="99" t="n"/>
      <c r="I9" s="99" t="n"/>
      <c r="J9" s="499">
        <f>'ANA SAYFA'!F72</f>
        <v/>
      </c>
      <c r="K9" s="99" t="n"/>
      <c r="L9" s="99" t="n"/>
      <c r="M9" s="99" t="n"/>
      <c r="N9" s="99" t="n"/>
      <c r="O9" s="99" t="n"/>
      <c r="P9" s="99" t="n"/>
      <c r="Q9" s="482" t="n"/>
      <c r="R9" s="11" t="n"/>
      <c r="V9" s="504" t="n">
        <v>15</v>
      </c>
      <c r="W9" s="482" t="n"/>
      <c r="X9" s="537"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7"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7"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7"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7"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7" t="n">
        <v>1.55</v>
      </c>
      <c r="Y14" s="482" t="n"/>
      <c r="Z14" s="127" t="n"/>
      <c r="AA14" s="127" t="n"/>
      <c r="AB14" s="127" t="n"/>
      <c r="AC14" s="127" t="n"/>
    </row>
    <row r="15" ht="21" customHeight="1" s="227">
      <c r="A15" s="10" t="n"/>
      <c r="B15" s="538" t="inlineStr">
        <is>
          <t>HV Sargı</t>
        </is>
      </c>
      <c r="C15" s="99" t="n"/>
      <c r="D15" s="99" t="n"/>
      <c r="E15" s="99" t="n"/>
      <c r="F15" s="99" t="n"/>
      <c r="G15" s="99" t="n"/>
      <c r="H15" s="99" t="n"/>
      <c r="I15" s="99" t="n"/>
      <c r="J15" s="482" t="n"/>
      <c r="K15" s="288" t="inlineStr">
        <is>
          <t xml:space="preserve">Sıcaklık: </t>
        </is>
      </c>
      <c r="L15" s="99" t="n"/>
      <c r="M15" s="99" t="n"/>
      <c r="N15" s="99" t="n"/>
      <c r="O15" s="289" t="inlineStr">
        <is>
          <t>~</t>
        </is>
      </c>
      <c r="P15" s="128">
        <f>'ANA SAYFA'!G26</f>
        <v/>
      </c>
      <c r="Q15" s="539" t="inlineStr">
        <is>
          <t>°C</t>
        </is>
      </c>
      <c r="R15" s="11" t="n"/>
      <c r="V15" s="504" t="n">
        <v>45</v>
      </c>
      <c r="W15" s="482" t="n"/>
      <c r="X15" s="537" t="n">
        <v>1.75</v>
      </c>
      <c r="Y15" s="482" t="n"/>
    </row>
    <row r="16" ht="18.75" customHeight="1" s="227">
      <c r="A16" s="10" t="n"/>
      <c r="B16" s="540"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7" t="n">
        <v>1.95</v>
      </c>
      <c r="Y16" s="482" t="n"/>
    </row>
    <row r="17" ht="18.75" customHeight="1" s="227">
      <c r="A17" s="10" t="n"/>
      <c r="B17" s="541" t="n"/>
      <c r="C17" s="44" t="n">
        <v>1</v>
      </c>
      <c r="D17" s="542" t="n">
        <v>1</v>
      </c>
      <c r="E17" s="374" t="inlineStr">
        <is>
          <t>CH</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7" t="n">
        <v>2.18</v>
      </c>
      <c r="Y17" s="482" t="n"/>
    </row>
    <row r="18" ht="18.75" customHeight="1" s="227">
      <c r="A18" s="10" t="n"/>
      <c r="B18" s="541" t="n"/>
      <c r="C18" s="44" t="n">
        <v>2</v>
      </c>
      <c r="D18" s="542"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7" t="n">
        <v>2.42</v>
      </c>
      <c r="Y18" s="482" t="n"/>
      <c r="Z18" s="102" t="n"/>
      <c r="AA18" s="102" t="n"/>
      <c r="AB18" s="102" t="n"/>
      <c r="AC18" s="102" t="n"/>
    </row>
    <row r="19" ht="18.75" customHeight="1" s="227">
      <c r="A19" s="10" t="n"/>
      <c r="B19" s="543" t="n"/>
      <c r="C19" s="44" t="n">
        <v>3</v>
      </c>
      <c r="D19" s="542" t="n">
        <v>1</v>
      </c>
      <c r="E19" s="374" t="inlineStr">
        <is>
          <t>CH+CHL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7"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7" t="n">
        <v>3</v>
      </c>
      <c r="Y20" s="482" t="n"/>
      <c r="Z20" s="102" t="n"/>
      <c r="AA20" s="102" t="n"/>
      <c r="AB20" s="102" t="n"/>
      <c r="AC20" s="102" t="n"/>
    </row>
    <row r="21" ht="15.75" customHeight="1" s="227">
      <c r="A21" s="10" t="n"/>
      <c r="B21" s="544" t="inlineStr">
        <is>
          <t>Sonuçlar</t>
        </is>
      </c>
      <c r="C21" s="444" t="inlineStr">
        <is>
          <t>CH</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41"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41" t="n"/>
      <c r="C23" s="398" t="n">
        <v>1</v>
      </c>
      <c r="D23" s="445" t="n">
        <v>10000</v>
      </c>
      <c r="E23" s="482" t="n"/>
      <c r="F23" s="445" t="n">
        <v>50</v>
      </c>
      <c r="G23" s="482" t="n"/>
      <c r="H23" s="370" t="n">
        <v>0.202</v>
      </c>
      <c r="I23" s="482" t="n"/>
      <c r="J23" s="511" t="n">
        <v>0.10592</v>
      </c>
      <c r="K23" s="482" t="n"/>
      <c r="L23" s="370" t="n">
        <v>1919.95</v>
      </c>
      <c r="M23" s="482" t="n"/>
      <c r="N23" s="370" t="n">
        <v>52.423</v>
      </c>
      <c r="O23" s="482" t="n"/>
      <c r="P23" s="370">
        <f>H23/AA8</f>
        <v/>
      </c>
      <c r="Q23" s="482" t="n"/>
      <c r="R23" s="11" t="n"/>
    </row>
    <row r="24" ht="15" customHeight="1" s="227">
      <c r="A24" s="33" t="n"/>
      <c r="B24" s="541"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41"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41"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41" t="n"/>
      <c r="C27" s="398" t="n">
        <v>2</v>
      </c>
      <c r="D27" s="445" t="n">
        <v>10000</v>
      </c>
      <c r="E27" s="482" t="n"/>
      <c r="F27" s="445" t="n">
        <v>50</v>
      </c>
      <c r="G27" s="482" t="n"/>
      <c r="H27" s="370" t="n">
        <v>0.32</v>
      </c>
      <c r="I27" s="482" t="n"/>
      <c r="J27" s="511" t="n">
        <v>0.36838</v>
      </c>
      <c r="K27" s="482" t="n"/>
      <c r="L27" s="370" t="n">
        <v>888.675</v>
      </c>
      <c r="M27" s="482" t="n"/>
      <c r="N27" s="370" t="n">
        <v>113.255</v>
      </c>
      <c r="O27" s="482" t="n"/>
      <c r="P27" s="370">
        <f>H27/AA8</f>
        <v/>
      </c>
      <c r="Q27" s="482" t="n"/>
      <c r="R27" s="11" t="n"/>
    </row>
    <row r="28" ht="15" customHeight="1" s="227">
      <c r="A28" s="10" t="n"/>
      <c r="B28" s="541" t="n"/>
      <c r="C28" s="127" t="n"/>
      <c r="D28" s="127" t="n"/>
      <c r="E28" s="127" t="n"/>
      <c r="F28" s="23" t="n"/>
      <c r="G28" s="127" t="n"/>
      <c r="H28" s="127" t="n"/>
      <c r="I28" s="127" t="n"/>
      <c r="J28" s="127" t="n"/>
      <c r="K28" s="127" t="n"/>
      <c r="L28" s="127" t="n"/>
      <c r="M28" s="127" t="n"/>
      <c r="N28" s="127" t="n"/>
      <c r="O28" s="127" t="n"/>
      <c r="P28" s="127" t="n"/>
      <c r="Q28" s="143" t="n"/>
      <c r="R28" s="11" t="n"/>
    </row>
    <row r="29" ht="15.75" customHeight="1" s="227">
      <c r="A29" s="10" t="n"/>
      <c r="B29" s="541" t="n"/>
      <c r="C29" s="444" t="inlineStr">
        <is>
          <t>CH+CHL</t>
        </is>
      </c>
      <c r="D29" s="99" t="n"/>
      <c r="E29" s="99" t="n"/>
      <c r="F29" s="99" t="n"/>
      <c r="G29" s="99" t="n"/>
      <c r="H29" s="99" t="n"/>
      <c r="I29" s="99" t="n"/>
      <c r="J29" s="99" t="n"/>
      <c r="K29" s="99" t="n"/>
      <c r="L29" s="99" t="n"/>
      <c r="M29" s="99" t="n"/>
      <c r="N29" s="99" t="n"/>
      <c r="O29" s="99" t="n"/>
      <c r="P29" s="99" t="n"/>
      <c r="Q29" s="482" t="n"/>
      <c r="R29" s="11" t="n"/>
    </row>
    <row r="30" ht="15" customHeight="1" s="227">
      <c r="A30" s="10" t="n"/>
      <c r="B30" s="541"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row>
    <row r="31" ht="15" customHeight="1" s="227">
      <c r="A31" s="10" t="n"/>
      <c r="B31" s="543" t="n"/>
      <c r="C31" s="398" t="n">
        <v>3</v>
      </c>
      <c r="D31" s="445" t="n">
        <v>10000</v>
      </c>
      <c r="E31" s="482" t="n"/>
      <c r="F31" s="445" t="n">
        <v>50</v>
      </c>
      <c r="G31" s="482" t="n"/>
      <c r="H31" s="370" t="n">
        <v>0.345</v>
      </c>
      <c r="I31" s="482" t="n"/>
      <c r="J31" s="511" t="n">
        <v>0.47396</v>
      </c>
      <c r="K31" s="482" t="n"/>
      <c r="L31" s="370" t="n">
        <v>607.447</v>
      </c>
      <c r="M31" s="482" t="n"/>
      <c r="N31" s="370">
        <f>N23+N27</f>
        <v/>
      </c>
      <c r="O31" s="482" t="n"/>
      <c r="P31" s="370">
        <f>H31/AA8</f>
        <v/>
      </c>
      <c r="Q31" s="482" t="n"/>
      <c r="R31" s="11" t="n"/>
    </row>
    <row r="32" ht="15" customHeight="1" s="227">
      <c r="A32" s="10" t="n"/>
      <c r="B32" s="545" t="n"/>
      <c r="C32" s="127" t="n"/>
      <c r="D32" s="127" t="n"/>
      <c r="E32" s="127" t="n"/>
      <c r="F32" s="127" t="n"/>
      <c r="G32" s="127" t="n"/>
      <c r="H32" s="127" t="n"/>
      <c r="I32" s="127" t="n"/>
      <c r="J32" s="127" t="n"/>
      <c r="K32" s="127" t="n"/>
      <c r="L32" s="127" t="n"/>
      <c r="M32" s="127" t="n"/>
      <c r="N32" s="127" t="n"/>
      <c r="O32" s="127" t="n"/>
      <c r="P32" s="127" t="n"/>
      <c r="Q32" s="143" t="n"/>
      <c r="R32" s="11" t="n"/>
    </row>
    <row r="33" ht="15" customHeight="1" s="227">
      <c r="A33" s="10" t="n"/>
      <c r="B33" s="546"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row>
    <row r="34" ht="15" customHeight="1" s="227">
      <c r="A34" s="10" t="n"/>
      <c r="B34" s="62" t="n"/>
      <c r="Q34" s="212" t="n"/>
      <c r="R34" s="11" t="n"/>
      <c r="V34" s="127" t="n"/>
    </row>
    <row r="35" ht="15" customHeight="1" s="227">
      <c r="A35" s="10" t="n"/>
      <c r="B35" s="62" t="n"/>
      <c r="Q35" s="212" t="n"/>
      <c r="R35" s="11" t="n"/>
    </row>
    <row r="36" ht="15.7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row>
    <row r="37" ht="15" customHeight="1" s="227">
      <c r="A37" s="10" t="n"/>
      <c r="B37" s="547" t="inlineStr">
        <is>
          <t>CH (YG/Tank-Nüve) değerleri uygundur.</t>
        </is>
      </c>
      <c r="C37" s="47" t="n"/>
      <c r="D37" s="47" t="n"/>
      <c r="E37" s="47" t="n"/>
      <c r="F37" s="47" t="n"/>
      <c r="G37" s="47" t="n"/>
      <c r="H37" s="47" t="n"/>
      <c r="I37" s="47" t="n"/>
      <c r="J37" s="47" t="n"/>
      <c r="K37" s="47" t="n"/>
      <c r="L37" s="47" t="n"/>
      <c r="M37" s="47" t="n"/>
      <c r="N37" s="47" t="n"/>
      <c r="O37" s="47" t="n"/>
      <c r="P37" s="47" t="n"/>
      <c r="Q37" s="211" t="n"/>
      <c r="R37" s="11"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7" t="inlineStr">
        <is>
          <t>CHL (YG/AG)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7" t="inlineStr">
        <is>
          <t>CH+CHL (∑YG/Tank-Nüve)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49" t="n"/>
      <c r="C43" s="50"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K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ALÇAK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7" t="n">
        <v>0.8</v>
      </c>
      <c r="Y8" s="482" t="n"/>
      <c r="Z8" s="102" t="n"/>
      <c r="AA8" s="102">
        <f>IF(P15=10,X8,
IF(P15=15,X9,
IF(P15=20,X10,
IF(P15=25,X11,
IF(P15=30,X12,
IF(P15=35,X13, IF(P15=40,X14, IF(P15=45,X15, IF(P15=50,X16,IF(P15=55,X17,IF(P15=60,X18)))))))))))</f>
        <v/>
      </c>
      <c r="AB8" s="102" t="n"/>
      <c r="AC8" s="102" t="n"/>
    </row>
    <row r="9" ht="18.75" customHeight="1" s="227">
      <c r="A9" s="10" t="n"/>
      <c r="B9" s="402" t="inlineStr">
        <is>
          <t>OTURUM TARİHİ :</t>
        </is>
      </c>
      <c r="C9" s="99" t="n"/>
      <c r="D9" s="99" t="n"/>
      <c r="E9" s="99" t="n"/>
      <c r="F9" s="99" t="n"/>
      <c r="G9" s="99" t="n"/>
      <c r="H9" s="99" t="n"/>
      <c r="I9" s="99" t="n"/>
      <c r="J9" s="499">
        <f>'ANA SAYFA'!F72</f>
        <v/>
      </c>
      <c r="K9" s="99" t="n"/>
      <c r="L9" s="99" t="n"/>
      <c r="M9" s="99" t="n"/>
      <c r="N9" s="99" t="n"/>
      <c r="O9" s="99" t="n"/>
      <c r="P9" s="99" t="n"/>
      <c r="Q9" s="482" t="n"/>
      <c r="R9" s="11" t="n"/>
      <c r="V9" s="504" t="n">
        <v>15</v>
      </c>
      <c r="W9" s="482" t="n"/>
      <c r="X9" s="537"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7"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7"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7"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7"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7" t="n">
        <v>1.55</v>
      </c>
      <c r="Y14" s="482" t="n"/>
      <c r="Z14" s="127" t="n"/>
      <c r="AA14" s="127" t="n"/>
      <c r="AB14" s="127" t="n"/>
      <c r="AC14" s="127" t="n"/>
    </row>
    <row r="15" ht="21" customHeight="1" s="227">
      <c r="A15" s="10" t="n"/>
      <c r="B15" s="538" t="inlineStr">
        <is>
          <t>LV Sargı</t>
        </is>
      </c>
      <c r="C15" s="99" t="n"/>
      <c r="D15" s="99" t="n"/>
      <c r="E15" s="99" t="n"/>
      <c r="F15" s="99" t="n"/>
      <c r="G15" s="99" t="n"/>
      <c r="H15" s="99" t="n"/>
      <c r="I15" s="99" t="n"/>
      <c r="J15" s="482" t="n"/>
      <c r="K15" s="288" t="inlineStr">
        <is>
          <t xml:space="preserve">Sıcaklık: </t>
        </is>
      </c>
      <c r="L15" s="99" t="n"/>
      <c r="M15" s="99" t="n"/>
      <c r="N15" s="99" t="n"/>
      <c r="O15" s="289" t="inlineStr">
        <is>
          <t>~</t>
        </is>
      </c>
      <c r="P15" s="128">
        <f>'HV PF'!P15</f>
        <v/>
      </c>
      <c r="Q15" s="539" t="inlineStr">
        <is>
          <t>°C</t>
        </is>
      </c>
      <c r="R15" s="11" t="n"/>
      <c r="V15" s="504" t="n">
        <v>45</v>
      </c>
      <c r="W15" s="482" t="n"/>
      <c r="X15" s="537" t="n">
        <v>1.75</v>
      </c>
      <c r="Y15" s="482" t="n"/>
    </row>
    <row r="16" ht="18.75" customHeight="1" s="227">
      <c r="A16" s="10" t="n"/>
      <c r="B16" s="540"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7" t="n">
        <v>1.95</v>
      </c>
      <c r="Y16" s="482" t="n"/>
    </row>
    <row r="17" ht="18.75" customHeight="1" s="227">
      <c r="A17" s="10" t="n"/>
      <c r="B17" s="541" t="n"/>
      <c r="C17" s="44" t="n">
        <v>1</v>
      </c>
      <c r="D17" s="542" t="n">
        <v>1</v>
      </c>
      <c r="E17" s="374" t="inlineStr">
        <is>
          <t>CL</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7" t="n">
        <v>2.18</v>
      </c>
      <c r="Y17" s="482" t="n"/>
    </row>
    <row r="18" ht="18.75" customHeight="1" s="227">
      <c r="A18" s="10" t="n"/>
      <c r="B18" s="541" t="n"/>
      <c r="C18" s="44" t="n">
        <v>2</v>
      </c>
      <c r="D18" s="542"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7" t="n">
        <v>2.42</v>
      </c>
      <c r="Y18" s="482" t="n"/>
      <c r="Z18" s="102" t="n"/>
      <c r="AA18" s="102" t="n"/>
      <c r="AB18" s="102" t="n"/>
      <c r="AC18" s="102" t="n"/>
    </row>
    <row r="19" ht="18.75" customHeight="1" s="227">
      <c r="A19" s="10" t="n"/>
      <c r="B19" s="543" t="n"/>
      <c r="C19" s="44" t="n">
        <v>3</v>
      </c>
      <c r="D19" s="542" t="n">
        <v>1</v>
      </c>
      <c r="E19" s="374" t="inlineStr">
        <is>
          <t>CL+CHL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7"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7" t="n">
        <v>3</v>
      </c>
      <c r="Y20" s="482" t="n"/>
      <c r="Z20" s="102" t="n"/>
      <c r="AA20" s="102" t="n"/>
      <c r="AB20" s="102" t="n"/>
      <c r="AC20" s="102" t="n"/>
    </row>
    <row r="21" ht="15.75" customHeight="1" s="227">
      <c r="A21" s="10" t="n"/>
      <c r="B21" s="544" t="inlineStr">
        <is>
          <t>Sonuçlar</t>
        </is>
      </c>
      <c r="C21" s="444" t="inlineStr">
        <is>
          <t>CL</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41"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41" t="n"/>
      <c r="C23" s="398" t="n">
        <v>1</v>
      </c>
      <c r="D23" s="445" t="n">
        <v>1000</v>
      </c>
      <c r="E23" s="482" t="n"/>
      <c r="F23" s="445" t="n">
        <v>50</v>
      </c>
      <c r="G23" s="482" t="n"/>
      <c r="H23" s="370" t="n">
        <v>0.513</v>
      </c>
      <c r="I23" s="482" t="n"/>
      <c r="J23" s="511" t="n">
        <v>0.10228</v>
      </c>
      <c r="K23" s="482" t="n"/>
      <c r="L23" s="370" t="n">
        <v>202.124</v>
      </c>
      <c r="M23" s="482" t="n"/>
      <c r="N23" s="370" t="n">
        <v>19.915</v>
      </c>
      <c r="O23" s="482" t="n"/>
      <c r="P23" s="370">
        <f>H23/AA8</f>
        <v/>
      </c>
      <c r="Q23" s="482" t="n"/>
      <c r="R23" s="11" t="n"/>
    </row>
    <row r="24" ht="15" customHeight="1" s="227">
      <c r="A24" s="33" t="n"/>
      <c r="B24" s="541"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41"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41"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41" t="n"/>
      <c r="C27" s="398" t="n">
        <v>2</v>
      </c>
      <c r="D27" s="445" t="n">
        <v>1000</v>
      </c>
      <c r="E27" s="482" t="n"/>
      <c r="F27" s="445" t="n">
        <v>50</v>
      </c>
      <c r="G27" s="482" t="n"/>
      <c r="H27" s="370" t="n">
        <v>0.323</v>
      </c>
      <c r="I27" s="482" t="n"/>
      <c r="J27" s="511" t="n">
        <v>0.0146573</v>
      </c>
      <c r="K27" s="482" t="n"/>
      <c r="L27" s="370" t="n"/>
      <c r="M27" s="482" t="n"/>
      <c r="N27" s="370" t="n">
        <v>4.528</v>
      </c>
      <c r="O27" s="482" t="n"/>
      <c r="P27" s="370">
        <f>H27/AA8</f>
        <v/>
      </c>
      <c r="Q27" s="482" t="n"/>
      <c r="R27" s="11" t="n"/>
    </row>
    <row r="28" ht="15" customHeight="1" s="227">
      <c r="A28" s="10" t="n"/>
      <c r="B28" s="541" t="n"/>
      <c r="C28" s="127" t="n"/>
      <c r="D28" s="127" t="n"/>
      <c r="E28" s="127" t="n"/>
      <c r="F28" s="23" t="n"/>
      <c r="G28" s="127" t="n"/>
      <c r="H28" s="127" t="n"/>
      <c r="I28" s="127" t="n"/>
      <c r="J28" s="127" t="n"/>
      <c r="K28" s="127" t="n"/>
      <c r="L28" s="127" t="n"/>
      <c r="M28" s="127" t="n"/>
      <c r="N28" s="127" t="n"/>
      <c r="O28" s="127" t="n"/>
      <c r="P28" s="127" t="n"/>
      <c r="Q28" s="143" t="n"/>
      <c r="R28" s="11" t="n"/>
      <c r="Z28" s="548" t="n"/>
      <c r="AA28" s="548" t="n"/>
      <c r="AB28" s="548" t="n"/>
      <c r="AC28" s="548" t="n"/>
      <c r="AD28" s="548" t="n"/>
      <c r="AE28" s="548" t="n"/>
      <c r="AF28" s="548" t="n"/>
      <c r="AG28" s="548" t="n"/>
      <c r="AH28" s="548" t="n"/>
      <c r="AI28" s="548" t="n"/>
      <c r="AJ28" s="548" t="n"/>
      <c r="AK28" s="548" t="n"/>
    </row>
    <row r="29" ht="15.75" customHeight="1" s="227">
      <c r="A29" s="10" t="n"/>
      <c r="B29" s="541" t="n"/>
      <c r="C29" s="444" t="inlineStr">
        <is>
          <t>CL+CHL</t>
        </is>
      </c>
      <c r="D29" s="99" t="n"/>
      <c r="E29" s="99" t="n"/>
      <c r="F29" s="99" t="n"/>
      <c r="G29" s="99" t="n"/>
      <c r="H29" s="99" t="n"/>
      <c r="I29" s="99" t="n"/>
      <c r="J29" s="99" t="n"/>
      <c r="K29" s="99" t="n"/>
      <c r="L29" s="99" t="n"/>
      <c r="M29" s="99" t="n"/>
      <c r="N29" s="99" t="n"/>
      <c r="O29" s="99" t="n"/>
      <c r="P29" s="99" t="n"/>
      <c r="Q29" s="482" t="n"/>
      <c r="R29" s="11" t="n"/>
      <c r="V29" s="548" t="n"/>
      <c r="W29" s="548" t="n"/>
      <c r="X29" s="548" t="n"/>
      <c r="Y29" s="548" t="n"/>
      <c r="Z29" s="548" t="n"/>
      <c r="AA29" s="548" t="n"/>
      <c r="AB29" s="548" t="n"/>
      <c r="AC29" s="548" t="n"/>
      <c r="AD29" s="548" t="n"/>
      <c r="AE29" s="548" t="n"/>
      <c r="AF29" s="548" t="n"/>
      <c r="AG29" s="548" t="n"/>
      <c r="AH29" s="548" t="n"/>
      <c r="AI29" s="548" t="n"/>
      <c r="AJ29" s="548" t="n"/>
      <c r="AK29" s="548" t="n"/>
    </row>
    <row r="30" ht="15.75" customHeight="1" s="227">
      <c r="A30" s="10" t="n"/>
      <c r="B30" s="541"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c r="Z30" s="548" t="n"/>
      <c r="AA30" s="548" t="n"/>
      <c r="AB30" s="548" t="n"/>
      <c r="AC30" s="548" t="n"/>
      <c r="AD30" s="548" t="n"/>
      <c r="AE30" s="548" t="n"/>
      <c r="AF30" s="548" t="n"/>
      <c r="AG30" s="548" t="n"/>
      <c r="AH30" s="548" t="n"/>
      <c r="AI30" s="548" t="n"/>
      <c r="AJ30" s="548" t="n"/>
      <c r="AK30" s="548" t="n"/>
    </row>
    <row r="31" ht="15.75" customHeight="1" s="227">
      <c r="A31" s="10" t="n"/>
      <c r="B31" s="543" t="n"/>
      <c r="C31" s="398" t="n">
        <v>3</v>
      </c>
      <c r="D31" s="445" t="n">
        <v>1000</v>
      </c>
      <c r="E31" s="482" t="n"/>
      <c r="F31" s="445" t="n">
        <v>50</v>
      </c>
      <c r="G31" s="482" t="n"/>
      <c r="H31" s="370" t="n">
        <v>0.477</v>
      </c>
      <c r="I31" s="482" t="n"/>
      <c r="J31" s="511" t="n">
        <v>0.11662</v>
      </c>
      <c r="K31" s="482" t="n"/>
      <c r="L31" s="370" t="n">
        <v>164.684</v>
      </c>
      <c r="M31" s="482" t="n"/>
      <c r="N31" s="370">
        <f>N23+N27</f>
        <v/>
      </c>
      <c r="O31" s="482" t="n"/>
      <c r="P31" s="370">
        <f>H31/AA8</f>
        <v/>
      </c>
      <c r="Q31" s="482" t="n"/>
      <c r="R31" s="11" t="n"/>
      <c r="Z31" s="548" t="n"/>
      <c r="AA31" s="548" t="n"/>
      <c r="AB31" s="548" t="n"/>
      <c r="AC31" s="548" t="n"/>
      <c r="AD31" s="548" t="n"/>
      <c r="AE31" s="548" t="n"/>
      <c r="AF31" s="548" t="n"/>
      <c r="AG31" s="548" t="n"/>
      <c r="AH31" s="548" t="n"/>
      <c r="AI31" s="548" t="n"/>
      <c r="AJ31" s="548" t="n"/>
      <c r="AK31" s="548" t="n"/>
    </row>
    <row r="32" ht="15.75" customHeight="1" s="227">
      <c r="A32" s="10" t="n"/>
      <c r="B32" s="545" t="n"/>
      <c r="C32" s="127" t="n"/>
      <c r="D32" s="127" t="n"/>
      <c r="E32" s="127" t="n"/>
      <c r="F32" s="127" t="n"/>
      <c r="G32" s="127" t="n"/>
      <c r="H32" s="127" t="n"/>
      <c r="I32" s="127" t="n"/>
      <c r="J32" s="127" t="n"/>
      <c r="K32" s="127" t="n"/>
      <c r="L32" s="127" t="n"/>
      <c r="M32" s="127" t="n"/>
      <c r="N32" s="127" t="n"/>
      <c r="O32" s="127" t="n"/>
      <c r="P32" s="127" t="n"/>
      <c r="Q32" s="143" t="n"/>
      <c r="R32" s="11" t="n"/>
      <c r="V32" s="548" t="n"/>
      <c r="W32" s="548" t="n"/>
      <c r="X32" s="548" t="n"/>
      <c r="Y32" s="548" t="n"/>
      <c r="Z32" s="548" t="n"/>
      <c r="AA32" s="548" t="n"/>
      <c r="AB32" s="548" t="n"/>
      <c r="AC32" s="548" t="n"/>
      <c r="AD32" s="548" t="n"/>
      <c r="AE32" s="548" t="n"/>
      <c r="AF32" s="548" t="n"/>
      <c r="AG32" s="548" t="n"/>
      <c r="AH32" s="548" t="n"/>
      <c r="AI32" s="548" t="n"/>
      <c r="AJ32" s="548" t="n"/>
      <c r="AK32" s="548" t="n"/>
    </row>
    <row r="33" ht="15.75" customHeight="1" s="227">
      <c r="A33" s="10" t="n"/>
      <c r="B33" s="546"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c r="V33" s="548" t="n"/>
      <c r="W33" s="548" t="n"/>
      <c r="X33" s="548" t="n"/>
      <c r="Y33" s="548" t="n"/>
      <c r="Z33" s="548" t="n"/>
      <c r="AA33" s="548" t="n"/>
      <c r="AB33" s="548" t="n"/>
      <c r="AC33" s="548" t="n"/>
      <c r="AD33" s="548" t="n"/>
      <c r="AE33" s="548" t="n"/>
      <c r="AF33" s="548" t="n"/>
      <c r="AG33" s="548" t="n"/>
      <c r="AH33" s="548" t="n"/>
      <c r="AI33" s="548" t="n"/>
      <c r="AJ33" s="548" t="n"/>
      <c r="AK33" s="548" t="n"/>
    </row>
    <row r="34" ht="15" customHeight="1" s="227">
      <c r="A34" s="10" t="n"/>
      <c r="B34" s="62" t="n"/>
      <c r="Q34" s="212" t="n"/>
      <c r="R34" s="11" t="n"/>
      <c r="V34" s="548" t="n"/>
      <c r="W34" s="548" t="n"/>
      <c r="X34" s="548" t="n"/>
      <c r="Y34" s="548" t="n"/>
      <c r="Z34" s="548" t="n"/>
      <c r="AA34" s="548" t="n"/>
      <c r="AB34" s="548" t="n"/>
      <c r="AC34" s="548" t="n"/>
      <c r="AD34" s="548" t="n"/>
      <c r="AE34" s="548" t="n"/>
      <c r="AF34" s="548" t="n"/>
      <c r="AG34" s="548" t="n"/>
      <c r="AH34" s="548" t="n"/>
      <c r="AI34" s="548" t="n"/>
      <c r="AJ34" s="548" t="n"/>
      <c r="AK34" s="548" t="n"/>
    </row>
    <row r="35" ht="15.75" customHeight="1" s="227">
      <c r="A35" s="10" t="n"/>
      <c r="B35" s="62" t="n"/>
      <c r="Q35" s="212" t="n"/>
      <c r="R35" s="11" t="n"/>
      <c r="V35" s="548" t="n"/>
      <c r="W35" s="548" t="n"/>
      <c r="X35" s="548" t="n"/>
      <c r="Y35" s="548" t="n"/>
      <c r="Z35" s="548" t="n"/>
      <c r="AA35" s="548" t="n"/>
      <c r="AB35" s="548" t="n"/>
      <c r="AC35" s="548" t="n"/>
      <c r="AD35" s="548" t="n"/>
      <c r="AE35" s="548" t="n"/>
      <c r="AF35" s="548" t="n"/>
      <c r="AG35" s="548" t="n"/>
      <c r="AH35" s="548" t="n"/>
      <c r="AI35" s="548" t="n"/>
      <c r="AJ35" s="548" t="n"/>
      <c r="AK35" s="548" t="n"/>
    </row>
    <row r="36" ht="1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c r="V36" s="548" t="n"/>
      <c r="W36" s="548" t="n"/>
      <c r="X36" s="548" t="n"/>
      <c r="Y36" s="548" t="n"/>
      <c r="Z36" s="548" t="n"/>
      <c r="AA36" s="548" t="n"/>
      <c r="AB36" s="548" t="n"/>
      <c r="AC36" s="548" t="n"/>
      <c r="AD36" s="548" t="n"/>
      <c r="AE36" s="548" t="n"/>
      <c r="AF36" s="548" t="n"/>
      <c r="AG36" s="548" t="n"/>
      <c r="AH36" s="548" t="n"/>
      <c r="AI36" s="548" t="n"/>
      <c r="AJ36" s="548" t="n"/>
      <c r="AK36" s="548" t="n"/>
    </row>
    <row r="37" ht="15" customHeight="1" s="227">
      <c r="A37" s="10" t="n"/>
      <c r="B37" s="547" t="inlineStr">
        <is>
          <t>CL (AG/Tank-Nüve) değerleri uygundur. Testlerin periyodik programa uygun olarak yaptırılıp takip edilmesi önerilir.</t>
        </is>
      </c>
      <c r="C37" s="47" t="n"/>
      <c r="D37" s="47" t="n"/>
      <c r="E37" s="47" t="n"/>
      <c r="F37" s="47" t="n"/>
      <c r="G37" s="47" t="n"/>
      <c r="H37" s="47" t="n"/>
      <c r="I37" s="47" t="n"/>
      <c r="J37" s="47" t="n"/>
      <c r="K37" s="47" t="n"/>
      <c r="L37" s="47" t="n"/>
      <c r="M37" s="47" t="n"/>
      <c r="N37" s="47" t="n"/>
      <c r="O37" s="47" t="n"/>
      <c r="P37" s="47" t="n"/>
      <c r="Q37" s="211" t="n"/>
      <c r="R37" s="11" t="n"/>
      <c r="V37" s="548" t="n"/>
      <c r="W37" s="548" t="n"/>
      <c r="X37" s="548" t="n"/>
      <c r="Y37" s="548" t="n"/>
      <c r="Z37" s="548" t="n"/>
      <c r="AA37" s="548" t="n"/>
      <c r="AB37" s="548" t="n"/>
      <c r="AC37" s="548" t="n"/>
      <c r="AD37" s="548" t="n"/>
      <c r="AE37" s="548" t="n"/>
      <c r="AF37" s="548" t="n"/>
      <c r="AG37" s="548" t="n"/>
      <c r="AH37" s="548" t="n"/>
      <c r="AI37" s="548" t="n"/>
      <c r="AJ37" s="548" t="n"/>
      <c r="AK37" s="548"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7" t="inlineStr">
        <is>
          <t>CHL (AG/YG)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7" t="inlineStr">
        <is>
          <t>CL+CHL (∑AG/Tank-Nüve)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549" t="n"/>
      <c r="C43" s="550" t="n"/>
      <c r="D43" s="550" t="n"/>
      <c r="E43" s="550" t="n"/>
      <c r="F43" s="550" t="n"/>
      <c r="G43" s="550" t="n"/>
      <c r="H43" s="550" t="n"/>
      <c r="I43" s="550" t="n"/>
      <c r="J43" s="550" t="n"/>
      <c r="K43" s="550" t="n"/>
      <c r="L43" s="550" t="n"/>
      <c r="M43" s="550" t="n"/>
      <c r="N43" s="550" t="n"/>
      <c r="O43" s="550" t="n"/>
      <c r="P43" s="550" t="n"/>
      <c r="Q43" s="551"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703125" customWidth="1" style="227" min="1" max="1"/>
    <col width="5" customWidth="1" style="227" min="2" max="2"/>
    <col width="1.5703125" customWidth="1" style="227" min="20" max="20"/>
    <col width="9.140625" customWidth="1" style="227" min="21" max="21"/>
    <col width="5" customWidth="1" style="227" min="22" max="22"/>
    <col width="5.28515625" customWidth="1" style="227" min="25" max="25"/>
    <col width="10.7109375" customWidth="1" style="227" min="27" max="27"/>
    <col width="5.28515625" customWidth="1" style="227" min="28" max="28"/>
    <col width="5" customWidth="1" style="227" min="31" max="31"/>
    <col width="9.14062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52" t="n"/>
      <c r="H2" s="298" t="inlineStr">
        <is>
          <t xml:space="preserve">  ŞALT SAHASI          </t>
        </is>
      </c>
      <c r="I2" s="47" t="n"/>
      <c r="J2" s="47" t="n"/>
      <c r="K2" s="553">
        <f>'ANA SAYFA'!K2</f>
        <v/>
      </c>
      <c r="L2" s="47" t="n"/>
      <c r="M2" s="47" t="n"/>
      <c r="N2" s="47" t="n"/>
      <c r="O2" s="47" t="n"/>
      <c r="P2" s="47" t="n"/>
      <c r="Q2" s="47" t="n"/>
      <c r="R2" s="47" t="n"/>
      <c r="S2" s="211" t="n"/>
      <c r="T2" s="11" t="n"/>
    </row>
    <row r="3" ht="18" customHeight="1" s="227">
      <c r="A3" s="10" t="n"/>
      <c r="B3" s="62" t="n"/>
      <c r="G3" s="554" t="n"/>
      <c r="H3" s="62" t="n"/>
      <c r="K3" s="486" t="n"/>
      <c r="L3" s="486" t="n"/>
      <c r="M3" s="486" t="n"/>
      <c r="N3" s="486" t="n"/>
      <c r="O3" s="486" t="n"/>
      <c r="P3" s="486" t="n"/>
      <c r="Q3" s="486" t="n"/>
      <c r="R3" s="486" t="n"/>
      <c r="S3" s="487" t="n"/>
      <c r="T3" s="11" t="n"/>
    </row>
    <row r="4" ht="3" customHeight="1" s="227">
      <c r="A4" s="10" t="n"/>
      <c r="B4" s="62" t="n"/>
      <c r="G4" s="554" t="n"/>
      <c r="H4" s="555" t="n"/>
      <c r="I4" s="556" t="n"/>
      <c r="J4" s="556" t="n"/>
      <c r="K4" s="193" t="n"/>
      <c r="L4" s="193" t="n"/>
      <c r="M4" s="193" t="n"/>
      <c r="N4" s="193" t="n"/>
      <c r="O4" s="193" t="n"/>
      <c r="P4" s="193" t="n"/>
      <c r="Q4" s="193" t="n"/>
      <c r="R4" s="193" t="n"/>
      <c r="S4" s="557" t="n"/>
      <c r="T4" s="11" t="n"/>
    </row>
    <row r="5" ht="18" customHeight="1" s="227">
      <c r="A5" s="10" t="n"/>
      <c r="B5" s="62" t="n"/>
      <c r="G5" s="554" t="n"/>
      <c r="H5" s="391" t="inlineStr">
        <is>
          <t xml:space="preserve">  LOKASYON</t>
        </is>
      </c>
      <c r="K5" s="553">
        <f>'ANA SAYFA'!K5</f>
        <v/>
      </c>
      <c r="L5" s="47" t="n"/>
      <c r="M5" s="47" t="n"/>
      <c r="N5" s="47" t="n"/>
      <c r="O5" s="47" t="n"/>
      <c r="P5" s="47" t="n"/>
      <c r="Q5" s="47" t="n"/>
      <c r="R5" s="47" t="n"/>
      <c r="S5" s="211" t="n"/>
      <c r="T5" s="11" t="n"/>
    </row>
    <row r="6" ht="18" customHeight="1" s="227">
      <c r="A6" s="10" t="n"/>
      <c r="B6" s="62" t="n"/>
      <c r="G6" s="554"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278" t="n"/>
      <c r="H11" s="486" t="n"/>
      <c r="I11" s="486" t="n"/>
      <c r="J11" s="486" t="n"/>
      <c r="K11" s="291" t="inlineStr">
        <is>
          <t>Kesici Tipi</t>
        </is>
      </c>
      <c r="N11" s="91" t="inlineStr">
        <is>
          <t xml:space="preserve">: </t>
        </is>
      </c>
      <c r="O11" s="558" t="n"/>
      <c r="P11" s="486" t="n"/>
      <c r="Q11" s="486" t="n"/>
      <c r="R11" s="486" t="n"/>
      <c r="S11" s="559" t="n"/>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ht="15" customHeight="1" s="227">
      <c r="A13" s="10" t="n"/>
      <c r="B13" s="247" t="inlineStr">
        <is>
          <t>Anma Akımı (A)</t>
        </is>
      </c>
      <c r="F13" s="89" t="inlineStr">
        <is>
          <t>:</t>
        </is>
      </c>
      <c r="G13" s="284" t="n"/>
      <c r="H13" s="486" t="n"/>
      <c r="I13" s="486" t="n"/>
      <c r="J13" s="486" t="n"/>
      <c r="K13" s="277" t="inlineStr">
        <is>
          <t>İmal Yılı</t>
        </is>
      </c>
      <c r="N13" s="560" t="inlineStr">
        <is>
          <t>:</t>
        </is>
      </c>
      <c r="O13" s="279" t="n"/>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ht="15" customHeight="1" s="227">
      <c r="A15" s="10" t="n"/>
      <c r="B15" s="280" t="inlineStr">
        <is>
          <t>Gerilim Seviyesi (V)</t>
        </is>
      </c>
      <c r="F15" s="89" t="inlineStr">
        <is>
          <t xml:space="preserve">:  </t>
        </is>
      </c>
      <c r="G15" s="284" t="n"/>
      <c r="H15" s="486" t="n"/>
      <c r="I15" s="486" t="n"/>
      <c r="J15" s="486" t="n"/>
      <c r="K15" s="277" t="inlineStr">
        <is>
          <t>Seri Numarası</t>
        </is>
      </c>
      <c r="N15" s="560" t="inlineStr">
        <is>
          <t>:</t>
        </is>
      </c>
      <c r="O15" s="283" t="n"/>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Motor Gerilimi</t>
        </is>
      </c>
      <c r="F17" s="560" t="inlineStr">
        <is>
          <t>:</t>
        </is>
      </c>
      <c r="G17" s="284" t="n"/>
      <c r="H17" s="486" t="n"/>
      <c r="I17" s="486" t="n"/>
      <c r="J17" s="486" t="n"/>
      <c r="K17" s="277" t="inlineStr">
        <is>
          <t>Bobin Gerilimi</t>
        </is>
      </c>
      <c r="N17" s="560" t="inlineStr">
        <is>
          <t>:</t>
        </is>
      </c>
      <c r="O17" s="283"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306" t="n"/>
      <c r="H24" s="487" t="n"/>
      <c r="I24" s="93" t="n"/>
      <c r="J24" s="561" t="n"/>
      <c r="K24" s="291" t="inlineStr">
        <is>
          <t>Kesici Temizliği</t>
        </is>
      </c>
      <c r="O24" s="89" t="inlineStr">
        <is>
          <t>:</t>
        </is>
      </c>
      <c r="P24" s="306" t="n"/>
      <c r="Q24" s="487" t="n"/>
      <c r="R24" s="93" t="n"/>
      <c r="S24" s="561" t="n"/>
      <c r="T24" s="11" t="n"/>
    </row>
    <row r="25" ht="3.75" customHeight="1" s="227">
      <c r="A25" s="10" t="n"/>
      <c r="B25" s="70" t="n"/>
      <c r="C25" s="67" t="n"/>
      <c r="D25" s="67" t="n"/>
      <c r="E25" s="67" t="n"/>
      <c r="F25" s="67" t="n"/>
      <c r="G25" s="67" t="n"/>
      <c r="H25" s="67" t="n"/>
      <c r="I25" s="94" t="n"/>
      <c r="J25" s="94" t="n"/>
      <c r="K25" s="67" t="n"/>
      <c r="L25" s="67" t="n"/>
      <c r="M25" s="67" t="n"/>
      <c r="N25" s="67" t="n"/>
      <c r="O25" s="67" t="n"/>
      <c r="P25" s="94" t="n"/>
      <c r="Q25" s="94" t="n"/>
      <c r="R25" s="94" t="n"/>
      <c r="S25" s="120" t="n"/>
      <c r="T25" s="11" t="n"/>
    </row>
    <row r="26" ht="15" customHeight="1" s="227">
      <c r="A26" s="10" t="n"/>
      <c r="B26" s="280" t="inlineStr">
        <is>
          <t>DC Redresör Kontrolü</t>
        </is>
      </c>
      <c r="F26" s="89" t="inlineStr">
        <is>
          <t>:</t>
        </is>
      </c>
      <c r="G26" s="89" t="n"/>
      <c r="H26" s="306" t="n"/>
      <c r="I26" s="93" t="n"/>
      <c r="J26" s="561" t="n"/>
      <c r="K26" s="291" t="inlineStr">
        <is>
          <t>Hücre Temizliği</t>
        </is>
      </c>
      <c r="O26" s="89" t="inlineStr">
        <is>
          <t>:</t>
        </is>
      </c>
      <c r="P26" s="306" t="n"/>
      <c r="Q26" s="487" t="n"/>
      <c r="R26" s="93" t="n"/>
      <c r="S26" s="561" t="n"/>
      <c r="T26" s="11" t="n"/>
    </row>
    <row r="27" ht="3.75" customHeight="1" s="227">
      <c r="A27" s="10" t="n"/>
      <c r="B27" s="70" t="n"/>
      <c r="C27" s="67" t="n"/>
      <c r="D27" s="67" t="n"/>
      <c r="E27" s="67" t="n"/>
      <c r="F27" s="67" t="n"/>
      <c r="G27" s="67" t="n"/>
      <c r="H27" s="67" t="n"/>
      <c r="I27" s="94" t="n"/>
      <c r="J27" s="94" t="n"/>
      <c r="K27" s="67" t="n"/>
      <c r="L27" s="67" t="n"/>
      <c r="M27" s="67" t="n"/>
      <c r="N27" s="67" t="n"/>
      <c r="O27" s="67" t="n"/>
      <c r="P27" s="94" t="n"/>
      <c r="Q27" s="94" t="n"/>
      <c r="R27" s="94" t="n"/>
      <c r="S27" s="120" t="n"/>
      <c r="T27" s="11" t="n"/>
    </row>
    <row r="28" ht="15" customHeight="1" s="227">
      <c r="A28" s="10" t="n"/>
      <c r="B28" s="280" t="inlineStr">
        <is>
          <t>İndikatör Kontrolü</t>
        </is>
      </c>
      <c r="F28" s="89" t="inlineStr">
        <is>
          <t>:</t>
        </is>
      </c>
      <c r="G28" s="306" t="n"/>
      <c r="H28" s="487" t="n"/>
      <c r="I28" s="93" t="n"/>
      <c r="J28" s="93" t="n"/>
      <c r="K28" s="291" t="inlineStr">
        <is>
          <t>Bara Kontrolü</t>
        </is>
      </c>
      <c r="O28" s="116" t="inlineStr">
        <is>
          <t xml:space="preserve">: </t>
        </is>
      </c>
      <c r="P28" s="306" t="n"/>
      <c r="Q28" s="487" t="n"/>
      <c r="R28" s="93" t="n"/>
      <c r="S28" s="93" t="n"/>
      <c r="T28" s="11" t="n"/>
    </row>
    <row r="29" ht="3.75" customHeight="1" s="227">
      <c r="A29" s="10" t="n"/>
      <c r="B29" s="70" t="n"/>
      <c r="C29" s="67" t="n"/>
      <c r="D29" s="67" t="n"/>
      <c r="E29" s="67" t="n"/>
      <c r="F29" s="67" t="n"/>
      <c r="G29" s="67" t="n"/>
      <c r="H29" s="67" t="n"/>
      <c r="I29" s="94" t="n"/>
      <c r="J29" s="94" t="n"/>
      <c r="K29" s="67" t="n"/>
      <c r="L29" s="67" t="n"/>
      <c r="M29" s="67" t="n"/>
      <c r="N29" s="67" t="n"/>
      <c r="O29" s="67" t="n"/>
      <c r="P29" s="94" t="n"/>
      <c r="Q29" s="94" t="n"/>
      <c r="R29" s="94" t="n"/>
      <c r="S29" s="120" t="n"/>
      <c r="T29" s="11" t="n"/>
    </row>
    <row r="30" ht="15" customHeight="1" s="227">
      <c r="A30" s="10" t="n"/>
      <c r="B30" s="280" t="inlineStr">
        <is>
          <t>Mekanik Konrolü</t>
        </is>
      </c>
      <c r="F30" s="89" t="inlineStr">
        <is>
          <t>:</t>
        </is>
      </c>
      <c r="G30" s="306" t="n"/>
      <c r="H30" s="487" t="n"/>
      <c r="I30" s="93" t="n"/>
      <c r="J30" s="93" t="n"/>
      <c r="K30" s="291" t="inlineStr">
        <is>
          <t>Isıtıcı Kontrolü</t>
        </is>
      </c>
      <c r="O30" s="89" t="inlineStr">
        <is>
          <t>:</t>
        </is>
      </c>
      <c r="P30" s="306" t="n"/>
      <c r="Q30" s="487" t="n"/>
      <c r="R30" s="93" t="n"/>
      <c r="S30" s="93" t="n"/>
      <c r="T30" s="11" t="n"/>
    </row>
    <row r="31" ht="3.75" customHeight="1" s="227">
      <c r="A31" s="10" t="n"/>
      <c r="B31" s="70" t="n"/>
      <c r="C31" s="67" t="n"/>
      <c r="D31" s="67" t="n"/>
      <c r="E31" s="67" t="n"/>
      <c r="F31" s="67" t="n"/>
      <c r="G31" s="67" t="n"/>
      <c r="H31" s="67" t="n"/>
      <c r="I31" s="94" t="n"/>
      <c r="J31" s="94" t="n"/>
      <c r="K31" s="67" t="n"/>
      <c r="L31" s="67" t="n"/>
      <c r="M31" s="67" t="n"/>
      <c r="N31" s="67" t="n"/>
      <c r="O31" s="67" t="n"/>
      <c r="P31" s="94" t="n"/>
      <c r="Q31" s="94" t="n"/>
      <c r="R31" s="94" t="n"/>
      <c r="S31" s="120" t="n"/>
      <c r="T31" s="11" t="n"/>
    </row>
    <row r="32" ht="15" customHeight="1" s="227">
      <c r="A32" s="10" t="n"/>
      <c r="B32" s="280" t="inlineStr">
        <is>
          <t>Kablo Başlığı Kontrolü</t>
        </is>
      </c>
      <c r="F32" s="110" t="inlineStr">
        <is>
          <t>:</t>
        </is>
      </c>
      <c r="G32" s="306" t="n"/>
      <c r="H32" s="487" t="n"/>
      <c r="I32" s="93" t="n"/>
      <c r="J32" s="93" t="n"/>
      <c r="K32" s="291" t="inlineStr">
        <is>
          <t>A.A Röle Kontrolü</t>
        </is>
      </c>
      <c r="O32" s="111" t="inlineStr">
        <is>
          <t>:</t>
        </is>
      </c>
      <c r="P32" s="306" t="n"/>
      <c r="Q32" s="487" t="n"/>
      <c r="R32" s="9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62" t="n"/>
      <c r="C34" s="563" t="n"/>
      <c r="D34" s="563" t="n"/>
      <c r="E34" s="563" t="n"/>
      <c r="F34" s="563" t="n"/>
      <c r="G34" s="563" t="n"/>
      <c r="H34" s="563" t="n"/>
      <c r="I34" s="563" t="n"/>
      <c r="J34" s="563" t="n"/>
      <c r="K34" s="563" t="n"/>
      <c r="L34" s="563" t="n"/>
      <c r="M34" s="563" t="n"/>
      <c r="N34" s="563" t="n"/>
      <c r="O34" s="563" t="n"/>
      <c r="P34" s="563" t="n"/>
      <c r="Q34" s="563" t="n"/>
      <c r="R34" s="563" t="n"/>
      <c r="S34" s="564" t="n"/>
      <c r="T34" s="11" t="n"/>
    </row>
    <row r="35" ht="15.75" customHeight="1" s="227">
      <c r="A35" s="10" t="n"/>
      <c r="B35" s="485" t="inlineStr">
        <is>
          <t>BASAMAK VOLTAJ TESTİ</t>
        </is>
      </c>
      <c r="C35" s="99" t="n"/>
      <c r="D35" s="99" t="n"/>
      <c r="E35" s="99" t="n"/>
      <c r="F35" s="99" t="n"/>
      <c r="G35" s="99" t="n"/>
      <c r="H35" s="99" t="n"/>
      <c r="I35" s="99" t="n"/>
      <c r="J35" s="99" t="n"/>
      <c r="K35" s="99" t="n"/>
      <c r="L35" s="99" t="n"/>
      <c r="M35" s="99" t="n"/>
      <c r="N35" s="99" t="n"/>
      <c r="O35" s="99" t="n"/>
      <c r="P35" s="99" t="n"/>
      <c r="Q35" s="99" t="n"/>
      <c r="R35" s="99" t="n"/>
      <c r="S35" s="482" t="n"/>
      <c r="T35" s="11" t="n"/>
      <c r="V35" s="54" t="n"/>
      <c r="W35" s="54" t="n"/>
      <c r="X35" s="54" t="n"/>
      <c r="AE35" s="54" t="n"/>
      <c r="AF35" s="54" t="n"/>
      <c r="AG35" s="54" t="n"/>
      <c r="AH35" s="54" t="n"/>
      <c r="AI35" s="54" t="n"/>
      <c r="AJ35" s="54" t="n"/>
      <c r="AK35" s="54" t="n"/>
      <c r="AL35" s="54" t="n"/>
      <c r="AM35" s="54" t="n"/>
      <c r="AN35" s="54" t="n"/>
    </row>
    <row r="36" ht="3" customHeight="1" s="227">
      <c r="A36" s="10" t="n"/>
      <c r="B36" s="3" t="n"/>
      <c r="C36" s="127" t="n"/>
      <c r="D36" s="127" t="n"/>
      <c r="E36" s="127" t="n"/>
      <c r="F36" s="127" t="n"/>
      <c r="G36" s="127" t="n"/>
      <c r="H36" s="127" t="n"/>
      <c r="I36" s="127" t="n"/>
      <c r="J36" s="127" t="n"/>
      <c r="K36" s="127" t="n"/>
      <c r="L36" s="127" t="n"/>
      <c r="M36" s="127" t="n"/>
      <c r="N36" s="127" t="n"/>
      <c r="O36" s="127" t="n"/>
      <c r="P36" s="127" t="n"/>
      <c r="Q36" s="127" t="n"/>
      <c r="R36" s="127" t="n"/>
      <c r="S36" s="143"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3" t="n"/>
      <c r="C37" s="440" t="inlineStr">
        <is>
          <t>R1 (1.04kV)</t>
        </is>
      </c>
      <c r="D37" s="99" t="n"/>
      <c r="E37" s="482" t="n"/>
      <c r="F37" s="440" t="inlineStr">
        <is>
          <t>R2 (2.04kV)</t>
        </is>
      </c>
      <c r="G37" s="99" t="n"/>
      <c r="H37" s="482" t="n"/>
      <c r="I37" s="440" t="inlineStr">
        <is>
          <t>R3 (3.06kV)</t>
        </is>
      </c>
      <c r="J37" s="99" t="n"/>
      <c r="K37" s="482" t="n"/>
      <c r="L37" s="440" t="inlineStr">
        <is>
          <t>R4 (4.06kV)</t>
        </is>
      </c>
      <c r="M37" s="99" t="n"/>
      <c r="N37" s="482" t="n"/>
      <c r="O37" s="440" t="inlineStr">
        <is>
          <t>R5 (5.09kV)</t>
        </is>
      </c>
      <c r="P37" s="99" t="n"/>
      <c r="Q37" s="482" t="n"/>
      <c r="R37" s="440" t="inlineStr">
        <is>
          <t>SONUÇ</t>
        </is>
      </c>
      <c r="S37" s="48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3" t="n"/>
      <c r="C38" s="127" t="n"/>
      <c r="D38" s="127" t="n"/>
      <c r="E38" s="127" t="n"/>
      <c r="F38" s="127" t="n"/>
      <c r="G38" s="127" t="n"/>
      <c r="H38" s="127" t="n"/>
      <c r="I38" s="127" t="n"/>
      <c r="J38" s="127" t="n"/>
      <c r="K38" s="127" t="n"/>
      <c r="L38" s="127" t="n"/>
      <c r="M38" s="127" t="n"/>
      <c r="N38" s="127" t="n"/>
      <c r="O38" s="127" t="n"/>
      <c r="P38" s="127" t="n"/>
      <c r="Q38" s="127" t="n"/>
      <c r="R38" s="127" t="n"/>
      <c r="S38" s="143"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376" t="inlineStr">
        <is>
          <t>L-1</t>
        </is>
      </c>
      <c r="C39" s="529" t="n"/>
      <c r="D39" s="99" t="n"/>
      <c r="E39" s="565" t="inlineStr">
        <is>
          <t>GΩ</t>
        </is>
      </c>
      <c r="F39" s="529" t="n"/>
      <c r="G39" s="99" t="n"/>
      <c r="H39" s="565" t="inlineStr">
        <is>
          <t>GΩ</t>
        </is>
      </c>
      <c r="I39" s="529" t="n"/>
      <c r="J39" s="99" t="n"/>
      <c r="K39" s="565" t="inlineStr">
        <is>
          <t>GΩ</t>
        </is>
      </c>
      <c r="L39" s="529" t="n"/>
      <c r="M39" s="99" t="n"/>
      <c r="N39" s="565" t="inlineStr">
        <is>
          <t>GΩ</t>
        </is>
      </c>
      <c r="O39" s="529" t="n"/>
      <c r="P39" s="99" t="n"/>
      <c r="Q39" s="565" t="inlineStr">
        <is>
          <t>GΩ</t>
        </is>
      </c>
      <c r="R39" s="374">
        <f>IF(O39&gt;250,1,0)</f>
        <v/>
      </c>
      <c r="S39" s="48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566" t="n"/>
      <c r="C40" s="45" t="n"/>
      <c r="D40" s="45" t="n"/>
      <c r="E40" s="127" t="n"/>
      <c r="F40" s="45" t="n"/>
      <c r="G40" s="45" t="n"/>
      <c r="H40" s="127" t="n"/>
      <c r="I40" s="45" t="n"/>
      <c r="J40" s="45" t="n"/>
      <c r="K40" s="127" t="n"/>
      <c r="L40" s="45" t="n"/>
      <c r="M40" s="45" t="n"/>
      <c r="N40" s="127" t="n"/>
      <c r="O40" s="45" t="n"/>
      <c r="P40" s="45" t="n"/>
      <c r="Q40" s="127" t="n"/>
      <c r="R40" s="127" t="n"/>
      <c r="S40" s="143"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376" t="inlineStr">
        <is>
          <t>L-2</t>
        </is>
      </c>
      <c r="C41" s="529" t="n"/>
      <c r="D41" s="99" t="n"/>
      <c r="E41" s="565" t="inlineStr">
        <is>
          <t>GΩ</t>
        </is>
      </c>
      <c r="F41" s="529" t="n"/>
      <c r="G41" s="99" t="n"/>
      <c r="H41" s="565" t="inlineStr">
        <is>
          <t>GΩ</t>
        </is>
      </c>
      <c r="I41" s="529" t="n"/>
      <c r="J41" s="99" t="n"/>
      <c r="K41" s="565" t="inlineStr">
        <is>
          <t>GΩ</t>
        </is>
      </c>
      <c r="L41" s="529" t="n"/>
      <c r="M41" s="99" t="n"/>
      <c r="N41" s="565" t="inlineStr">
        <is>
          <t>GΩ</t>
        </is>
      </c>
      <c r="O41" s="529" t="n"/>
      <c r="P41" s="99" t="n"/>
      <c r="Q41" s="565" t="inlineStr">
        <is>
          <t>GΩ</t>
        </is>
      </c>
      <c r="R41" s="374">
        <f>IF(O41&gt;250,1,0)</f>
        <v/>
      </c>
      <c r="S41" s="48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566" t="n"/>
      <c r="C42" s="45" t="n"/>
      <c r="D42" s="45" t="n"/>
      <c r="E42" s="127" t="n"/>
      <c r="F42" s="45" t="n"/>
      <c r="G42" s="45" t="n"/>
      <c r="H42" s="127" t="n"/>
      <c r="I42" s="45" t="n"/>
      <c r="J42" s="45" t="n"/>
      <c r="K42" s="127" t="n"/>
      <c r="L42" s="45" t="n"/>
      <c r="M42" s="45" t="n"/>
      <c r="N42" s="127" t="n"/>
      <c r="O42" s="45" t="n"/>
      <c r="P42" s="45" t="n"/>
      <c r="Q42" s="127" t="n"/>
      <c r="R42" s="127" t="n"/>
      <c r="S42" s="143"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376" t="inlineStr">
        <is>
          <t>L-3</t>
        </is>
      </c>
      <c r="C43" s="529" t="n"/>
      <c r="D43" s="99" t="n"/>
      <c r="E43" s="565" t="inlineStr">
        <is>
          <t>GΩ</t>
        </is>
      </c>
      <c r="F43" s="529" t="n"/>
      <c r="G43" s="99" t="n"/>
      <c r="H43" s="565" t="inlineStr">
        <is>
          <t>GΩ</t>
        </is>
      </c>
      <c r="I43" s="529" t="n"/>
      <c r="J43" s="99" t="n"/>
      <c r="K43" s="565" t="inlineStr">
        <is>
          <t>GΩ</t>
        </is>
      </c>
      <c r="L43" s="529" t="n"/>
      <c r="M43" s="99" t="n"/>
      <c r="N43" s="565" t="inlineStr">
        <is>
          <t>GΩ</t>
        </is>
      </c>
      <c r="O43" s="529" t="n"/>
      <c r="P43" s="99" t="n"/>
      <c r="Q43" s="565" t="inlineStr">
        <is>
          <t>GΩ</t>
        </is>
      </c>
      <c r="R43" s="374">
        <f>IF(O43&gt;250,1,0)</f>
        <v/>
      </c>
      <c r="S43" s="482"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7" t="n"/>
      <c r="D50" s="99" t="n"/>
      <c r="E50" s="99" t="n"/>
      <c r="F50" s="568" t="inlineStr">
        <is>
          <t>kV</t>
        </is>
      </c>
      <c r="G50" s="569" t="n"/>
      <c r="H50" s="99" t="n"/>
      <c r="I50" s="565" t="inlineStr">
        <is>
          <t>GΩ</t>
        </is>
      </c>
      <c r="J50" s="570">
        <f>IF(G50&gt;50,1,0)</f>
        <v/>
      </c>
      <c r="K50" s="376" t="n"/>
      <c r="L50" s="99" t="n"/>
      <c r="M50" s="99" t="n"/>
      <c r="N50" s="482" t="n"/>
      <c r="O50" s="571" t="n"/>
      <c r="P50" s="99" t="n"/>
      <c r="Q50" s="99" t="n"/>
      <c r="R50" s="565"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72" t="n"/>
      <c r="C51" s="27" t="n"/>
      <c r="D51" s="27" t="n"/>
      <c r="E51" s="27" t="n"/>
      <c r="F51" s="573" t="n"/>
      <c r="G51" s="574" t="n"/>
      <c r="H51" s="574" t="n"/>
      <c r="I51" s="27" t="n"/>
      <c r="J51" s="27" t="n"/>
      <c r="K51" s="27" t="n"/>
      <c r="L51" s="27" t="n"/>
      <c r="M51" s="27" t="n"/>
      <c r="N51" s="27" t="n"/>
      <c r="O51" s="575" t="n"/>
      <c r="P51" s="575" t="n"/>
      <c r="Q51" s="575"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7" t="n"/>
      <c r="D52" s="99" t="n"/>
      <c r="E52" s="99" t="n"/>
      <c r="F52" s="568" t="inlineStr">
        <is>
          <t>kV</t>
        </is>
      </c>
      <c r="G52" s="569" t="n"/>
      <c r="H52" s="99" t="n"/>
      <c r="I52" s="565" t="inlineStr">
        <is>
          <t>GΩ</t>
        </is>
      </c>
      <c r="J52" s="570">
        <f>IF(G52&gt;50,1,0)</f>
        <v/>
      </c>
      <c r="K52" s="376" t="n"/>
      <c r="L52" s="99" t="n"/>
      <c r="M52" s="99" t="n"/>
      <c r="N52" s="482" t="n"/>
      <c r="O52" s="576" t="n"/>
      <c r="P52" s="99" t="n"/>
      <c r="Q52" s="99" t="n"/>
      <c r="R52" s="565"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72" t="n"/>
      <c r="C53" s="27" t="n"/>
      <c r="D53" s="27" t="n"/>
      <c r="E53" s="27" t="n"/>
      <c r="F53" s="573" t="n"/>
      <c r="G53" s="574" t="n"/>
      <c r="H53" s="574" t="n"/>
      <c r="I53" s="27" t="n"/>
      <c r="J53" s="27" t="n"/>
      <c r="K53" s="27" t="n"/>
      <c r="L53" s="27" t="n"/>
      <c r="M53" s="27" t="n"/>
      <c r="N53" s="27" t="n"/>
      <c r="O53" s="575" t="n"/>
      <c r="P53" s="575" t="n"/>
      <c r="Q53" s="575"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7" t="n"/>
      <c r="D54" s="99" t="n"/>
      <c r="E54" s="99" t="n"/>
      <c r="F54" s="568" t="inlineStr">
        <is>
          <t>kV</t>
        </is>
      </c>
      <c r="G54" s="569" t="n"/>
      <c r="H54" s="99" t="n"/>
      <c r="I54" s="565" t="inlineStr">
        <is>
          <t>GΩ</t>
        </is>
      </c>
      <c r="J54" s="570">
        <f>IF(G54&gt;50,1,0)</f>
        <v/>
      </c>
      <c r="K54" s="376" t="n"/>
      <c r="L54" s="99" t="n"/>
      <c r="M54" s="99" t="n"/>
      <c r="N54" s="482" t="n"/>
      <c r="O54" s="576" t="n"/>
      <c r="P54" s="99" t="n"/>
      <c r="Q54" s="99" t="n"/>
      <c r="R54" s="565"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7" t="n"/>
      <c r="D61" s="99" t="n"/>
      <c r="E61" s="482" t="inlineStr">
        <is>
          <t>ms</t>
        </is>
      </c>
      <c r="F61" s="529">
        <f>MAX(V80:V85)</f>
        <v/>
      </c>
      <c r="G61" s="99" t="n"/>
      <c r="H61" s="398" t="inlineStr">
        <is>
          <t>ms</t>
        </is>
      </c>
      <c r="I61" s="482" t="n"/>
      <c r="J61" s="577" t="n"/>
      <c r="K61" s="99" t="n"/>
      <c r="L61" s="482" t="inlineStr">
        <is>
          <t>ms</t>
        </is>
      </c>
      <c r="M61" s="529">
        <f>MAX(X80:X85)</f>
        <v/>
      </c>
      <c r="N61" s="99" t="n"/>
      <c r="O61" s="398" t="inlineStr">
        <is>
          <t>ms</t>
        </is>
      </c>
      <c r="P61" s="482" t="n"/>
      <c r="Q61" s="578"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9" t="n"/>
      <c r="C62" s="580" t="n"/>
      <c r="D62" s="580" t="n"/>
      <c r="F62" s="3" t="n"/>
      <c r="G62" s="127" t="n"/>
      <c r="H62" s="127" t="n"/>
      <c r="I62" s="143" t="n"/>
      <c r="J62" s="580" t="n"/>
      <c r="K62" s="580"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7" t="n"/>
      <c r="D63" s="99" t="n"/>
      <c r="E63" s="482" t="inlineStr">
        <is>
          <t>ms</t>
        </is>
      </c>
      <c r="F63" s="374" t="inlineStr">
        <is>
          <t>BOBİN AKIMI</t>
        </is>
      </c>
      <c r="G63" s="99" t="n"/>
      <c r="H63" s="99" t="n"/>
      <c r="I63" s="482" t="n"/>
      <c r="J63" s="577" t="n"/>
      <c r="K63" s="99" t="n"/>
      <c r="L63" s="482" t="inlineStr">
        <is>
          <t>ms</t>
        </is>
      </c>
      <c r="M63" s="374" t="inlineStr">
        <is>
          <t>BOBİN AKIMI</t>
        </is>
      </c>
      <c r="N63" s="99" t="n"/>
      <c r="O63" s="99" t="n"/>
      <c r="P63" s="482" t="n"/>
      <c r="Q63" s="578"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9" t="n"/>
      <c r="C64" s="580" t="n"/>
      <c r="D64" s="580" t="n"/>
      <c r="F64" s="3" t="n"/>
      <c r="G64" s="127" t="n"/>
      <c r="H64" s="127" t="n"/>
      <c r="I64" s="143" t="n"/>
      <c r="J64" s="580" t="n"/>
      <c r="K64" s="580" t="n"/>
      <c r="M64" s="3" t="n"/>
      <c r="N64" s="127" t="n"/>
      <c r="O64" s="127" t="n"/>
      <c r="P64" s="143" t="n"/>
      <c r="S64" s="212" t="n"/>
      <c r="T64" s="11" t="n"/>
    </row>
    <row r="65" ht="15" customHeight="1" s="227">
      <c r="A65" s="10" t="n"/>
      <c r="B65" s="504" t="inlineStr">
        <is>
          <t>L-3</t>
        </is>
      </c>
      <c r="C65" s="577" t="n"/>
      <c r="D65" s="99" t="n"/>
      <c r="E65" s="482" t="inlineStr">
        <is>
          <t>ms</t>
        </is>
      </c>
      <c r="F65" s="529" t="n"/>
      <c r="G65" s="99" t="n"/>
      <c r="H65" s="398" t="inlineStr">
        <is>
          <t>A</t>
        </is>
      </c>
      <c r="I65" s="482" t="n"/>
      <c r="J65" s="577" t="n"/>
      <c r="K65" s="99" t="n"/>
      <c r="L65" s="482" t="inlineStr">
        <is>
          <t>ms</t>
        </is>
      </c>
      <c r="M65" s="529" t="n"/>
      <c r="N65" s="99" t="n"/>
      <c r="O65" s="398" t="inlineStr">
        <is>
          <t>A</t>
        </is>
      </c>
      <c r="P65" s="482" t="n"/>
      <c r="Q65" s="578" t="n"/>
      <c r="R65" s="99" t="n"/>
      <c r="S65" s="482" t="n"/>
      <c r="T65" s="11" t="n"/>
    </row>
    <row r="66" ht="3" customHeight="1" s="227">
      <c r="A66" s="10" t="n"/>
      <c r="B66" s="581" t="n"/>
      <c r="C66" s="582" t="n"/>
      <c r="D66" s="582"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83" t="n"/>
      <c r="D67" s="583" t="n"/>
      <c r="E67" s="583" t="n"/>
      <c r="F67" s="583" t="n"/>
      <c r="G67" s="583" t="n"/>
      <c r="H67" s="583" t="n"/>
      <c r="I67" s="583" t="n"/>
      <c r="J67" s="583" t="n"/>
      <c r="K67" s="583" t="n"/>
      <c r="L67" s="583" t="n"/>
      <c r="M67" s="583" t="n"/>
      <c r="N67" s="583" t="n"/>
      <c r="O67" s="583" t="n"/>
      <c r="P67" s="583" t="n"/>
      <c r="Q67" s="583" t="n"/>
      <c r="R67" s="583" t="n"/>
      <c r="S67" s="398" t="n"/>
      <c r="T67" s="11" t="n"/>
    </row>
    <row r="68" ht="15.75" customHeight="1" s="227">
      <c r="A68" s="10" t="n"/>
      <c r="B68" s="584" t="inlineStr">
        <is>
          <t>Sonuç :</t>
        </is>
      </c>
      <c r="C68" s="585" t="n"/>
      <c r="D68" s="586"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7"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8" t="n"/>
      <c r="C70" s="589" t="n"/>
      <c r="D70" s="589" t="n"/>
      <c r="E70" s="589" t="n"/>
      <c r="F70" s="589" t="n"/>
      <c r="G70" s="589" t="n"/>
      <c r="H70" s="589" t="n"/>
      <c r="I70" s="589" t="n"/>
      <c r="J70" s="589" t="n"/>
      <c r="K70" s="589" t="n"/>
      <c r="L70" s="589" t="n"/>
      <c r="M70" s="589" t="n"/>
      <c r="N70" s="589" t="n"/>
      <c r="O70" s="589" t="n"/>
      <c r="P70" s="589" t="n"/>
      <c r="Q70" s="589" t="n"/>
      <c r="R70" s="589" t="n"/>
      <c r="S70" s="590" t="n"/>
      <c r="T70" s="11" t="n"/>
    </row>
    <row r="71" ht="15.75" customHeight="1" s="227">
      <c r="A71" s="10" t="n"/>
      <c r="B71" s="588" t="n"/>
      <c r="C71" s="589" t="n"/>
      <c r="D71" s="589" t="n"/>
      <c r="E71" s="589" t="n"/>
      <c r="F71" s="589" t="n"/>
      <c r="G71" s="589" t="n"/>
      <c r="H71" s="589" t="n"/>
      <c r="I71" s="589" t="n"/>
      <c r="J71" s="589" t="n"/>
      <c r="K71" s="589" t="n"/>
      <c r="L71" s="589" t="n"/>
      <c r="M71" s="589" t="n"/>
      <c r="N71" s="589" t="n"/>
      <c r="O71" s="589" t="n"/>
      <c r="P71" s="589" t="n"/>
      <c r="Q71" s="589" t="n"/>
      <c r="R71" s="589" t="n"/>
      <c r="S71" s="590" t="n"/>
      <c r="T71" s="11" t="n"/>
    </row>
    <row r="72" ht="15.75" customHeight="1" s="227">
      <c r="A72" s="10" t="n"/>
      <c r="B72" s="591" t="n"/>
      <c r="C72" s="592" t="n"/>
      <c r="D72" s="592" t="n"/>
      <c r="E72" s="592" t="n"/>
      <c r="F72" s="592" t="n"/>
      <c r="G72" s="592" t="n"/>
      <c r="H72" s="592" t="n"/>
      <c r="I72" s="592" t="n"/>
      <c r="J72" s="592" t="n"/>
      <c r="K72" s="592" t="n"/>
      <c r="L72" s="592" t="n"/>
      <c r="M72" s="592" t="n"/>
      <c r="N72" s="592" t="n"/>
      <c r="O72" s="592" t="n"/>
      <c r="P72" s="592" t="n"/>
      <c r="Q72" s="592" t="n"/>
      <c r="R72" s="592" t="n"/>
      <c r="S72" s="593" t="n"/>
      <c r="T72" s="11" t="n"/>
    </row>
    <row r="73" ht="4.5" customHeight="1" s="227">
      <c r="A73" s="10" t="n"/>
      <c r="B73" s="594"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5" t="inlineStr">
        <is>
          <t>Rapor Tarihi</t>
        </is>
      </c>
      <c r="C74" s="47" t="n"/>
      <c r="D74" s="47" t="n"/>
      <c r="E74" s="27" t="inlineStr">
        <is>
          <t>:</t>
        </is>
      </c>
      <c r="F74" s="596">
        <f>'ANA SAYFA'!F72</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7">
        <f>'ANA SAYFA'!F73</f>
        <v/>
      </c>
      <c r="J75" s="212" t="n"/>
      <c r="K75" s="161" t="n"/>
      <c r="L75" s="162" t="n"/>
      <c r="M75" s="27" t="n"/>
      <c r="N75" s="598" t="n"/>
      <c r="O75" s="598" t="n"/>
      <c r="P75" s="598" t="n"/>
      <c r="Q75" s="598" t="n"/>
      <c r="R75" s="598" t="n"/>
      <c r="S75" s="599" t="n"/>
      <c r="T75" s="11" t="n"/>
    </row>
    <row r="76" ht="13.5" customHeight="1" s="227">
      <c r="A76" s="10" t="n"/>
      <c r="B76" s="267" t="inlineStr">
        <is>
          <t>Unvan</t>
        </is>
      </c>
      <c r="E76" s="27" t="inlineStr">
        <is>
          <t>:</t>
        </is>
      </c>
      <c r="F76" s="600" t="inlineStr">
        <is>
          <t>Elektrik Mühendisi</t>
        </is>
      </c>
      <c r="J76" s="212" t="n"/>
      <c r="K76" s="161" t="n"/>
      <c r="L76" s="162" t="n"/>
      <c r="M76" s="27" t="n"/>
      <c r="N76" s="27" t="n"/>
      <c r="O76" s="27" t="n"/>
      <c r="P76" s="27" t="n"/>
      <c r="Q76" s="27" t="n"/>
      <c r="R76" s="27" t="n"/>
      <c r="S76" s="601" t="n"/>
      <c r="T76" s="11" t="n"/>
    </row>
    <row r="77" ht="13.5" customHeight="1" s="227">
      <c r="A77" s="10" t="n"/>
      <c r="B77" s="267" t="inlineStr">
        <is>
          <t>Sicil No</t>
        </is>
      </c>
      <c r="E77" s="27" t="inlineStr">
        <is>
          <t>:</t>
        </is>
      </c>
      <c r="F77" s="600" t="n"/>
      <c r="J77" s="212" t="n"/>
      <c r="K77" s="267" t="n"/>
      <c r="L77" s="277" t="n"/>
      <c r="M77" s="27" t="n"/>
      <c r="N77" s="602" t="n"/>
      <c r="O77" s="602" t="n"/>
      <c r="P77" s="602" t="n"/>
      <c r="Q77" s="602" t="n"/>
      <c r="R77" s="602" t="n"/>
      <c r="S77" s="600" t="n"/>
      <c r="T77" s="11" t="n"/>
    </row>
    <row r="78" ht="13.5" customHeight="1" s="227">
      <c r="A78" s="10" t="n"/>
      <c r="B78" s="163" t="inlineStr">
        <is>
          <t>Ekipnet No</t>
        </is>
      </c>
      <c r="C78" s="50" t="n"/>
      <c r="D78" s="50" t="n"/>
      <c r="E78" s="603" t="inlineStr">
        <is>
          <t>:</t>
        </is>
      </c>
      <c r="F78" s="604" t="n"/>
      <c r="G78" s="50" t="n"/>
      <c r="H78" s="50" t="n"/>
      <c r="I78" s="50" t="n"/>
      <c r="J78" s="213" t="n"/>
      <c r="K78" s="163" t="n"/>
      <c r="L78" s="164" t="n"/>
      <c r="M78" s="603" t="n"/>
      <c r="N78" s="605" t="n"/>
      <c r="O78" s="605" t="n"/>
      <c r="P78" s="605" t="n"/>
      <c r="Q78" s="605" t="n"/>
      <c r="R78" s="605" t="n"/>
      <c r="S78" s="604"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6">
        <f>C61-C63</f>
        <v/>
      </c>
      <c r="X80" s="580">
        <f>J61-J63</f>
        <v/>
      </c>
    </row>
    <row r="81" ht="15" customHeight="1" s="227">
      <c r="V81" s="606">
        <f>C61-C65</f>
        <v/>
      </c>
      <c r="X81" s="580">
        <f>J61-J65</f>
        <v/>
      </c>
    </row>
    <row r="82" ht="15" customHeight="1" s="227">
      <c r="V82" s="606">
        <f>C63-C65</f>
        <v/>
      </c>
      <c r="X82" s="580">
        <f>J63-J65</f>
        <v/>
      </c>
    </row>
    <row r="83" ht="15" customHeight="1" s="227">
      <c r="V83" s="606">
        <f>C63-C61</f>
        <v/>
      </c>
      <c r="X83" s="580">
        <f>J63-J61</f>
        <v/>
      </c>
    </row>
    <row r="84" ht="15" customHeight="1" s="227">
      <c r="V84" s="606">
        <f>C65-C61</f>
        <v/>
      </c>
      <c r="X84" s="580">
        <f>J65-J61</f>
        <v/>
      </c>
    </row>
    <row r="85" ht="15" customHeight="1" s="227">
      <c r="V85" s="606">
        <f>C65-C63</f>
        <v/>
      </c>
      <c r="X85" s="580">
        <f>J65-J63</f>
        <v/>
      </c>
      <c r="AA85" s="580"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F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4.85546875" customWidth="1" style="227" min="16" max="16"/>
    <col width="4.5703125" customWidth="1" style="227" min="17" max="17"/>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7" t="inlineStr">
        <is>
          <t>L-1</t>
        </is>
      </c>
      <c r="C17" s="482" t="n"/>
      <c r="D17" s="445">
        <f>'ANA SAYFA KESİCİ'!G50</f>
        <v/>
      </c>
      <c r="E17" s="482" t="n"/>
      <c r="F17" s="518" t="inlineStr">
        <is>
          <t>GΩ</t>
        </is>
      </c>
      <c r="G17" s="482" t="n"/>
      <c r="H17" s="397" t="n">
        <v>10000</v>
      </c>
      <c r="I17" s="99" t="n"/>
      <c r="J17" s="609" t="inlineStr">
        <is>
          <t>VDC</t>
        </is>
      </c>
      <c r="K17" s="375">
        <f>H17/D17</f>
        <v/>
      </c>
      <c r="L17" s="99" t="n"/>
      <c r="M17" s="609" t="inlineStr">
        <is>
          <t>nA</t>
        </is>
      </c>
      <c r="N17" s="406">
        <f>IF(D17&gt;D16,1,0)</f>
        <v/>
      </c>
      <c r="O17" s="398">
        <f>IF(D17&gt;D16,"UYGUN","UYGUN DEĞİL")</f>
        <v/>
      </c>
      <c r="P17" s="99" t="n"/>
      <c r="Q17" s="482" t="n"/>
      <c r="R17" s="11" t="n"/>
    </row>
    <row r="18" ht="15" customHeight="1" s="227">
      <c r="A18" s="10" t="n"/>
      <c r="B18" s="517" t="inlineStr">
        <is>
          <t>L-2</t>
        </is>
      </c>
      <c r="C18" s="482" t="n"/>
      <c r="D18" s="445">
        <f>'ANA SAYFA KESİCİ'!G52</f>
        <v/>
      </c>
      <c r="E18" s="482" t="n"/>
      <c r="F18" s="517" t="inlineStr">
        <is>
          <t>GΩ</t>
        </is>
      </c>
      <c r="G18" s="482" t="n"/>
      <c r="H18" s="397" t="n">
        <v>10000</v>
      </c>
      <c r="I18" s="99" t="n"/>
      <c r="J18" s="609" t="inlineStr">
        <is>
          <t>VDC</t>
        </is>
      </c>
      <c r="K18" s="375">
        <f>H18/D18</f>
        <v/>
      </c>
      <c r="L18" s="99" t="n"/>
      <c r="M18" s="609" t="inlineStr">
        <is>
          <t>nA</t>
        </is>
      </c>
      <c r="N18" s="406">
        <f>IF(D18&gt;D16,1,0)</f>
        <v/>
      </c>
      <c r="O18" s="398">
        <f>IF(D18&gt;D16,"UYGUN","UYGUN DEĞİL")</f>
        <v/>
      </c>
      <c r="P18" s="99" t="n"/>
      <c r="Q18" s="482" t="n"/>
      <c r="R18" s="11" t="n"/>
    </row>
    <row r="19" ht="15" customHeight="1" s="227">
      <c r="A19" s="10" t="n"/>
      <c r="B19" s="517" t="inlineStr">
        <is>
          <t>L-3</t>
        </is>
      </c>
      <c r="C19" s="482" t="n"/>
      <c r="D19" s="445">
        <f>'ANA SAYFA KESİCİ'!G54</f>
        <v/>
      </c>
      <c r="E19" s="482" t="n"/>
      <c r="F19" s="517" t="inlineStr">
        <is>
          <t>GΩ</t>
        </is>
      </c>
      <c r="G19" s="482" t="n"/>
      <c r="H19" s="397" t="n">
        <v>10000</v>
      </c>
      <c r="I19" s="99" t="n"/>
      <c r="J19" s="609" t="inlineStr">
        <is>
          <t>VDC</t>
        </is>
      </c>
      <c r="K19" s="375">
        <f>H19/D19</f>
        <v/>
      </c>
      <c r="L19" s="99" t="n"/>
      <c r="M19" s="609"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3" t="n"/>
      <c r="R28" s="11" t="n"/>
      <c r="X28" s="256" t="inlineStr">
        <is>
          <t>Yapılan ölçümlerde kesicinin İzolasyon değerleri uygun değildir.</t>
        </is>
      </c>
    </row>
    <row r="29" ht="18.75" customHeight="1" s="227">
      <c r="A29" s="33" t="n"/>
      <c r="B29" s="485" t="inlineStr">
        <is>
          <t>BASAMAK VOLTAJ TESTİ</t>
        </is>
      </c>
      <c r="C29" s="99" t="n"/>
      <c r="D29" s="99" t="n"/>
      <c r="E29" s="99" t="n"/>
      <c r="F29" s="99" t="n"/>
      <c r="G29" s="99" t="n"/>
      <c r="H29" s="99" t="n"/>
      <c r="I29" s="99" t="n"/>
      <c r="J29" s="99" t="n"/>
      <c r="K29" s="99" t="n"/>
      <c r="L29" s="99" t="n"/>
      <c r="M29" s="99" t="n"/>
      <c r="N29" s="99" t="n"/>
      <c r="O29" s="99" t="n"/>
      <c r="P29" s="99" t="n"/>
      <c r="Q29" s="482" t="n"/>
      <c r="R29" s="11" t="n"/>
    </row>
    <row r="30" ht="5.25" customHeight="1" s="227">
      <c r="A30" s="33" t="n"/>
      <c r="B30" s="118" t="n"/>
      <c r="C30" s="423" t="n"/>
      <c r="E30" s="423" t="n"/>
      <c r="G30" s="424" t="n"/>
      <c r="I30" s="423" t="n"/>
      <c r="K30" s="424" t="n"/>
      <c r="M30" s="424" t="n"/>
      <c r="O30" s="424" t="n"/>
      <c r="Q30" s="117" t="n"/>
      <c r="R30" s="11" t="n"/>
    </row>
    <row r="31" ht="15" customHeight="1" s="227">
      <c r="A31" s="33" t="n"/>
      <c r="B31" s="145" t="n"/>
      <c r="C31" s="610" t="n"/>
      <c r="D31" s="611" t="inlineStr">
        <is>
          <t>L-1</t>
        </is>
      </c>
      <c r="E31" s="482" t="n"/>
      <c r="F31" s="611" t="inlineStr">
        <is>
          <t>L-2</t>
        </is>
      </c>
      <c r="G31" s="482" t="n"/>
      <c r="H31" s="611" t="inlineStr">
        <is>
          <t>L-3</t>
        </is>
      </c>
      <c r="I31" s="482" t="n"/>
      <c r="J31" s="146" t="n"/>
      <c r="K31" s="440" t="inlineStr">
        <is>
          <t>Basamak Gerilimi</t>
        </is>
      </c>
      <c r="L31" s="99" t="n"/>
      <c r="M31" s="482" t="n"/>
      <c r="N31" s="440" t="inlineStr">
        <is>
          <t>Sonuç</t>
        </is>
      </c>
      <c r="O31" s="99" t="n"/>
      <c r="P31" s="99" t="n"/>
      <c r="Q31" s="482" t="n"/>
      <c r="R31" s="11" t="n"/>
    </row>
    <row r="32" ht="13.5" customHeight="1" s="227">
      <c r="A32" s="10" t="n"/>
      <c r="B32" s="517" t="inlineStr">
        <is>
          <t>R1</t>
        </is>
      </c>
      <c r="C32" s="482" t="n"/>
      <c r="D32" s="445">
        <f>'ANA SAYFA KESİCİ'!C39</f>
        <v/>
      </c>
      <c r="E32" s="482" t="n"/>
      <c r="F32" s="445">
        <f>'ANA SAYFA KESİCİ'!C41</f>
        <v/>
      </c>
      <c r="G32" s="482" t="n"/>
      <c r="H32" s="445">
        <f>'ANA SAYFA KESİCİ'!C43</f>
        <v/>
      </c>
      <c r="I32" s="482" t="n"/>
      <c r="J32" s="609" t="inlineStr">
        <is>
          <t>GΩ</t>
        </is>
      </c>
      <c r="K32" s="397" t="n">
        <v>1.04</v>
      </c>
      <c r="L32" s="99" t="n"/>
      <c r="M32" s="612" t="inlineStr">
        <is>
          <t>kV</t>
        </is>
      </c>
      <c r="N32" s="406">
        <f>IF(D32&gt;50,1,0)</f>
        <v/>
      </c>
      <c r="O32" s="398">
        <f>IF(D32&gt;50,"UYGUN","UYGUN DEĞİL")</f>
        <v/>
      </c>
      <c r="P32" s="99" t="n"/>
      <c r="Q32" s="482" t="n"/>
      <c r="R32" s="11" t="n"/>
    </row>
    <row r="33" ht="13.5" customHeight="1" s="227">
      <c r="A33" s="10" t="n"/>
      <c r="B33" s="517" t="inlineStr">
        <is>
          <t>R2</t>
        </is>
      </c>
      <c r="C33" s="482" t="n"/>
      <c r="D33" s="445">
        <f>'ANA SAYFA KESİCİ'!F39</f>
        <v/>
      </c>
      <c r="E33" s="482" t="n"/>
      <c r="F33" s="445">
        <f>'ANA SAYFA KESİCİ'!F41</f>
        <v/>
      </c>
      <c r="G33" s="482" t="n"/>
      <c r="H33" s="445">
        <f>'ANA SAYFA KESİCİ'!F43</f>
        <v/>
      </c>
      <c r="I33" s="482" t="n"/>
      <c r="J33" s="609" t="inlineStr">
        <is>
          <t>GΩ</t>
        </is>
      </c>
      <c r="K33" s="397" t="n">
        <v>2.04</v>
      </c>
      <c r="L33" s="99" t="n"/>
      <c r="M33" s="612" t="inlineStr">
        <is>
          <t>kV</t>
        </is>
      </c>
      <c r="N33" s="406">
        <f>IF(D33&gt;50,1,0)</f>
        <v/>
      </c>
      <c r="O33" s="398">
        <f>IF(D33&gt;50,"UYGUN","UYGUN DEĞİL")</f>
        <v/>
      </c>
      <c r="P33" s="99" t="n"/>
      <c r="Q33" s="482" t="n"/>
      <c r="R33" s="11" t="n"/>
    </row>
    <row r="34" ht="13.5" customHeight="1" s="227">
      <c r="A34" s="10" t="n"/>
      <c r="B34" s="517" t="inlineStr">
        <is>
          <t>R3</t>
        </is>
      </c>
      <c r="C34" s="482" t="n"/>
      <c r="D34" s="445">
        <f>'ANA SAYFA KESİCİ'!I39</f>
        <v/>
      </c>
      <c r="E34" s="482" t="n"/>
      <c r="F34" s="445">
        <f>'ANA SAYFA KESİCİ'!I41</f>
        <v/>
      </c>
      <c r="G34" s="482" t="n"/>
      <c r="H34" s="445">
        <f>'ANA SAYFA KESİCİ'!I43</f>
        <v/>
      </c>
      <c r="I34" s="482" t="n"/>
      <c r="J34" s="609" t="inlineStr">
        <is>
          <t>GΩ</t>
        </is>
      </c>
      <c r="K34" s="397" t="n">
        <v>3.05</v>
      </c>
      <c r="L34" s="99" t="n"/>
      <c r="M34" s="612" t="inlineStr">
        <is>
          <t>kV</t>
        </is>
      </c>
      <c r="N34" s="406">
        <f>IF(D34&gt;50,1,0)</f>
        <v/>
      </c>
      <c r="O34" s="398">
        <f>IF(D34&gt;50,"UYGUN","UYGUN DEĞİL")</f>
        <v/>
      </c>
      <c r="P34" s="99" t="n"/>
      <c r="Q34" s="482" t="n"/>
      <c r="R34" s="11" t="n"/>
    </row>
    <row r="35" ht="13.5" customHeight="1" s="227">
      <c r="A35" s="10" t="n"/>
      <c r="B35" s="517" t="inlineStr">
        <is>
          <t>R4</t>
        </is>
      </c>
      <c r="C35" s="482" t="n"/>
      <c r="D35" s="445">
        <f>'ANA SAYFA KESİCİ'!L39</f>
        <v/>
      </c>
      <c r="E35" s="482" t="n"/>
      <c r="F35" s="445">
        <f>'ANA SAYFA KESİCİ'!L41</f>
        <v/>
      </c>
      <c r="G35" s="482" t="n"/>
      <c r="H35" s="445">
        <f>'ANA SAYFA KESİCİ'!L43</f>
        <v/>
      </c>
      <c r="I35" s="482" t="n"/>
      <c r="J35" s="609" t="inlineStr">
        <is>
          <t>GΩ</t>
        </is>
      </c>
      <c r="K35" s="397" t="n">
        <v>4.05</v>
      </c>
      <c r="L35" s="99" t="n"/>
      <c r="M35" s="612" t="inlineStr">
        <is>
          <t>kV</t>
        </is>
      </c>
      <c r="N35" s="406">
        <f>IF(D35&gt;50,1,0)</f>
        <v/>
      </c>
      <c r="O35" s="398">
        <f>IF(D35&gt;50,"UYGUN","UYGUN DEĞİL")</f>
        <v/>
      </c>
      <c r="P35" s="99" t="n"/>
      <c r="Q35" s="482" t="n"/>
      <c r="R35" s="11" t="n"/>
    </row>
    <row r="36" ht="13.5" customHeight="1" s="227">
      <c r="A36" s="10" t="n"/>
      <c r="B36" s="517" t="inlineStr">
        <is>
          <t>R5</t>
        </is>
      </c>
      <c r="C36" s="482" t="n"/>
      <c r="D36" s="445">
        <f>'ANA SAYFA KESİCİ'!O39</f>
        <v/>
      </c>
      <c r="E36" s="482" t="n"/>
      <c r="F36" s="445">
        <f>'ANA SAYFA KESİCİ'!O41</f>
        <v/>
      </c>
      <c r="G36" s="482" t="n"/>
      <c r="H36" s="445">
        <f>'ANA SAYFA KESİCİ'!O43</f>
        <v/>
      </c>
      <c r="I36" s="482" t="n"/>
      <c r="J36" s="609" t="inlineStr">
        <is>
          <t>GΩ</t>
        </is>
      </c>
      <c r="K36" s="397" t="n">
        <v>5.09</v>
      </c>
      <c r="L36" s="99" t="n"/>
      <c r="M36" s="612" t="inlineStr">
        <is>
          <t>kV</t>
        </is>
      </c>
      <c r="N36" s="406">
        <f>IF(D36&gt;50,1,0)</f>
        <v/>
      </c>
      <c r="O36" s="398">
        <f>IF(D36&gt;50,"UYGUN","UYGUN DEĞİL")</f>
        <v/>
      </c>
      <c r="P36" s="99" t="n"/>
      <c r="Q36" s="482" t="n"/>
      <c r="R36" s="11" t="n"/>
    </row>
    <row r="37" ht="15" customHeight="1" s="227">
      <c r="A37" s="10" t="n"/>
      <c r="B37" s="3" t="n"/>
      <c r="C37" s="317" t="n"/>
      <c r="D37" s="317" t="n"/>
      <c r="E37" s="317" t="n"/>
      <c r="F37" s="317" t="n"/>
      <c r="G37" s="317" t="n"/>
      <c r="H37" s="317" t="n"/>
      <c r="I37" s="317" t="n"/>
      <c r="J37" s="317" t="n"/>
      <c r="K37" s="127" t="n"/>
      <c r="L37" s="317" t="n"/>
      <c r="M37" s="317" t="n"/>
      <c r="N37" s="317" t="n"/>
      <c r="O37" s="317" t="n"/>
      <c r="P37" s="317" t="n"/>
      <c r="Q37" s="117" t="n"/>
      <c r="R37" s="11" t="n"/>
    </row>
    <row r="38" ht="15" customHeight="1" s="227">
      <c r="A38" s="10" t="n"/>
      <c r="B38" s="530" t="n"/>
      <c r="C38" s="317" t="n"/>
      <c r="E38" s="317" t="n"/>
      <c r="G38" s="317" t="n"/>
      <c r="I38" s="317" t="n"/>
      <c r="K38" s="127" t="n"/>
      <c r="L38" s="613" t="n"/>
      <c r="N38" s="127" t="n"/>
      <c r="O38" s="613" t="n"/>
      <c r="Q38" s="143" t="n"/>
      <c r="R38" s="11" t="n"/>
    </row>
    <row r="39" ht="15" customHeight="1" s="227">
      <c r="A39" s="10" t="n"/>
      <c r="B39" s="530" t="n"/>
      <c r="C39" s="317" t="n"/>
      <c r="D39" s="317" t="n"/>
      <c r="E39" s="317" t="n"/>
      <c r="F39" s="317" t="n"/>
      <c r="G39" s="317" t="n"/>
      <c r="H39" s="317" t="n"/>
      <c r="I39" s="317" t="n"/>
      <c r="J39" s="317" t="n"/>
      <c r="K39" s="127" t="n"/>
      <c r="L39" s="613" t="n"/>
      <c r="M39" s="613" t="n"/>
      <c r="N39" s="127" t="n"/>
      <c r="O39" s="613" t="n"/>
      <c r="P39" s="613" t="n"/>
      <c r="Q39" s="143" t="n"/>
      <c r="R39" s="11" t="n"/>
    </row>
    <row r="40" ht="15" customHeight="1" s="227">
      <c r="A40" s="10" t="n"/>
      <c r="B40" s="530" t="n"/>
      <c r="C40" s="317" t="n"/>
      <c r="E40" s="317" t="n"/>
      <c r="G40" s="317" t="n"/>
      <c r="I40" s="317" t="n"/>
      <c r="K40" s="127" t="n"/>
      <c r="L40" s="613" t="n"/>
      <c r="N40" s="127" t="n"/>
      <c r="O40" s="613" t="n"/>
      <c r="Q40" s="143" t="n"/>
      <c r="R40" s="11" t="n"/>
    </row>
    <row r="41" ht="15" customHeight="1" s="227">
      <c r="A41" s="10" t="n"/>
      <c r="B41" s="530" t="n"/>
      <c r="C41" s="317" t="n"/>
      <c r="D41" s="317" t="n"/>
      <c r="E41" s="317" t="n"/>
      <c r="F41" s="317" t="n"/>
      <c r="G41" s="317" t="n"/>
      <c r="H41" s="317" t="n"/>
      <c r="I41" s="317" t="n"/>
      <c r="J41" s="317" t="n"/>
      <c r="K41" s="127" t="n"/>
      <c r="L41" s="613" t="n"/>
      <c r="M41" s="613" t="n"/>
      <c r="N41" s="127" t="n"/>
      <c r="O41" s="613" t="n"/>
      <c r="P41" s="613" t="n"/>
      <c r="Q41" s="143" t="n"/>
      <c r="R41" s="11" t="n"/>
    </row>
    <row r="42" ht="15" customHeight="1" s="227">
      <c r="A42" s="10" t="n"/>
      <c r="B42" s="530" t="n"/>
      <c r="C42" s="317" t="n"/>
      <c r="D42" s="317" t="n"/>
      <c r="E42" s="317" t="n"/>
      <c r="F42" s="317" t="n"/>
      <c r="G42" s="317" t="n"/>
      <c r="H42" s="317" t="n"/>
      <c r="I42" s="317" t="n"/>
      <c r="J42" s="317" t="n"/>
      <c r="K42" s="127" t="n"/>
      <c r="L42" s="613" t="n"/>
      <c r="M42" s="613" t="n"/>
      <c r="N42" s="127" t="n"/>
      <c r="O42" s="613" t="n"/>
      <c r="P42" s="613" t="n"/>
      <c r="Q42" s="143" t="n"/>
      <c r="R42" s="11" t="n"/>
    </row>
    <row r="43" ht="15" customHeight="1" s="227">
      <c r="A43" s="10" t="n"/>
      <c r="B43" s="530" t="n"/>
      <c r="C43" s="317" t="n"/>
      <c r="D43" s="317" t="n"/>
      <c r="E43" s="317" t="n"/>
      <c r="F43" s="317" t="n"/>
      <c r="G43" s="317" t="n"/>
      <c r="H43" s="317" t="n"/>
      <c r="I43" s="317" t="n"/>
      <c r="J43" s="317" t="n"/>
      <c r="K43" s="127" t="n"/>
      <c r="L43" s="613" t="n"/>
      <c r="M43" s="613" t="n"/>
      <c r="N43" s="127" t="n"/>
      <c r="O43" s="613" t="n"/>
      <c r="P43" s="613" t="n"/>
      <c r="Q43" s="143" t="n"/>
      <c r="R43" s="11" t="n"/>
    </row>
    <row r="44" ht="15" customHeight="1" s="227">
      <c r="A44" s="10" t="n"/>
      <c r="B44" s="530" t="n"/>
      <c r="C44" s="317" t="n"/>
      <c r="D44" s="317" t="n"/>
      <c r="E44" s="317" t="n"/>
      <c r="F44" s="317" t="n"/>
      <c r="G44" s="317" t="n"/>
      <c r="H44" s="317" t="n"/>
      <c r="I44" s="317" t="n"/>
      <c r="J44" s="317" t="n"/>
      <c r="K44" s="127" t="n"/>
      <c r="L44" s="613" t="n"/>
      <c r="M44" s="613" t="n"/>
      <c r="N44" s="127" t="n"/>
      <c r="O44" s="613" t="n"/>
      <c r="P44" s="613" t="n"/>
      <c r="Q44" s="143" t="n"/>
      <c r="R44" s="11" t="n"/>
    </row>
    <row r="45" ht="15" customHeight="1" s="227">
      <c r="A45" s="10" t="n"/>
      <c r="B45" s="530" t="n"/>
      <c r="C45" s="317" t="n"/>
      <c r="D45" s="317" t="n"/>
      <c r="E45" s="317" t="n"/>
      <c r="F45" s="317" t="n"/>
      <c r="G45" s="317" t="n"/>
      <c r="H45" s="317" t="n"/>
      <c r="I45" s="317" t="n"/>
      <c r="J45" s="317" t="n"/>
      <c r="K45" s="127" t="n"/>
      <c r="L45" s="613" t="n"/>
      <c r="M45" s="613" t="n"/>
      <c r="N45" s="127" t="n"/>
      <c r="O45" s="613" t="n"/>
      <c r="P45" s="613" t="n"/>
      <c r="Q45" s="143" t="n"/>
      <c r="R45" s="11" t="n"/>
    </row>
    <row r="46" ht="15" customHeight="1" s="227">
      <c r="A46" s="10" t="n"/>
      <c r="B46" s="118" t="n"/>
      <c r="C46" s="23" t="n"/>
      <c r="D46" s="23" t="n"/>
      <c r="E46" s="23" t="n"/>
      <c r="F46" s="23" t="n"/>
      <c r="G46" s="23" t="n"/>
      <c r="H46" s="23" t="n"/>
      <c r="I46" s="23" t="n"/>
      <c r="J46" s="23" t="n"/>
      <c r="K46" s="23" t="n"/>
      <c r="L46" s="23" t="n"/>
      <c r="M46" s="23" t="n"/>
      <c r="N46" s="23" t="n"/>
      <c r="O46" s="23" t="n"/>
      <c r="P46" s="23" t="n"/>
      <c r="Q46" s="117" t="n"/>
      <c r="R46" s="11" t="n"/>
    </row>
    <row r="47" ht="15.75" customHeight="1" s="227">
      <c r="A47" s="10" t="n"/>
      <c r="B47" s="432" t="inlineStr">
        <is>
          <t>Sonuç :</t>
        </is>
      </c>
      <c r="C47" s="482" t="n"/>
      <c r="D47" s="360">
        <f>IF(OR(X24&lt;1,X20&lt;3),X28,X27)</f>
        <v/>
      </c>
      <c r="E47" s="47" t="n"/>
      <c r="F47" s="47" t="n"/>
      <c r="G47" s="47" t="n"/>
      <c r="H47" s="47" t="n"/>
      <c r="I47" s="47" t="n"/>
      <c r="J47" s="47" t="n"/>
      <c r="K47" s="47" t="n"/>
      <c r="L47" s="47" t="n"/>
      <c r="M47" s="47" t="n"/>
      <c r="N47" s="47" t="n"/>
      <c r="O47" s="47" t="n"/>
      <c r="P47" s="47" t="n"/>
      <c r="Q47" s="211" t="n"/>
      <c r="R47" s="11" t="n"/>
    </row>
    <row r="48" ht="15" customHeight="1" s="227">
      <c r="A48" s="10" t="n"/>
      <c r="B48" s="118" t="n"/>
      <c r="C48" s="23" t="n"/>
      <c r="Q48" s="212" t="n"/>
      <c r="R48" s="11" t="n"/>
    </row>
    <row r="49" ht="11.25" customHeight="1" s="227">
      <c r="A49" s="10" t="n"/>
      <c r="B49" s="181" t="n"/>
      <c r="C49" s="614" t="n"/>
      <c r="Q49" s="212" t="n"/>
      <c r="R49" s="11" t="n"/>
    </row>
    <row r="50" ht="22.5" customHeight="1" s="227">
      <c r="A50" s="10" t="n"/>
      <c r="B50" s="365" t="inlineStr">
        <is>
          <t>UNVAN</t>
        </is>
      </c>
      <c r="C50" s="47" t="n"/>
      <c r="D50" s="47" t="n"/>
      <c r="E50" s="533"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3" t="inlineStr">
        <is>
          <t>:</t>
        </is>
      </c>
      <c r="F51" s="535">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6"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09">
    <mergeCell ref="H35:I35"/>
    <mergeCell ref="X28:AF28"/>
    <mergeCell ref="F16:G16"/>
    <mergeCell ref="H10:I10"/>
    <mergeCell ref="K33:L33"/>
    <mergeCell ref="B53:D53"/>
    <mergeCell ref="D36:E36"/>
    <mergeCell ref="D31:E31"/>
    <mergeCell ref="K35:L35"/>
    <mergeCell ref="F53:I53"/>
    <mergeCell ref="M10:N10"/>
    <mergeCell ref="B8:I8"/>
    <mergeCell ref="L38:M38"/>
    <mergeCell ref="O40:P40"/>
    <mergeCell ref="K16:M16"/>
    <mergeCell ref="L40:M40"/>
    <mergeCell ref="O10:Q10"/>
    <mergeCell ref="G2:I2"/>
    <mergeCell ref="O19:Q19"/>
    <mergeCell ref="O33:Q33"/>
    <mergeCell ref="B33:C33"/>
    <mergeCell ref="D33:E33"/>
    <mergeCell ref="B32:C32"/>
    <mergeCell ref="B29:Q29"/>
    <mergeCell ref="B35:C35"/>
    <mergeCell ref="D35:E35"/>
    <mergeCell ref="I30:J30"/>
    <mergeCell ref="K30:L30"/>
    <mergeCell ref="B16:C16"/>
    <mergeCell ref="C30:D30"/>
    <mergeCell ref="N31:Q31"/>
    <mergeCell ref="D19:E19"/>
    <mergeCell ref="D34:E34"/>
    <mergeCell ref="F19:G19"/>
    <mergeCell ref="F34:G34"/>
    <mergeCell ref="K31:M31"/>
    <mergeCell ref="D47:Q48"/>
    <mergeCell ref="F52:I52"/>
    <mergeCell ref="B18:C18"/>
    <mergeCell ref="H16:J16"/>
    <mergeCell ref="H34:I34"/>
    <mergeCell ref="E38:F38"/>
    <mergeCell ref="G38:H38"/>
    <mergeCell ref="K3:Q3"/>
    <mergeCell ref="K32:L32"/>
    <mergeCell ref="F18:G18"/>
    <mergeCell ref="F33:G33"/>
    <mergeCell ref="H36:I36"/>
    <mergeCell ref="C40:D40"/>
    <mergeCell ref="N16:Q16"/>
    <mergeCell ref="E40:F40"/>
    <mergeCell ref="F17:G17"/>
    <mergeCell ref="H17:I17"/>
    <mergeCell ref="F31:G31"/>
    <mergeCell ref="H19:I19"/>
    <mergeCell ref="K17:L17"/>
    <mergeCell ref="O18:Q18"/>
    <mergeCell ref="K19:L19"/>
    <mergeCell ref="J8:Q8"/>
    <mergeCell ref="O35:Q35"/>
    <mergeCell ref="G3:I3"/>
    <mergeCell ref="H31:I31"/>
    <mergeCell ref="B5:Q5"/>
    <mergeCell ref="O30:P30"/>
    <mergeCell ref="F36:G36"/>
    <mergeCell ref="O17:Q17"/>
    <mergeCell ref="B17:C17"/>
    <mergeCell ref="D10:G10"/>
    <mergeCell ref="D17:E17"/>
    <mergeCell ref="B51:D51"/>
    <mergeCell ref="B19:C19"/>
    <mergeCell ref="B34:C34"/>
    <mergeCell ref="B50:D50"/>
    <mergeCell ref="F50:I50"/>
    <mergeCell ref="C38:D38"/>
    <mergeCell ref="J10:L10"/>
    <mergeCell ref="B2:F3"/>
    <mergeCell ref="O38:P38"/>
    <mergeCell ref="K18:L18"/>
    <mergeCell ref="B47:C47"/>
    <mergeCell ref="K34:L34"/>
    <mergeCell ref="O32:Q32"/>
    <mergeCell ref="K36:L36"/>
    <mergeCell ref="D32:E32"/>
    <mergeCell ref="F32:G32"/>
    <mergeCell ref="F35:G35"/>
    <mergeCell ref="M30:N30"/>
    <mergeCell ref="D16:E16"/>
    <mergeCell ref="E30:F30"/>
    <mergeCell ref="G30:H30"/>
    <mergeCell ref="H32:I32"/>
    <mergeCell ref="B10:C10"/>
    <mergeCell ref="B12:Q12"/>
    <mergeCell ref="D18:E18"/>
    <mergeCell ref="X27:AF27"/>
    <mergeCell ref="C49:Q49"/>
    <mergeCell ref="F51:I51"/>
    <mergeCell ref="O34:Q34"/>
    <mergeCell ref="B14:Q14"/>
    <mergeCell ref="I38:J38"/>
    <mergeCell ref="J50:Q50"/>
    <mergeCell ref="H18:I18"/>
    <mergeCell ref="H33:I33"/>
    <mergeCell ref="O36:Q36"/>
    <mergeCell ref="B36:C36"/>
    <mergeCell ref="B52:D52"/>
    <mergeCell ref="G40:H40"/>
    <mergeCell ref="K2:Q2"/>
    <mergeCell ref="I40:J40"/>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19" t="inlineStr">
        <is>
          <t>Kontak Direnci µΩ</t>
        </is>
      </c>
      <c r="C14" s="99" t="n"/>
      <c r="D14" s="99" t="n"/>
      <c r="E14" s="99" t="n"/>
      <c r="F14" s="99" t="n"/>
      <c r="G14" s="99" t="n"/>
      <c r="H14" s="99" t="n"/>
      <c r="I14" s="482" t="n"/>
      <c r="J14" s="615" t="inlineStr">
        <is>
          <t xml:space="preserve">L-1 </t>
        </is>
      </c>
      <c r="K14" s="79" t="n"/>
      <c r="L14" s="79" t="n"/>
      <c r="M14" s="79" t="n"/>
      <c r="N14" s="79" t="n"/>
      <c r="O14" s="79" t="n"/>
      <c r="P14" s="542">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6"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7"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8"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9" t="n"/>
      <c r="E22" s="317" t="n"/>
      <c r="G22" s="317" t="n"/>
      <c r="I22" s="317" t="n"/>
      <c r="K22" s="317" t="n"/>
      <c r="M22" s="317" t="n"/>
      <c r="O22" s="317" t="n"/>
      <c r="Q22" s="117" t="n"/>
      <c r="R22" s="11" t="n"/>
    </row>
    <row r="23" ht="18.75" customHeight="1" s="227">
      <c r="A23" s="10" t="n"/>
      <c r="B23" s="419" t="inlineStr">
        <is>
          <t>Kontak Direnci µΩ</t>
        </is>
      </c>
      <c r="C23" s="99" t="n"/>
      <c r="D23" s="99" t="n"/>
      <c r="E23" s="99" t="n"/>
      <c r="F23" s="99" t="n"/>
      <c r="G23" s="99" t="n"/>
      <c r="H23" s="99" t="n"/>
      <c r="I23" s="482" t="n"/>
      <c r="J23" s="615" t="inlineStr">
        <is>
          <t>L-2</t>
        </is>
      </c>
      <c r="K23" s="79" t="n"/>
      <c r="L23" s="79" t="n"/>
      <c r="M23" s="79" t="n"/>
      <c r="N23" s="79" t="n"/>
      <c r="O23" s="79" t="n"/>
      <c r="P23" s="542">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6"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7"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8"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75" customHeight="1" s="227">
      <c r="A32" s="10" t="n"/>
      <c r="B32" s="419" t="inlineStr">
        <is>
          <t>Kontak Direnci µΩ</t>
        </is>
      </c>
      <c r="C32" s="99" t="n"/>
      <c r="D32" s="99" t="n"/>
      <c r="E32" s="99" t="n"/>
      <c r="F32" s="99" t="n"/>
      <c r="G32" s="99" t="n"/>
      <c r="H32" s="99" t="n"/>
      <c r="I32" s="482" t="n"/>
      <c r="J32" s="615" t="inlineStr">
        <is>
          <t xml:space="preserve">L-3 </t>
        </is>
      </c>
      <c r="K32" s="79" t="n"/>
      <c r="L32" s="79" t="n"/>
      <c r="M32" s="79" t="n"/>
      <c r="N32" s="79" t="n"/>
      <c r="O32" s="79" t="n"/>
      <c r="P32" s="542">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6"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7"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8"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20">
        <f>IF(P14&lt;1,V25,V24)</f>
        <v/>
      </c>
      <c r="E45" s="47" t="n"/>
      <c r="F45" s="47" t="n"/>
      <c r="G45" s="47" t="n"/>
      <c r="H45" s="47" t="n"/>
      <c r="I45" s="47" t="n"/>
      <c r="J45" s="47" t="n"/>
      <c r="K45" s="47" t="n"/>
      <c r="L45" s="47" t="n"/>
      <c r="M45" s="47" t="n"/>
      <c r="N45" s="47" t="n"/>
      <c r="O45" s="47" t="n"/>
      <c r="P45" s="47" t="n"/>
      <c r="Q45" s="211" t="n"/>
      <c r="R45" s="11" t="n"/>
    </row>
    <row r="46" ht="15" customHeight="1" s="227">
      <c r="A46" s="10" t="n"/>
      <c r="B46" s="621" t="n"/>
      <c r="C46" s="548" t="n"/>
      <c r="D46" s="622">
        <f>IF(P23&lt;1,V27,V26)</f>
        <v/>
      </c>
      <c r="Q46" s="212" t="n"/>
      <c r="R46" s="11" t="n"/>
    </row>
    <row r="47" ht="15" customHeight="1" s="227">
      <c r="A47" s="10" t="n"/>
      <c r="B47" s="621" t="n"/>
      <c r="C47" s="548" t="n"/>
      <c r="D47" s="622">
        <f>IF(P32&lt;1,V29,V28)</f>
        <v/>
      </c>
      <c r="Q47" s="212" t="n"/>
      <c r="R47" s="11" t="n"/>
    </row>
    <row r="48" ht="15" customHeight="1" s="227">
      <c r="A48" s="10" t="n"/>
      <c r="B48" s="621" t="n"/>
      <c r="C48" s="548" t="n"/>
      <c r="D48" s="622" t="n"/>
      <c r="Q48" s="212" t="n"/>
      <c r="R48" s="11" t="n"/>
    </row>
    <row r="49" ht="9" customHeight="1" s="227">
      <c r="A49" s="10" t="n"/>
      <c r="B49" s="549" t="n"/>
      <c r="C49" s="550" t="n"/>
      <c r="D49" s="622" t="n"/>
      <c r="Q49" s="212" t="n"/>
      <c r="R49" s="11" t="n"/>
    </row>
    <row r="50" ht="22.5" customHeight="1" s="227">
      <c r="A50" s="10" t="n"/>
      <c r="B50" s="365" t="inlineStr">
        <is>
          <t>UNVAN</t>
        </is>
      </c>
      <c r="C50" s="47" t="n"/>
      <c r="D50" s="47" t="n"/>
      <c r="E50" s="533"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3" t="inlineStr">
        <is>
          <t>:</t>
        </is>
      </c>
      <c r="F51" s="535">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6"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23" t="n"/>
      <c r="D10" s="409" t="n"/>
      <c r="E10" s="409" t="n"/>
      <c r="F10" s="409" t="n"/>
      <c r="G10" s="409" t="n"/>
      <c r="H10" s="623" t="n"/>
      <c r="I10" s="623"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24"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5"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6">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60"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60"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60" t="inlineStr">
        <is>
          <t>:</t>
        </is>
      </c>
      <c r="G19" s="284">
        <f>'ANA SAYFA KESİCİ'!G17</f>
        <v/>
      </c>
      <c r="H19" s="486" t="n"/>
      <c r="I19" s="486" t="n"/>
      <c r="J19" s="277" t="inlineStr">
        <is>
          <t>Bobin Gerilimi</t>
        </is>
      </c>
      <c r="M19" s="560"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75"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13" t="n">
        <v>80</v>
      </c>
      <c r="T21" s="613"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75"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9">
        <f>'ANA SAYFA KESİCİ'!C61:D61</f>
        <v/>
      </c>
      <c r="D25" s="99" t="n"/>
      <c r="E25" s="609" t="inlineStr">
        <is>
          <t>ms</t>
        </is>
      </c>
      <c r="F25" s="627" t="inlineStr">
        <is>
          <t>Bobin Gerilimi</t>
        </is>
      </c>
      <c r="G25" s="47" t="n"/>
      <c r="H25" s="398">
        <f>'ANA SAYFA KESİCİ'!O17</f>
        <v/>
      </c>
      <c r="I25" s="211" t="n"/>
      <c r="J25" s="374" t="inlineStr">
        <is>
          <t>A-1</t>
        </is>
      </c>
      <c r="K25" s="628">
        <f>'ANA SAYFA KESİCİ'!J61</f>
        <v/>
      </c>
      <c r="L25" s="47" t="n"/>
      <c r="M25" s="41" t="inlineStr">
        <is>
          <t>ms</t>
        </is>
      </c>
      <c r="N25" s="627"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9">
        <f>'ANA SAYFA KESİCİ'!C63:D63</f>
        <v/>
      </c>
      <c r="D26" s="99" t="n"/>
      <c r="E26" s="609" t="inlineStr">
        <is>
          <t>ms</t>
        </is>
      </c>
      <c r="F26" s="49" t="n"/>
      <c r="G26" s="50" t="n"/>
      <c r="H26" s="50" t="n"/>
      <c r="I26" s="213" t="n"/>
      <c r="J26" s="374" t="inlineStr">
        <is>
          <t>B-1</t>
        </is>
      </c>
      <c r="K26" s="529">
        <f>'ANA SAYFA KESİCİ'!J63</f>
        <v/>
      </c>
      <c r="L26" s="99" t="n"/>
      <c r="M26" s="609" t="inlineStr">
        <is>
          <t>ms</t>
        </is>
      </c>
      <c r="N26" s="49" t="n"/>
      <c r="O26" s="50" t="n"/>
      <c r="P26" s="50" t="n"/>
      <c r="Q26" s="213" t="n"/>
      <c r="R26" s="11" t="n"/>
    </row>
    <row r="27" ht="15" customHeight="1" s="227">
      <c r="A27" s="33" t="n"/>
      <c r="B27" s="398" t="inlineStr">
        <is>
          <t>C-1</t>
        </is>
      </c>
      <c r="C27" s="529">
        <f>'ANA SAYFA KESİCİ'!C65:D65</f>
        <v/>
      </c>
      <c r="D27" s="99" t="n"/>
      <c r="E27" s="609" t="inlineStr">
        <is>
          <t>ms</t>
        </is>
      </c>
      <c r="F27" s="627" t="inlineStr">
        <is>
          <t>Bobin    Akımı</t>
        </is>
      </c>
      <c r="G27" s="47" t="n"/>
      <c r="H27" s="629">
        <f>'ANA SAYFA KESİCİ'!F65</f>
        <v/>
      </c>
      <c r="I27" s="410" t="inlineStr">
        <is>
          <t>A</t>
        </is>
      </c>
      <c r="J27" s="374" t="inlineStr">
        <is>
          <t>C-1</t>
        </is>
      </c>
      <c r="K27" s="529">
        <f>'ANA SAYFA KESİCİ'!J65</f>
        <v/>
      </c>
      <c r="L27" s="99" t="n"/>
      <c r="M27" s="609" t="inlineStr">
        <is>
          <t>ms</t>
        </is>
      </c>
      <c r="N27" s="627" t="inlineStr">
        <is>
          <t>Bobin    Akımı</t>
        </is>
      </c>
      <c r="O27" s="47" t="n"/>
      <c r="P27" s="629">
        <f>'ANA SAYFA KESİCİ'!M65</f>
        <v/>
      </c>
      <c r="Q27" s="410" t="inlineStr">
        <is>
          <t>A</t>
        </is>
      </c>
      <c r="R27" s="11" t="n"/>
    </row>
    <row r="28" ht="15" customHeight="1" s="227">
      <c r="A28" s="33" t="n"/>
      <c r="B28" s="630" t="inlineStr">
        <is>
          <t>Faz Uyuşmazlığı</t>
        </is>
      </c>
      <c r="C28" s="99" t="n"/>
      <c r="D28" s="99" t="n"/>
      <c r="E28" s="482" t="n"/>
      <c r="F28" s="49" t="n"/>
      <c r="G28" s="50" t="n"/>
      <c r="H28" s="50" t="n"/>
      <c r="I28" s="213" t="n"/>
      <c r="J28" s="630"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31">
        <f>'ANA SAYFA KESİCİ'!F61</f>
        <v/>
      </c>
      <c r="C29" s="99" t="n"/>
      <c r="D29" s="99" t="n"/>
      <c r="E29" s="632" t="inlineStr">
        <is>
          <t>ms</t>
        </is>
      </c>
      <c r="F29" s="633">
        <f>IF(B29&gt;5,W17,W15)</f>
        <v/>
      </c>
      <c r="G29" s="99" t="n"/>
      <c r="H29" s="99" t="n"/>
      <c r="I29" s="482" t="n"/>
      <c r="J29" s="634">
        <f>'ANA SAYFA KESİCİ'!M61</f>
        <v/>
      </c>
      <c r="K29" s="99" t="n"/>
      <c r="L29" s="99" t="n"/>
      <c r="M29" s="146" t="inlineStr">
        <is>
          <t>ms</t>
        </is>
      </c>
      <c r="N29" s="633">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75" customHeight="1" s="227">
      <c r="A39" s="33" t="n"/>
      <c r="B39" s="635" t="inlineStr">
        <is>
          <t>TEDAŞ-MLZ/95-008.A İlgili Teknik Şartnamesi Gereği</t>
        </is>
      </c>
      <c r="Q39" s="212" t="n"/>
      <c r="R39" s="11" t="n"/>
      <c r="V39" s="580" t="n"/>
      <c r="W39" s="361" t="inlineStr">
        <is>
          <t>Kesicinin Açma süreleri uygun değildir.</t>
        </is>
      </c>
    </row>
    <row r="40" ht="15" customHeight="1" s="227">
      <c r="A40" s="33" t="n"/>
      <c r="B40" s="636" t="inlineStr">
        <is>
          <t>Açma süresi: 80 milisaniyeden az</t>
        </is>
      </c>
      <c r="Q40" s="212" t="n"/>
      <c r="R40" s="11" t="n"/>
      <c r="V40" s="580" t="n"/>
      <c r="W40" s="361" t="inlineStr">
        <is>
          <t>Kesicinin Kapama süreleri ve bobin akım değerleri uygundur.</t>
        </is>
      </c>
    </row>
    <row r="41" ht="15" customHeight="1" s="227">
      <c r="A41" s="33" t="n"/>
      <c r="B41" s="636" t="inlineStr">
        <is>
          <t>Kapama süresi: 120 milisaniyeden az</t>
        </is>
      </c>
      <c r="Q41" s="212" t="n"/>
      <c r="R41" s="11" t="n"/>
      <c r="V41" s="580" t="n"/>
      <c r="W41" s="361" t="inlineStr">
        <is>
          <t>Kesicinin Kapama süreleri uygun değildir.</t>
        </is>
      </c>
    </row>
    <row r="42" ht="15" customHeight="1" s="227">
      <c r="A42" s="33" t="n"/>
      <c r="B42" s="636" t="inlineStr">
        <is>
          <t>Açma süresi faz uyuşmazlığı: 5 milisaniyeden az</t>
        </is>
      </c>
      <c r="Q42" s="212" t="n"/>
      <c r="R42" s="11" t="n"/>
      <c r="W42" s="361" t="inlineStr">
        <is>
          <t>Kesicinin Açma-Kapama Süresi Faz Uyuşmazlığı uygundur.</t>
        </is>
      </c>
    </row>
    <row r="43" ht="15" customHeight="1" s="227">
      <c r="A43" s="33" t="n"/>
      <c r="B43" s="636" t="inlineStr">
        <is>
          <t>Kapama süresi faz uyuşmazlığı: 5 milisaniyeden az</t>
        </is>
      </c>
      <c r="Q43" s="212" t="n"/>
      <c r="R43" s="11" t="n"/>
      <c r="V43" s="580" t="n"/>
      <c r="W43" s="361" t="inlineStr">
        <is>
          <t>Kesicinin Açma-Kapama Süresi Faz Uyuşmazlığı uygun değildir.</t>
        </is>
      </c>
    </row>
    <row r="44" ht="4.5" customHeight="1" s="227">
      <c r="A44" s="10" t="n"/>
      <c r="B44" s="530"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7">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3"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3" t="inlineStr">
        <is>
          <t>:</t>
        </is>
      </c>
      <c r="F49" s="535">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4">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6" t="n"/>
      <c r="K51" s="139" t="n"/>
      <c r="L51" s="139" t="n"/>
      <c r="M51" s="139" t="n"/>
      <c r="N51" s="139" t="n"/>
      <c r="O51" s="139" t="n"/>
      <c r="P51" s="139" t="n"/>
      <c r="Q51" s="136" t="n"/>
      <c r="R51" s="11" t="n"/>
    </row>
    <row r="52" ht="15.7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75" customHeight="1" s="227">
      <c r="S56" s="54" t="n"/>
    </row>
    <row r="57" ht="15" customHeight="1" s="227">
      <c r="S57" s="127" t="n"/>
    </row>
    <row r="58" ht="15" customHeight="1" s="227">
      <c r="S58" s="27" t="n"/>
    </row>
    <row r="59" ht="15" customHeight="1" s="227">
      <c r="S59" s="127" t="n"/>
    </row>
    <row r="60" ht="15" customHeight="1" s="227">
      <c r="S60" s="638"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t="n"/>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 xml:space="preserve">HÜCRE İZOLASYON </t>
        </is>
      </c>
      <c r="C13" s="99" t="n"/>
      <c r="D13" s="99" t="n"/>
      <c r="E13" s="99" t="n"/>
      <c r="F13" s="99" t="n"/>
      <c r="G13" s="99" t="n"/>
      <c r="H13" s="99" t="n"/>
      <c r="I13" s="99" t="n"/>
      <c r="J13" s="99" t="n"/>
      <c r="K13" s="99" t="n"/>
      <c r="L13" s="99" t="n"/>
      <c r="M13" s="99" t="n"/>
      <c r="N13" s="99" t="n"/>
      <c r="O13" s="99" t="n"/>
      <c r="P13" s="99" t="n"/>
      <c r="Q13" s="482" t="n"/>
      <c r="R13" s="11" t="n"/>
    </row>
    <row r="14" ht="1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346" t="n"/>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7" t="inlineStr">
        <is>
          <t>L1</t>
        </is>
      </c>
      <c r="C16" s="482" t="n"/>
      <c r="D16" s="517" t="n"/>
      <c r="E16" s="482" t="n"/>
      <c r="F16" s="518" t="inlineStr">
        <is>
          <t>GΩ</t>
        </is>
      </c>
      <c r="G16" s="482" t="n"/>
      <c r="H16" s="397" t="n"/>
      <c r="I16" s="99" t="n"/>
      <c r="J16" s="609" t="inlineStr">
        <is>
          <t>VDC</t>
        </is>
      </c>
      <c r="K16" s="375">
        <f>H16/D16</f>
        <v/>
      </c>
      <c r="L16" s="99" t="n"/>
      <c r="M16" s="609" t="inlineStr">
        <is>
          <t>nA</t>
        </is>
      </c>
      <c r="N16" s="406">
        <f>IF(D16&gt;250,1,0)</f>
        <v/>
      </c>
      <c r="O16" s="398">
        <f>IF(D16&gt;250,"UYGUN","UYGUN DEĞİL")</f>
        <v/>
      </c>
      <c r="P16" s="99" t="n"/>
      <c r="Q16" s="482" t="n"/>
      <c r="R16" s="11" t="n"/>
    </row>
    <row r="17" ht="15" customHeight="1" s="227">
      <c r="A17" s="10" t="n"/>
      <c r="B17" s="517" t="inlineStr">
        <is>
          <t>L2</t>
        </is>
      </c>
      <c r="C17" s="482" t="n"/>
      <c r="D17" s="517" t="n"/>
      <c r="E17" s="482" t="n"/>
      <c r="F17" s="517" t="inlineStr">
        <is>
          <t>GΩ</t>
        </is>
      </c>
      <c r="G17" s="482" t="n"/>
      <c r="H17" s="397" t="n"/>
      <c r="I17" s="99" t="n"/>
      <c r="J17" s="609" t="inlineStr">
        <is>
          <t>VDC</t>
        </is>
      </c>
      <c r="K17" s="375">
        <f>H17/D17</f>
        <v/>
      </c>
      <c r="L17" s="99" t="n"/>
      <c r="M17" s="609"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7" t="inlineStr">
        <is>
          <t>L3</t>
        </is>
      </c>
      <c r="C18" s="482" t="n"/>
      <c r="D18" s="517" t="n"/>
      <c r="E18" s="482" t="n"/>
      <c r="F18" s="517" t="inlineStr">
        <is>
          <t>GΩ</t>
        </is>
      </c>
      <c r="G18" s="482" t="n"/>
      <c r="H18" s="397" t="n"/>
      <c r="I18" s="99" t="n"/>
      <c r="J18" s="609" t="inlineStr">
        <is>
          <t>VDC</t>
        </is>
      </c>
      <c r="K18" s="375">
        <f>H18/D18</f>
        <v/>
      </c>
      <c r="L18" s="99" t="n"/>
      <c r="M18" s="609"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52" t="n"/>
      <c r="D19" s="52" t="n"/>
      <c r="E19" s="52" t="n"/>
      <c r="F19" s="52" t="n"/>
      <c r="G19" s="639" t="n"/>
      <c r="H19" s="639" t="n"/>
      <c r="I19" s="52" t="n"/>
      <c r="J19" s="52" t="n"/>
      <c r="K19" s="639" t="n"/>
      <c r="L19" s="639" t="n"/>
      <c r="M19" s="639" t="n"/>
      <c r="N19" s="639" t="n"/>
      <c r="O19" s="639" t="n"/>
      <c r="P19" s="639" t="n"/>
      <c r="Q19" s="117" t="n"/>
      <c r="R19" s="11" t="n"/>
      <c r="W19" s="256" t="inlineStr">
        <is>
          <t>L2 Fazına ait Akım Trafosunun izolasyon direnç değeri uygundur.</t>
        </is>
      </c>
    </row>
    <row r="20" ht="18.75" customHeight="1" s="227">
      <c r="A20" s="10" t="n"/>
      <c r="B20" s="485" t="inlineStr">
        <is>
          <t>ÇIKIŞ HÜCRESİ MESNET İZOLATÖRÜ İZOLASYON</t>
        </is>
      </c>
      <c r="C20" s="99" t="n"/>
      <c r="D20" s="99" t="n"/>
      <c r="E20" s="99" t="n"/>
      <c r="F20" s="99" t="n"/>
      <c r="G20" s="99" t="n"/>
      <c r="H20" s="99" t="n"/>
      <c r="I20" s="99" t="n"/>
      <c r="J20" s="99" t="n"/>
      <c r="K20" s="99" t="n"/>
      <c r="L20" s="99" t="n"/>
      <c r="M20" s="99" t="n"/>
      <c r="N20" s="99" t="n"/>
      <c r="O20" s="99" t="n"/>
      <c r="P20" s="99" t="n"/>
      <c r="Q20" s="482" t="n"/>
      <c r="R20" s="11" t="n"/>
      <c r="W20" s="256" t="inlineStr">
        <is>
          <t>L2 Fazına ait Akım Trafosunun izolasyon direnç değeri uygun değildir.</t>
        </is>
      </c>
    </row>
    <row r="21" ht="15" customHeight="1" s="227">
      <c r="A21" s="10" t="n"/>
      <c r="B21" s="3" t="n"/>
      <c r="C21" s="127" t="n"/>
      <c r="D21" s="127" t="n"/>
      <c r="E21" s="127" t="n"/>
      <c r="F21" s="127" t="n"/>
      <c r="G21" s="127" t="n"/>
      <c r="H21" s="127" t="n"/>
      <c r="I21" s="127" t="n"/>
      <c r="J21" s="127" t="n"/>
      <c r="K21" s="127" t="n"/>
      <c r="L21" s="127" t="n"/>
      <c r="M21" s="127" t="n"/>
      <c r="N21" s="127" t="n"/>
      <c r="O21" s="127" t="n"/>
      <c r="P21" s="127" t="n"/>
      <c r="Q21" s="143" t="n"/>
      <c r="R21" s="11" t="n"/>
      <c r="W21" s="256" t="inlineStr">
        <is>
          <t>L3 Fazına ait Akım Trafosunun izolasyon direnç değeri uygundur.</t>
        </is>
      </c>
    </row>
    <row r="22" ht="15" customHeight="1" s="227">
      <c r="A22" s="10" t="n"/>
      <c r="B22" s="345" t="n"/>
      <c r="C22" s="99" t="n"/>
      <c r="D22" s="346" t="n"/>
      <c r="E22" s="99" t="n"/>
      <c r="F22" s="347" t="inlineStr">
        <is>
          <t>GΩ</t>
        </is>
      </c>
      <c r="G22" s="482" t="n"/>
      <c r="H22" s="440" t="inlineStr">
        <is>
          <t>Test Gerilimi</t>
        </is>
      </c>
      <c r="I22" s="99" t="n"/>
      <c r="J22" s="482" t="n"/>
      <c r="K22" s="440" t="inlineStr">
        <is>
          <t>Test Akımı</t>
        </is>
      </c>
      <c r="L22" s="99" t="n"/>
      <c r="M22" s="482" t="n"/>
      <c r="N22" s="440" t="inlineStr">
        <is>
          <t>Sonuç</t>
        </is>
      </c>
      <c r="O22" s="99" t="n"/>
      <c r="P22" s="99" t="n"/>
      <c r="Q22" s="482" t="n"/>
      <c r="R22" s="11" t="n"/>
      <c r="W22" s="256" t="inlineStr">
        <is>
          <t>L3 Fazına ait Akım Trafosunun izolasyon direnç değeri uygun değildir.</t>
        </is>
      </c>
    </row>
    <row r="23" ht="15" customHeight="1" s="227">
      <c r="A23" s="10" t="n"/>
      <c r="B23" s="517" t="inlineStr">
        <is>
          <t>L4</t>
        </is>
      </c>
      <c r="C23" s="482" t="n"/>
      <c r="D23" s="517" t="n"/>
      <c r="E23" s="482" t="n"/>
      <c r="F23" s="518" t="inlineStr">
        <is>
          <t>GΩ</t>
        </is>
      </c>
      <c r="G23" s="482" t="n"/>
      <c r="H23" s="397" t="n"/>
      <c r="I23" s="99" t="n"/>
      <c r="J23" s="609" t="inlineStr">
        <is>
          <t>VDC</t>
        </is>
      </c>
      <c r="K23" s="375">
        <f>H23/D23</f>
        <v/>
      </c>
      <c r="L23" s="99" t="n"/>
      <c r="M23" s="609" t="inlineStr">
        <is>
          <t>nA</t>
        </is>
      </c>
      <c r="N23" s="406">
        <f>IF(D23&gt;250,1,0)</f>
        <v/>
      </c>
      <c r="O23" s="398">
        <f>IF(D23&gt;250,"UYGUN","UYGUN DEĞİL")</f>
        <v/>
      </c>
      <c r="P23" s="99" t="n"/>
      <c r="Q23" s="482" t="n"/>
      <c r="R23" s="11" t="n"/>
    </row>
    <row r="24" ht="15" customHeight="1" s="227">
      <c r="A24" s="10" t="n"/>
      <c r="B24" s="517" t="inlineStr">
        <is>
          <t>L5</t>
        </is>
      </c>
      <c r="C24" s="482" t="n"/>
      <c r="D24" s="517" t="n"/>
      <c r="E24" s="482" t="n"/>
      <c r="F24" s="517" t="inlineStr">
        <is>
          <t>GΩ</t>
        </is>
      </c>
      <c r="G24" s="482" t="n"/>
      <c r="H24" s="397" t="n"/>
      <c r="I24" s="99" t="n"/>
      <c r="J24" s="609" t="inlineStr">
        <is>
          <t>VDC</t>
        </is>
      </c>
      <c r="K24" s="375">
        <f>H24/D24</f>
        <v/>
      </c>
      <c r="L24" s="99" t="n"/>
      <c r="M24" s="609" t="inlineStr">
        <is>
          <t>nA</t>
        </is>
      </c>
      <c r="N24" s="406">
        <f>IF(D24&gt;250,1,0)</f>
        <v/>
      </c>
      <c r="O24" s="398">
        <f>IF(D24&gt;250,"UYGUN","UYGUN DEĞİL")</f>
        <v/>
      </c>
      <c r="P24" s="99" t="n"/>
      <c r="Q24" s="482" t="n"/>
      <c r="R24" s="11" t="n"/>
    </row>
    <row r="25" ht="15" customHeight="1" s="227">
      <c r="A25" s="10" t="n"/>
      <c r="B25" s="517" t="inlineStr">
        <is>
          <t>L6</t>
        </is>
      </c>
      <c r="C25" s="482" t="n"/>
      <c r="D25" s="517" t="n"/>
      <c r="E25" s="482" t="n"/>
      <c r="F25" s="517" t="inlineStr">
        <is>
          <t>GΩ</t>
        </is>
      </c>
      <c r="G25" s="482" t="n"/>
      <c r="H25" s="397" t="n"/>
      <c r="I25" s="99" t="n"/>
      <c r="J25" s="609" t="inlineStr">
        <is>
          <t>VDC</t>
        </is>
      </c>
      <c r="K25" s="375">
        <f>H25/D25</f>
        <v/>
      </c>
      <c r="L25" s="99" t="n"/>
      <c r="M25" s="609" t="inlineStr">
        <is>
          <t>nA</t>
        </is>
      </c>
      <c r="N25" s="406">
        <f>IF(D25&gt;250,1,0)</f>
        <v/>
      </c>
      <c r="O25" s="398">
        <f>IF(D25&gt;250,"UYGUN","UYGUN DEĞİL")</f>
        <v/>
      </c>
      <c r="P25" s="99" t="n"/>
      <c r="Q25" s="482" t="n"/>
      <c r="R25" s="11" t="n"/>
    </row>
    <row r="26" ht="15" customHeight="1" s="227">
      <c r="A26" s="10" t="n"/>
      <c r="B26" s="118" t="n"/>
      <c r="C26" s="52" t="n"/>
      <c r="D26" s="52" t="n"/>
      <c r="E26" s="52" t="n"/>
      <c r="F26" s="52" t="n"/>
      <c r="G26" s="639" t="n"/>
      <c r="H26" s="639" t="n"/>
      <c r="I26" s="52" t="n"/>
      <c r="J26" s="52" t="n"/>
      <c r="K26" s="639" t="n"/>
      <c r="L26" s="639" t="n"/>
      <c r="M26" s="639" t="n"/>
      <c r="N26" s="639" t="n"/>
      <c r="O26" s="639" t="n"/>
      <c r="P26" s="639" t="n"/>
      <c r="Q26" s="117" t="n"/>
      <c r="R26" s="11" t="n"/>
    </row>
    <row r="27" ht="18.75" customHeight="1" s="227">
      <c r="A27" s="10" t="n"/>
      <c r="B27" s="485" t="inlineStr">
        <is>
          <t>HÜCRE-TRAFO ARASINDAKİ XLPE KABLO İZOLASYON</t>
        </is>
      </c>
      <c r="C27" s="99" t="n"/>
      <c r="D27" s="99" t="n"/>
      <c r="E27" s="99" t="n"/>
      <c r="F27" s="99" t="n"/>
      <c r="G27" s="99" t="n"/>
      <c r="H27" s="99" t="n"/>
      <c r="I27" s="99" t="n"/>
      <c r="J27" s="99" t="n"/>
      <c r="K27" s="99" t="n"/>
      <c r="L27" s="99" t="n"/>
      <c r="M27" s="99" t="n"/>
      <c r="N27" s="99" t="n"/>
      <c r="O27" s="99" t="n"/>
      <c r="P27" s="99" t="n"/>
      <c r="Q27" s="482"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15" customHeight="1" s="227">
      <c r="A29" s="10" t="n"/>
      <c r="B29" s="345" t="inlineStr">
        <is>
          <t>R min.</t>
        </is>
      </c>
      <c r="C29" s="99" t="n"/>
      <c r="D29" s="346" t="n"/>
      <c r="E29" s="99" t="n"/>
      <c r="F29" s="347" t="inlineStr">
        <is>
          <t>GΩ</t>
        </is>
      </c>
      <c r="G29" s="482" t="n"/>
      <c r="H29" s="440" t="inlineStr">
        <is>
          <t>Test Gerilimi</t>
        </is>
      </c>
      <c r="I29" s="99" t="n"/>
      <c r="J29" s="482" t="n"/>
      <c r="K29" s="440" t="inlineStr">
        <is>
          <t>Test Akımı</t>
        </is>
      </c>
      <c r="L29" s="99" t="n"/>
      <c r="M29" s="482" t="n"/>
      <c r="N29" s="440" t="inlineStr">
        <is>
          <t>Sonuç</t>
        </is>
      </c>
      <c r="O29" s="99" t="n"/>
      <c r="P29" s="99" t="n"/>
      <c r="Q29" s="482" t="n"/>
      <c r="R29" s="11" t="n"/>
    </row>
    <row r="30" ht="15" customHeight="1" s="227">
      <c r="A30" s="10" t="n"/>
      <c r="B30" s="517" t="inlineStr">
        <is>
          <t>L7</t>
        </is>
      </c>
      <c r="C30" s="482" t="n"/>
      <c r="D30" s="517" t="n"/>
      <c r="E30" s="482" t="n"/>
      <c r="F30" s="518" t="inlineStr">
        <is>
          <t>GΩ</t>
        </is>
      </c>
      <c r="G30" s="482" t="n"/>
      <c r="H30" s="397" t="n"/>
      <c r="I30" s="99" t="n"/>
      <c r="J30" s="609" t="inlineStr">
        <is>
          <t>VDC</t>
        </is>
      </c>
      <c r="K30" s="375">
        <f>H30/D30</f>
        <v/>
      </c>
      <c r="L30" s="99" t="n"/>
      <c r="M30" s="609" t="inlineStr">
        <is>
          <t>nA</t>
        </is>
      </c>
      <c r="N30" s="406">
        <f>IF(D30&gt;20,1,0)</f>
        <v/>
      </c>
      <c r="O30" s="398">
        <f>IF(D30&gt;20,"UYGUN","UYGUN DEĞİL")</f>
        <v/>
      </c>
      <c r="P30" s="99" t="n"/>
      <c r="Q30" s="482" t="n"/>
      <c r="R30" s="11" t="n"/>
    </row>
    <row r="31" ht="15" customHeight="1" s="227">
      <c r="A31" s="33" t="n"/>
      <c r="B31" s="517" t="inlineStr">
        <is>
          <t>L8</t>
        </is>
      </c>
      <c r="C31" s="482" t="n"/>
      <c r="D31" s="517" t="n"/>
      <c r="E31" s="482" t="n"/>
      <c r="F31" s="517" t="inlineStr">
        <is>
          <t>GΩ</t>
        </is>
      </c>
      <c r="G31" s="482" t="n"/>
      <c r="H31" s="397" t="n"/>
      <c r="I31" s="99" t="n"/>
      <c r="J31" s="609" t="inlineStr">
        <is>
          <t>VDC</t>
        </is>
      </c>
      <c r="K31" s="375">
        <f>H31/D31</f>
        <v/>
      </c>
      <c r="L31" s="99" t="n"/>
      <c r="M31" s="609" t="inlineStr">
        <is>
          <t>nA</t>
        </is>
      </c>
      <c r="N31" s="406">
        <f>IF(D31&gt;20,1,0)</f>
        <v/>
      </c>
      <c r="O31" s="398">
        <f>IF(D31&gt;20,"UYGUN","UYGUN DEĞİL")</f>
        <v/>
      </c>
      <c r="P31" s="99" t="n"/>
      <c r="Q31" s="482" t="n"/>
      <c r="R31" s="11" t="n"/>
    </row>
    <row r="32" ht="15" customHeight="1" s="227">
      <c r="A32" s="33" t="n"/>
      <c r="B32" s="517" t="inlineStr">
        <is>
          <t>L9</t>
        </is>
      </c>
      <c r="C32" s="482" t="n"/>
      <c r="D32" s="517" t="n"/>
      <c r="E32" s="482" t="n"/>
      <c r="F32" s="517" t="inlineStr">
        <is>
          <t>GΩ</t>
        </is>
      </c>
      <c r="G32" s="482" t="n"/>
      <c r="H32" s="397" t="n"/>
      <c r="I32" s="99" t="n"/>
      <c r="J32" s="609" t="inlineStr">
        <is>
          <t>VDC</t>
        </is>
      </c>
      <c r="K32" s="375">
        <f>H32/D32</f>
        <v/>
      </c>
      <c r="L32" s="99" t="n"/>
      <c r="M32" s="609" t="inlineStr">
        <is>
          <t>nA</t>
        </is>
      </c>
      <c r="N32" s="406">
        <f>IF(D32&gt;20,1,0)</f>
        <v/>
      </c>
      <c r="O32" s="398">
        <f>IF(D32&gt;20,"UYGUN","UYGUN DEĞİL")</f>
        <v/>
      </c>
      <c r="P32" s="99" t="n"/>
      <c r="Q32" s="482" t="n"/>
      <c r="R32" s="11" t="n"/>
    </row>
    <row r="33" ht="15" customHeight="1" s="227">
      <c r="A33" s="33" t="n"/>
      <c r="B33" s="118" t="n"/>
      <c r="C33" s="52" t="n"/>
      <c r="D33" s="52" t="n"/>
      <c r="E33" s="52" t="n"/>
      <c r="F33" s="52" t="n"/>
      <c r="G33" s="639" t="n"/>
      <c r="H33" s="639" t="n"/>
      <c r="I33" s="52" t="n"/>
      <c r="J33" s="52" t="n"/>
      <c r="K33" s="639" t="n"/>
      <c r="L33" s="639" t="n"/>
      <c r="M33" s="639" t="n"/>
      <c r="N33" s="639" t="n"/>
      <c r="O33" s="639" t="n"/>
      <c r="P33" s="639" t="n"/>
      <c r="Q33" s="117" t="n"/>
      <c r="R33" s="11" t="n"/>
    </row>
    <row r="34" ht="30.75" customHeight="1" s="227">
      <c r="A34" s="33" t="n"/>
      <c r="B34" s="127" t="n"/>
      <c r="C34" s="640" t="n"/>
      <c r="D34" s="640" t="n"/>
      <c r="E34" s="640" t="n"/>
      <c r="F34" s="640" t="n"/>
      <c r="G34" s="640" t="n"/>
      <c r="H34" s="640" t="n"/>
      <c r="I34" s="640" t="n"/>
      <c r="J34" s="640" t="n"/>
      <c r="K34" s="127" t="n"/>
      <c r="L34" s="127" t="n"/>
      <c r="M34" s="127" t="n"/>
      <c r="N34" s="127" t="n"/>
      <c r="O34" s="127" t="n"/>
      <c r="P34" s="127" t="n"/>
      <c r="Q34" s="143" t="n"/>
      <c r="R34" s="11" t="n"/>
    </row>
    <row r="35" ht="15" customHeight="1" s="227">
      <c r="A35" s="33" t="n"/>
      <c r="B35" s="240" t="n"/>
      <c r="C35" s="27" t="n"/>
      <c r="D35" s="27" t="n"/>
      <c r="E35" s="127" t="n"/>
      <c r="F35" s="127" t="n"/>
      <c r="G35" s="127" t="n"/>
      <c r="H35" s="127" t="n"/>
      <c r="I35" s="127" t="n"/>
      <c r="J35" s="127" t="n"/>
      <c r="K35" s="127" t="n"/>
      <c r="L35" s="45" t="n"/>
      <c r="M35" s="45" t="n"/>
      <c r="N35" s="127" t="n"/>
      <c r="O35" s="45" t="n"/>
      <c r="P35" s="45" t="n"/>
      <c r="Q35" s="143" t="n"/>
      <c r="R35" s="11" t="n"/>
    </row>
    <row r="36" ht="15" customHeight="1" s="227">
      <c r="A36" s="33" t="n"/>
      <c r="B36" s="240" t="n"/>
      <c r="C36" s="27" t="n"/>
      <c r="D36" s="27" t="n"/>
      <c r="E36" s="127" t="n"/>
      <c r="F36" s="127" t="n"/>
      <c r="G36" s="127" t="n"/>
      <c r="H36" s="127" t="n"/>
      <c r="I36" s="127" t="n"/>
      <c r="J36" s="127" t="n"/>
      <c r="K36" s="127" t="n"/>
      <c r="L36" s="45" t="n"/>
      <c r="M36" s="45" t="n"/>
      <c r="N36" s="127" t="n"/>
      <c r="O36" s="45" t="n"/>
      <c r="P36" s="45" t="n"/>
      <c r="Q36" s="143" t="n"/>
      <c r="R36" s="11" t="n"/>
    </row>
    <row r="37" ht="15" customHeight="1" s="227">
      <c r="A37" s="33" t="n"/>
      <c r="B37" s="240" t="n"/>
      <c r="C37" s="27" t="n"/>
      <c r="D37" s="27" t="n"/>
      <c r="E37" s="127" t="n"/>
      <c r="F37" s="127" t="n"/>
      <c r="G37" s="127" t="n"/>
      <c r="H37" s="127" t="n"/>
      <c r="I37" s="127" t="n"/>
      <c r="J37" s="127" t="n"/>
      <c r="K37" s="127" t="n"/>
      <c r="L37" s="127" t="n"/>
      <c r="M37" s="127" t="n"/>
      <c r="N37" s="127" t="n"/>
      <c r="O37" s="127" t="n"/>
      <c r="P37" s="127" t="n"/>
      <c r="Q37" s="117" t="n"/>
      <c r="R37" s="11" t="n"/>
    </row>
    <row r="38" ht="4.5" customHeight="1" s="227">
      <c r="A38" s="10" t="n"/>
      <c r="B38" s="530"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7" t="inlineStr">
        <is>
          <t>Ölçülen izolasyon direnci değerleri uygun bulunmuştur.</t>
        </is>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t="n"/>
      <c r="Q40" s="212" t="n"/>
      <c r="R40" s="11" t="n"/>
    </row>
    <row r="41" ht="15" customHeight="1" s="227">
      <c r="A41" s="10" t="n"/>
      <c r="B41" s="118" t="n"/>
      <c r="C41" s="23" t="n"/>
      <c r="D41" s="362" t="n"/>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41"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SAYFA'!F73:J73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'İZOLASYON '!D11:G11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AKIM TRAFOLARI</t>
        </is>
      </c>
      <c r="C13" s="99" t="n"/>
      <c r="D13" s="99" t="n"/>
      <c r="E13" s="99" t="n"/>
      <c r="F13" s="99" t="n"/>
      <c r="G13" s="99" t="n"/>
      <c r="H13" s="99" t="n"/>
      <c r="I13" s="99" t="n"/>
      <c r="J13" s="99" t="n"/>
      <c r="K13" s="99" t="n"/>
      <c r="L13" s="99" t="n"/>
      <c r="M13" s="99" t="n"/>
      <c r="N13" s="99" t="n"/>
      <c r="O13" s="99" t="n"/>
      <c r="P13" s="99" t="n"/>
      <c r="Q13" s="482" t="n"/>
      <c r="R13" s="11" t="n"/>
    </row>
    <row r="14" ht="8.2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inlineStr">
        <is>
          <t>R min.</t>
        </is>
      </c>
      <c r="C15" s="99" t="n"/>
      <c r="D15" s="346" t="n">
        <v>250</v>
      </c>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7" t="inlineStr">
        <is>
          <t>L1</t>
        </is>
      </c>
      <c r="C16" s="482" t="n"/>
      <c r="D16" s="517" t="n"/>
      <c r="E16" s="482" t="n"/>
      <c r="F16" s="518" t="inlineStr">
        <is>
          <t>GΩ</t>
        </is>
      </c>
      <c r="G16" s="482" t="n"/>
      <c r="H16" s="397" t="n"/>
      <c r="I16" s="99" t="n"/>
      <c r="J16" s="609" t="inlineStr">
        <is>
          <t>VDC</t>
        </is>
      </c>
      <c r="K16" s="375">
        <f>H16/D16</f>
        <v/>
      </c>
      <c r="L16" s="99" t="n"/>
      <c r="M16" s="609" t="inlineStr">
        <is>
          <t>nA</t>
        </is>
      </c>
      <c r="N16" s="406">
        <f>IF(D16&gt;250,1,0)</f>
        <v/>
      </c>
      <c r="O16" s="398">
        <f>IF(D16&gt;250,"UYGUN","UYGUN DEĞİL")</f>
        <v/>
      </c>
      <c r="P16" s="99" t="n"/>
      <c r="Q16" s="482" t="n"/>
      <c r="R16" s="11" t="n"/>
    </row>
    <row r="17" ht="15" customHeight="1" s="227">
      <c r="A17" s="10" t="n"/>
      <c r="B17" s="517" t="inlineStr">
        <is>
          <t>L2</t>
        </is>
      </c>
      <c r="C17" s="482" t="n"/>
      <c r="D17" s="517" t="n"/>
      <c r="E17" s="482" t="n"/>
      <c r="F17" s="517" t="inlineStr">
        <is>
          <t>GΩ</t>
        </is>
      </c>
      <c r="G17" s="482" t="n"/>
      <c r="H17" s="397" t="n"/>
      <c r="I17" s="99" t="n"/>
      <c r="J17" s="609" t="inlineStr">
        <is>
          <t>VDC</t>
        </is>
      </c>
      <c r="K17" s="375">
        <f>H17/D17</f>
        <v/>
      </c>
      <c r="L17" s="99" t="n"/>
      <c r="M17" s="609"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7" t="inlineStr">
        <is>
          <t>L3</t>
        </is>
      </c>
      <c r="C18" s="482" t="n"/>
      <c r="D18" s="517" t="n"/>
      <c r="E18" s="482" t="n"/>
      <c r="F18" s="517" t="inlineStr">
        <is>
          <t>GΩ</t>
        </is>
      </c>
      <c r="G18" s="482" t="n"/>
      <c r="H18" s="397" t="n"/>
      <c r="I18" s="99" t="n"/>
      <c r="J18" s="609" t="inlineStr">
        <is>
          <t>VDC</t>
        </is>
      </c>
      <c r="K18" s="375">
        <f>H18/D18</f>
        <v/>
      </c>
      <c r="L18" s="99" t="n"/>
      <c r="M18" s="609"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423" t="n"/>
      <c r="E19" s="423" t="n"/>
      <c r="G19" s="424" t="n"/>
      <c r="I19" s="423" t="n"/>
      <c r="K19" s="424" t="n"/>
      <c r="M19" s="424" t="n"/>
      <c r="O19" s="424" t="n"/>
      <c r="Q19" s="117" t="n"/>
      <c r="R19" s="11" t="n"/>
      <c r="W19" s="256" t="inlineStr">
        <is>
          <t>L2 Fazına ait Akım Trafosunun izolasyon direnç değeri uygundur.</t>
        </is>
      </c>
    </row>
    <row r="20" ht="15" customHeight="1" s="227">
      <c r="A20" s="10" t="n"/>
      <c r="B20" s="118" t="n"/>
      <c r="C20" s="423" t="n"/>
      <c r="E20" s="423" t="n"/>
      <c r="G20" s="424" t="n"/>
      <c r="I20" s="423" t="n"/>
      <c r="K20" s="30" t="n"/>
      <c r="L20" s="30" t="n"/>
      <c r="M20" s="30" t="n"/>
      <c r="N20" s="30" t="n"/>
      <c r="O20" s="30" t="n"/>
      <c r="P20" s="30" t="n"/>
      <c r="Q20" s="117" t="n"/>
      <c r="R20" s="11" t="n"/>
      <c r="W20" s="256" t="inlineStr">
        <is>
          <t>L2 Fazına ait Akım Trafosunun izolasyon direnç değeri uygun değildir.</t>
        </is>
      </c>
    </row>
    <row r="21" ht="15" customHeight="1" s="227">
      <c r="A21" s="10" t="n"/>
      <c r="B21" s="118" t="n"/>
      <c r="C21" s="423" t="n"/>
      <c r="E21" s="423" t="n"/>
      <c r="G21" s="424" t="n"/>
      <c r="I21" s="423" t="n"/>
      <c r="K21" s="30" t="n"/>
      <c r="L21" s="30" t="n"/>
      <c r="M21" s="30" t="n"/>
      <c r="N21" s="30" t="n"/>
      <c r="O21" s="30" t="n"/>
      <c r="P21" s="30" t="n"/>
      <c r="Q21" s="117" t="n"/>
      <c r="R21" s="11" t="n"/>
      <c r="W21" s="256" t="inlineStr">
        <is>
          <t>L3 Fazına ait Akım Trafosunun izolasyon direnç değeri uygundur.</t>
        </is>
      </c>
    </row>
    <row r="22" ht="15" customHeight="1" s="227">
      <c r="A22" s="10" t="n"/>
      <c r="B22" s="118" t="n"/>
      <c r="C22" s="423" t="n"/>
      <c r="D22" s="423" t="n"/>
      <c r="E22" s="423" t="n"/>
      <c r="F22" s="423" t="n"/>
      <c r="G22" s="423" t="n"/>
      <c r="H22" s="423" t="n"/>
      <c r="I22" s="423" t="n"/>
      <c r="J22" s="423" t="n"/>
      <c r="K22" s="423" t="n"/>
      <c r="L22" s="423" t="n"/>
      <c r="M22" s="423" t="n"/>
      <c r="N22" s="423" t="n"/>
      <c r="O22" s="423" t="n"/>
      <c r="P22" s="423" t="n"/>
      <c r="Q22" s="117" t="n"/>
      <c r="R22" s="11" t="n"/>
      <c r="W22" s="256" t="inlineStr">
        <is>
          <t>L3 Fazına ait Akım Trafosunun izolasyon direnç değeri uygun değildir.</t>
        </is>
      </c>
    </row>
    <row r="23" ht="18.75" customHeight="1" s="227">
      <c r="A23" s="10" t="n"/>
      <c r="B23" s="28" t="n"/>
      <c r="C23" s="134" t="n"/>
      <c r="D23" s="134" t="n"/>
      <c r="E23" s="134" t="n"/>
      <c r="F23" s="134" t="n"/>
      <c r="G23" s="134" t="n"/>
      <c r="H23" s="134" t="n"/>
      <c r="I23" s="134" t="n"/>
      <c r="J23" s="134" t="n"/>
      <c r="K23" s="134" t="n"/>
      <c r="L23" s="134" t="n"/>
      <c r="M23" s="134" t="n"/>
      <c r="N23" s="134" t="n"/>
      <c r="O23" s="134" t="n"/>
      <c r="P23" s="134" t="n"/>
      <c r="Q23" s="135" t="n"/>
      <c r="R23" s="11" t="n"/>
    </row>
    <row r="24" ht="1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 customHeight="1" s="227">
      <c r="A25" s="10" t="n"/>
      <c r="B25" s="3" t="n"/>
      <c r="C25" s="127" t="n"/>
      <c r="D25" s="127" t="n"/>
      <c r="E25" s="127" t="n"/>
      <c r="F25" s="127" t="n"/>
      <c r="G25" s="127" t="n"/>
      <c r="H25" s="127" t="n"/>
      <c r="I25" s="127" t="n"/>
      <c r="J25" s="127" t="n"/>
      <c r="K25" s="127" t="n"/>
      <c r="L25" s="127" t="n"/>
      <c r="M25" s="127" t="n"/>
      <c r="N25" s="127" t="n"/>
      <c r="O25" s="127" t="n"/>
      <c r="P25" s="127" t="n"/>
      <c r="Q25" s="143" t="n"/>
      <c r="R25" s="11" t="n"/>
    </row>
    <row r="26" ht="15" customHeight="1" s="227">
      <c r="A26" s="10" t="n"/>
      <c r="B26" s="24" t="n"/>
      <c r="C26" s="25" t="n"/>
      <c r="D26" s="25" t="n"/>
      <c r="E26" s="25" t="n"/>
      <c r="F26" s="127" t="n"/>
      <c r="G26" s="127" t="n"/>
      <c r="H26" s="127" t="n"/>
      <c r="I26" s="127" t="n"/>
      <c r="J26" s="127" t="n"/>
      <c r="K26" s="127" t="n"/>
      <c r="L26" s="127" t="n"/>
      <c r="M26" s="127" t="n"/>
      <c r="N26" s="127" t="n"/>
      <c r="O26" s="127" t="n"/>
      <c r="P26" s="127" t="n"/>
      <c r="Q26" s="143" t="n"/>
      <c r="R26" s="11" t="n"/>
    </row>
    <row r="27" ht="15" customHeight="1" s="227">
      <c r="A27" s="10" t="n"/>
      <c r="B27" s="3" t="n"/>
      <c r="C27" s="127" t="n"/>
      <c r="D27" s="127" t="n"/>
      <c r="E27" s="127" t="n"/>
      <c r="F27" s="127" t="n"/>
      <c r="G27" s="127" t="n"/>
      <c r="H27" s="127" t="n"/>
      <c r="I27" s="127" t="n"/>
      <c r="J27" s="127" t="n"/>
      <c r="K27" s="127" t="n"/>
      <c r="L27" s="127" t="n"/>
      <c r="M27" s="127" t="n"/>
      <c r="N27" s="127" t="n"/>
      <c r="O27" s="127" t="n"/>
      <c r="P27" s="127" t="n"/>
      <c r="Q27" s="143"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72" customHeight="1" s="227">
      <c r="A29" s="10" t="n"/>
      <c r="B29" s="3" t="n"/>
      <c r="C29" s="127" t="n"/>
      <c r="D29" s="127" t="n"/>
      <c r="E29" s="127" t="n"/>
      <c r="F29" s="23" t="n"/>
      <c r="G29" s="127" t="n"/>
      <c r="H29" s="127" t="n"/>
      <c r="I29" s="127" t="n"/>
      <c r="J29" s="127" t="n"/>
      <c r="K29" s="127" t="n"/>
      <c r="L29" s="127" t="n"/>
      <c r="M29" s="127" t="n"/>
      <c r="N29" s="127" t="n"/>
      <c r="O29" s="127" t="n"/>
      <c r="P29" s="127" t="n"/>
      <c r="Q29" s="143" t="n"/>
      <c r="R29" s="11" t="n"/>
    </row>
    <row r="30" ht="26.25" customHeight="1" s="227">
      <c r="A30" s="10" t="n"/>
      <c r="B30" s="3" t="n"/>
      <c r="C30" s="127" t="n"/>
      <c r="D30" s="127" t="n"/>
      <c r="E30" s="127" t="n"/>
      <c r="F30" s="23" t="n"/>
      <c r="G30" s="127" t="n"/>
      <c r="H30" s="127" t="n"/>
      <c r="I30" s="127" t="n"/>
      <c r="J30" s="127" t="n"/>
      <c r="K30" s="127" t="n"/>
      <c r="L30" s="127" t="n"/>
      <c r="M30" s="127" t="n"/>
      <c r="N30" s="127" t="n"/>
      <c r="O30" s="127" t="n"/>
      <c r="P30" s="127" t="n"/>
      <c r="Q30" s="143" t="n"/>
      <c r="R30" s="11" t="n"/>
    </row>
    <row r="31" ht="18.75" customHeight="1" s="227">
      <c r="A31" s="33" t="n"/>
      <c r="B31" s="337" t="n"/>
      <c r="Q31" s="212" t="n"/>
      <c r="R31" s="11" t="n"/>
    </row>
    <row r="32" ht="3.75" customHeight="1" s="227">
      <c r="A32" s="33" t="n"/>
      <c r="B32" s="336" t="n"/>
      <c r="C32" s="336" t="n"/>
      <c r="D32" s="336" t="n"/>
      <c r="E32" s="336" t="n"/>
      <c r="F32" s="336" t="n"/>
      <c r="G32" s="336" t="n"/>
      <c r="H32" s="336" t="n"/>
      <c r="I32" s="336" t="n"/>
      <c r="J32" s="336" t="n"/>
      <c r="K32" s="336" t="n"/>
      <c r="L32" s="336" t="n"/>
      <c r="M32" s="336" t="n"/>
      <c r="N32" s="336" t="n"/>
      <c r="O32" s="336" t="n"/>
      <c r="P32" s="336" t="n"/>
      <c r="Q32" s="337" t="n"/>
      <c r="R32" s="11" t="n"/>
    </row>
    <row r="33" ht="6" customHeight="1" s="227">
      <c r="A33" s="33" t="n"/>
      <c r="B33" s="336" t="n"/>
      <c r="C33" s="336" t="n"/>
      <c r="D33" s="336" t="n"/>
      <c r="E33" s="336" t="n"/>
      <c r="F33" s="336" t="n"/>
      <c r="G33" s="336" t="n"/>
      <c r="H33" s="336" t="n"/>
      <c r="I33" s="336" t="n"/>
      <c r="J33" s="336" t="n"/>
      <c r="K33" s="336" t="n"/>
      <c r="L33" s="336" t="n"/>
      <c r="M33" s="336" t="n"/>
      <c r="N33" s="336" t="n"/>
      <c r="O33" s="336" t="n"/>
      <c r="P33" s="336" t="n"/>
      <c r="Q33" s="337" t="n"/>
      <c r="R33" s="11" t="n"/>
    </row>
    <row r="34" ht="30.75" customHeight="1" s="227">
      <c r="A34" s="33" t="n"/>
      <c r="B34" s="127" t="n"/>
      <c r="C34" s="642" t="n"/>
      <c r="E34" s="642" t="n"/>
      <c r="G34" s="642" t="n"/>
      <c r="I34" s="642" t="n"/>
      <c r="K34" s="127" t="n"/>
      <c r="L34" s="317" t="n"/>
      <c r="O34" s="117" t="n"/>
      <c r="Q34" s="212" t="n"/>
      <c r="R34" s="11" t="n"/>
    </row>
    <row r="35" ht="15" customHeight="1" s="227">
      <c r="A35" s="33" t="n"/>
      <c r="B35" s="240" t="n"/>
      <c r="C35" s="619" t="n"/>
      <c r="E35" s="59" t="n"/>
      <c r="F35" s="446" t="n"/>
      <c r="G35" s="317" t="n"/>
      <c r="I35" s="59" t="n"/>
      <c r="J35" s="446" t="n"/>
      <c r="K35" s="127" t="n"/>
      <c r="L35" s="613" t="n"/>
      <c r="N35" s="127" t="n"/>
      <c r="O35" s="613" t="n"/>
      <c r="Q35" s="143" t="n"/>
      <c r="R35" s="11" t="n"/>
    </row>
    <row r="36" ht="15" customHeight="1" s="227">
      <c r="A36" s="33" t="n"/>
      <c r="B36" s="240" t="n"/>
      <c r="C36" s="619" t="n"/>
      <c r="G36" s="317" t="n"/>
      <c r="K36" s="127" t="n"/>
      <c r="L36" s="613" t="n"/>
      <c r="N36" s="127" t="n"/>
      <c r="O36" s="613" t="n"/>
      <c r="Q36" s="143" t="n"/>
      <c r="R36" s="11" t="n"/>
    </row>
    <row r="37" ht="15" customHeight="1" s="227">
      <c r="A37" s="33" t="n"/>
      <c r="B37" s="240" t="n"/>
      <c r="C37" s="619" t="n"/>
      <c r="G37" s="317" t="n"/>
      <c r="K37" s="127" t="n"/>
      <c r="L37" s="127" t="n"/>
      <c r="M37" s="127" t="n"/>
      <c r="N37" s="127" t="n"/>
      <c r="O37" s="127" t="n"/>
      <c r="P37" s="127" t="n"/>
      <c r="Q37" s="117" t="n"/>
      <c r="R37" s="11" t="n"/>
    </row>
    <row r="38" ht="4.5" customHeight="1" s="227">
      <c r="A38" s="10" t="n"/>
      <c r="B38" s="530"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7">
        <f>IF(N16&lt;1,W18,W17)</f>
        <v/>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f>IF(N17&lt;1,W20,W19)</f>
        <v/>
      </c>
      <c r="Q40" s="212" t="n"/>
      <c r="R40" s="11" t="n"/>
    </row>
    <row r="41" ht="15" customHeight="1" s="227">
      <c r="A41" s="10" t="n"/>
      <c r="B41" s="118" t="n"/>
      <c r="C41" s="23" t="n"/>
      <c r="D41" s="362">
        <f>IF(N18&lt;1,W22,W21)</f>
        <v/>
      </c>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41"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534"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 KESİCİ'!F75</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2026-08-18T08:24:22Z</dcterms:modified>
</cp:coreProperties>
</file>