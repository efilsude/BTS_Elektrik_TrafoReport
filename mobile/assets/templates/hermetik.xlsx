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worksheet" Target="worksheets/sheet14.xml" Id="rId14" /><ns0:Relationship Type="http://schemas.openxmlformats.org/officeDocument/2006/relationships/worksheet" Target="worksheets/sheet15.xml" Id="rId15" /><ns0:Relationship Type="http://schemas.openxmlformats.org/officeDocument/2006/relationships/worksheet" Target="worksheets/sheet16.xml" Id="rId16" /><ns0:Relationship Type="http://schemas.openxmlformats.org/officeDocument/2006/relationships/styles" Target="styles.xml" Id="rId17" /><ns0:Relationship Type="http://schemas.openxmlformats.org/officeDocument/2006/relationships/theme" Target="theme/theme1.xml" Id="rId18"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_rels/drawing14.xml.rels><?xml version='1.0' encoding='utf-8'?>
<ns0:Relationships xmlns:ns0="http://schemas.openxmlformats.org/package/2006/relationships"><ns0:Relationship Type="http://schemas.openxmlformats.org/officeDocument/2006/relationships/image" Target="../media/image17.png" Id="rId1" /></ns0:Relationships>
</file>

<file path=xl/drawings/_rels/drawing15.xml.rels><?xml version='1.0' encoding='utf-8'?>
<ns0:Relationships xmlns:ns0="http://schemas.openxmlformats.org/package/2006/relationships"><ns0:Relationship Type="http://schemas.openxmlformats.org/officeDocument/2006/relationships/image" Target="../media/image18.png" Id="rId1" /></ns0:Relationships>
</file>

<file path=xl/drawings/_rels/drawing16.xml.rels><?xml version='1.0' encoding='utf-8'?>
<ns0:Relationships xmlns:ns0="http://schemas.openxmlformats.org/package/2006/relationships"><ns0:Relationship Type="http://schemas.openxmlformats.org/officeDocument/2006/relationships/image" Target="../media/image19.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_rels/sheet14.xml.rels><?xml version='1.0' encoding='utf-8'?>
<ns0:Relationships xmlns:ns0="http://schemas.openxmlformats.org/package/2006/relationships"><ns0:Relationship Type="http://schemas.openxmlformats.org/officeDocument/2006/relationships/drawing" Target="../drawings/drawing14.xml" Id="rId1" /></ns0:Relationships>
</file>

<file path=xl/worksheets/_rels/sheet15.xml.rels><?xml version='1.0' encoding='utf-8'?>
<ns0:Relationships xmlns:ns0="http://schemas.openxmlformats.org/package/2006/relationships"><ns0:Relationship Type="http://schemas.openxmlformats.org/officeDocument/2006/relationships/drawing" Target="../drawings/drawing15.xml" Id="rId1" /></ns0:Relationships>
</file>

<file path=xl/worksheets/_rels/sheet16.xml.rels><?xml version='1.0' encoding='utf-8'?>
<ns0:Relationships xmlns:ns0="http://schemas.openxmlformats.org/package/2006/relationships"><ns0:Relationship Type="http://schemas.openxmlformats.org/officeDocument/2006/relationships/drawing" Target="../drawings/drawing16.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6" t="n"/>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58"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58"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n"/>
      <c r="H17" s="486" t="n"/>
      <c r="I17" s="486" t="n"/>
      <c r="J17" s="486" t="n"/>
      <c r="K17" s="277" t="inlineStr">
        <is>
          <t>Bobin Gerilimi</t>
        </is>
      </c>
      <c r="N17" s="558"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59" t="n"/>
      <c r="K24" s="291" t="inlineStr">
        <is>
          <t>Kesici Temizliği</t>
        </is>
      </c>
      <c r="O24" s="89" t="inlineStr">
        <is>
          <t>:</t>
        </is>
      </c>
      <c r="P24" s="306" t="n"/>
      <c r="Q24" s="487" t="n"/>
      <c r="R24" s="93" t="n"/>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59" t="n"/>
      <c r="K26" s="291" t="inlineStr">
        <is>
          <t>Hücre Temizliği</t>
        </is>
      </c>
      <c r="O26" s="89" t="inlineStr">
        <is>
          <t>:</t>
        </is>
      </c>
      <c r="P26" s="306" t="n"/>
      <c r="Q26" s="487" t="n"/>
      <c r="R26" s="93" t="n"/>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c r="D39" s="99" t="n"/>
      <c r="E39" s="563" t="inlineStr">
        <is>
          <t>GΩ</t>
        </is>
      </c>
      <c r="F39" s="527" t="n"/>
      <c r="G39" s="99" t="n"/>
      <c r="H39" s="563" t="inlineStr">
        <is>
          <t>GΩ</t>
        </is>
      </c>
      <c r="I39" s="527" t="n"/>
      <c r="J39" s="99" t="n"/>
      <c r="K39" s="563" t="inlineStr">
        <is>
          <t>GΩ</t>
        </is>
      </c>
      <c r="L39" s="527" t="n"/>
      <c r="M39" s="99" t="n"/>
      <c r="N39" s="563" t="inlineStr">
        <is>
          <t>GΩ</t>
        </is>
      </c>
      <c r="O39" s="527" t="n"/>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c r="D41" s="99" t="n"/>
      <c r="E41" s="563" t="inlineStr">
        <is>
          <t>GΩ</t>
        </is>
      </c>
      <c r="F41" s="527" t="n"/>
      <c r="G41" s="99" t="n"/>
      <c r="H41" s="563" t="inlineStr">
        <is>
          <t>GΩ</t>
        </is>
      </c>
      <c r="I41" s="527" t="n"/>
      <c r="J41" s="99" t="n"/>
      <c r="K41" s="563" t="inlineStr">
        <is>
          <t>GΩ</t>
        </is>
      </c>
      <c r="L41" s="527" t="n"/>
      <c r="M41" s="99" t="n"/>
      <c r="N41" s="563" t="inlineStr">
        <is>
          <t>GΩ</t>
        </is>
      </c>
      <c r="O41" s="527" t="n"/>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c r="D43" s="99" t="n"/>
      <c r="E43" s="563" t="inlineStr">
        <is>
          <t>GΩ</t>
        </is>
      </c>
      <c r="F43" s="527" t="n"/>
      <c r="G43" s="99" t="n"/>
      <c r="H43" s="563" t="inlineStr">
        <is>
          <t>GΩ</t>
        </is>
      </c>
      <c r="I43" s="527" t="n"/>
      <c r="J43" s="99" t="n"/>
      <c r="K43" s="563" t="inlineStr">
        <is>
          <t>GΩ</t>
        </is>
      </c>
      <c r="L43" s="527" t="n"/>
      <c r="M43" s="99" t="n"/>
      <c r="N43" s="563" t="inlineStr">
        <is>
          <t>GΩ</t>
        </is>
      </c>
      <c r="O43" s="527" t="n"/>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n"/>
      <c r="D50" s="99" t="n"/>
      <c r="E50" s="99" t="n"/>
      <c r="F50" s="566" t="inlineStr">
        <is>
          <t>kV</t>
        </is>
      </c>
      <c r="G50" s="567" t="n"/>
      <c r="H50" s="99" t="n"/>
      <c r="I50" s="563" t="inlineStr">
        <is>
          <t>GΩ</t>
        </is>
      </c>
      <c r="J50" s="568">
        <f>IF(G50&gt;50,1,0)</f>
        <v/>
      </c>
      <c r="K50" s="376" t="n"/>
      <c r="L50" s="99" t="n"/>
      <c r="M50" s="99" t="n"/>
      <c r="N50" s="482" t="n"/>
      <c r="O50" s="569" t="n"/>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n"/>
      <c r="D52" s="99" t="n"/>
      <c r="E52" s="99" t="n"/>
      <c r="F52" s="566" t="inlineStr">
        <is>
          <t>kV</t>
        </is>
      </c>
      <c r="G52" s="567" t="n"/>
      <c r="H52" s="99" t="n"/>
      <c r="I52" s="563" t="inlineStr">
        <is>
          <t>GΩ</t>
        </is>
      </c>
      <c r="J52" s="568">
        <f>IF(G52&gt;50,1,0)</f>
        <v/>
      </c>
      <c r="K52" s="376" t="n"/>
      <c r="L52" s="99" t="n"/>
      <c r="M52" s="99" t="n"/>
      <c r="N52" s="482" t="n"/>
      <c r="O52" s="574" t="n"/>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n"/>
      <c r="D54" s="99" t="n"/>
      <c r="E54" s="99" t="n"/>
      <c r="F54" s="566" t="inlineStr">
        <is>
          <t>kV</t>
        </is>
      </c>
      <c r="G54" s="567" t="n"/>
      <c r="H54" s="99" t="n"/>
      <c r="I54" s="563" t="inlineStr">
        <is>
          <t>GΩ</t>
        </is>
      </c>
      <c r="J54" s="568">
        <f>IF(G54&gt;50,1,0)</f>
        <v/>
      </c>
      <c r="K54" s="376" t="n"/>
      <c r="L54" s="99" t="n"/>
      <c r="M54" s="99" t="n"/>
      <c r="N54" s="482" t="n"/>
      <c r="O54" s="574" t="n"/>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c r="D61" s="99" t="n"/>
      <c r="E61" s="482" t="inlineStr">
        <is>
          <t>ms</t>
        </is>
      </c>
      <c r="F61" s="527">
        <f>MAX(V80:V85)</f>
        <v/>
      </c>
      <c r="G61" s="99" t="n"/>
      <c r="H61" s="398" t="inlineStr">
        <is>
          <t>ms</t>
        </is>
      </c>
      <c r="I61" s="482" t="n"/>
      <c r="J61" s="575" t="n"/>
      <c r="K61" s="99" t="n"/>
      <c r="L61" s="482" t="inlineStr">
        <is>
          <t>ms</t>
        </is>
      </c>
      <c r="M61" s="527">
        <f>MAX(X80:X85)</f>
        <v/>
      </c>
      <c r="N61" s="99" t="n"/>
      <c r="O61" s="398" t="inlineStr">
        <is>
          <t>ms</t>
        </is>
      </c>
      <c r="P61" s="482" t="n"/>
      <c r="Q61" s="576"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c r="D63" s="99" t="n"/>
      <c r="E63" s="482" t="inlineStr">
        <is>
          <t>ms</t>
        </is>
      </c>
      <c r="F63" s="374" t="inlineStr">
        <is>
          <t>BOBİN AKIMI</t>
        </is>
      </c>
      <c r="G63" s="99" t="n"/>
      <c r="H63" s="99" t="n"/>
      <c r="I63" s="482" t="n"/>
      <c r="J63" s="575" t="n"/>
      <c r="K63" s="99" t="n"/>
      <c r="L63" s="482" t="inlineStr">
        <is>
          <t>ms</t>
        </is>
      </c>
      <c r="M63" s="374" t="inlineStr">
        <is>
          <t>BOBİN AKIMI</t>
        </is>
      </c>
      <c r="N63" s="99" t="n"/>
      <c r="O63" s="99" t="n"/>
      <c r="P63" s="482" t="n"/>
      <c r="Q63" s="576"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ht="15" customHeight="1" s="227">
      <c r="A65" s="10" t="n"/>
      <c r="B65" s="504" t="inlineStr">
        <is>
          <t>L-3</t>
        </is>
      </c>
      <c r="C65" s="575" t="n"/>
      <c r="D65" s="99" t="n"/>
      <c r="E65" s="482" t="inlineStr">
        <is>
          <t>ms</t>
        </is>
      </c>
      <c r="F65" s="527" t="n"/>
      <c r="G65" s="99" t="n"/>
      <c r="H65" s="398" t="inlineStr">
        <is>
          <t>A</t>
        </is>
      </c>
      <c r="I65" s="482" t="n"/>
      <c r="J65" s="575" t="n"/>
      <c r="K65" s="99" t="n"/>
      <c r="L65" s="482" t="inlineStr">
        <is>
          <t>ms</t>
        </is>
      </c>
      <c r="M65" s="527" t="n"/>
      <c r="N65" s="99" t="n"/>
      <c r="O65" s="398" t="inlineStr">
        <is>
          <t>A</t>
        </is>
      </c>
      <c r="P65" s="482" t="n"/>
      <c r="Q65" s="576" t="n"/>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n"/>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4">
        <f>C61-C63</f>
        <v/>
      </c>
      <c r="X80" s="578">
        <f>J61-J63</f>
        <v/>
      </c>
    </row>
    <row r="81" ht="15" customHeight="1" s="227">
      <c r="V81" s="604">
        <f>C61-C65</f>
        <v/>
      </c>
      <c r="X81" s="578">
        <f>J61-J65</f>
        <v/>
      </c>
    </row>
    <row r="82" ht="15" customHeight="1" s="227">
      <c r="V82" s="604">
        <f>C63-C65</f>
        <v/>
      </c>
      <c r="X82" s="578">
        <f>J63-J65</f>
        <v/>
      </c>
    </row>
    <row r="83" ht="15" customHeight="1" s="227">
      <c r="V83" s="604">
        <f>C63-C61</f>
        <v/>
      </c>
      <c r="X83" s="578">
        <f>J63-J61</f>
        <v/>
      </c>
    </row>
    <row r="84" ht="15" customHeight="1" s="227">
      <c r="V84" s="604">
        <f>C65-C61</f>
        <v/>
      </c>
      <c r="X84" s="578">
        <f>J65-J61</f>
        <v/>
      </c>
    </row>
    <row r="85" ht="15" customHeight="1" s="227">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B5:Q5"/>
    <mergeCell ref="J40:Q40"/>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2"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ht="15" customHeight="1" s="2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ht="15" customHeight="1" s="227">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4"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5" t="inlineStr">
        <is>
          <t>L4</t>
        </is>
      </c>
      <c r="C23" s="482" t="n"/>
      <c r="D23" s="515" t="n"/>
      <c r="E23" s="482" t="n"/>
      <c r="F23" s="516" t="inlineStr">
        <is>
          <t>GΩ</t>
        </is>
      </c>
      <c r="G23" s="482" t="n"/>
      <c r="H23" s="397" t="n"/>
      <c r="I23" s="99" t="n"/>
      <c r="J23" s="607" t="inlineStr">
        <is>
          <t>VDC</t>
        </is>
      </c>
      <c r="K23" s="375">
        <f>H23/D23</f>
        <v/>
      </c>
      <c r="L23" s="99" t="n"/>
      <c r="M23" s="607" t="inlineStr">
        <is>
          <t>nA</t>
        </is>
      </c>
      <c r="N23" s="406">
        <f>IF(D23&gt;250,1,0)</f>
        <v/>
      </c>
      <c r="O23" s="398">
        <f>IF(D23&gt;250,"UYGUN","UYGUN DEĞİL")</f>
        <v/>
      </c>
      <c r="P23" s="99" t="n"/>
      <c r="Q23" s="482" t="n"/>
      <c r="R23" s="11" t="n"/>
    </row>
    <row r="24" ht="15" customHeight="1" s="227">
      <c r="A24" s="10" t="n"/>
      <c r="B24" s="515" t="inlineStr">
        <is>
          <t>L5</t>
        </is>
      </c>
      <c r="C24" s="482" t="n"/>
      <c r="D24" s="515" t="n"/>
      <c r="E24" s="482" t="n"/>
      <c r="F24" s="515" t="inlineStr">
        <is>
          <t>GΩ</t>
        </is>
      </c>
      <c r="G24" s="482" t="n"/>
      <c r="H24" s="397" t="n"/>
      <c r="I24" s="99" t="n"/>
      <c r="J24" s="607" t="inlineStr">
        <is>
          <t>VDC</t>
        </is>
      </c>
      <c r="K24" s="375">
        <f>H24/D24</f>
        <v/>
      </c>
      <c r="L24" s="99" t="n"/>
      <c r="M24" s="607" t="inlineStr">
        <is>
          <t>nA</t>
        </is>
      </c>
      <c r="N24" s="406">
        <f>IF(D24&gt;250,1,0)</f>
        <v/>
      </c>
      <c r="O24" s="398">
        <f>IF(D24&gt;250,"UYGUN","UYGUN DEĞİL")</f>
        <v/>
      </c>
      <c r="P24" s="99" t="n"/>
      <c r="Q24" s="482" t="n"/>
      <c r="R24" s="11" t="n"/>
    </row>
    <row r="25" ht="15" customHeight="1" s="227">
      <c r="A25" s="10" t="n"/>
      <c r="B25" s="515" t="inlineStr">
        <is>
          <t>L6</t>
        </is>
      </c>
      <c r="C25" s="482" t="n"/>
      <c r="D25" s="515" t="n"/>
      <c r="E25" s="482" t="n"/>
      <c r="F25" s="515" t="inlineStr">
        <is>
          <t>GΩ</t>
        </is>
      </c>
      <c r="G25" s="482" t="n"/>
      <c r="H25" s="397" t="n"/>
      <c r="I25" s="99" t="n"/>
      <c r="J25" s="607" t="inlineStr">
        <is>
          <t>VDC</t>
        </is>
      </c>
      <c r="K25" s="375">
        <f>H25/D25</f>
        <v/>
      </c>
      <c r="L25" s="99" t="n"/>
      <c r="M25" s="607" t="inlineStr">
        <is>
          <t>nA</t>
        </is>
      </c>
      <c r="N25" s="406">
        <f>IF(D25&gt;250,1,0)</f>
        <v/>
      </c>
      <c r="O25" s="398">
        <f>IF(D25&gt;250,"UYGUN","UYGUN DEĞİL")</f>
        <v/>
      </c>
      <c r="P25" s="99" t="n"/>
      <c r="Q25" s="482" t="n"/>
      <c r="R25" s="11" t="n"/>
    </row>
    <row r="26" ht="15" customHeight="1" s="227">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5" t="inlineStr">
        <is>
          <t>L7</t>
        </is>
      </c>
      <c r="C30" s="482" t="n"/>
      <c r="D30" s="515" t="n"/>
      <c r="E30" s="482" t="n"/>
      <c r="F30" s="516" t="inlineStr">
        <is>
          <t>GΩ</t>
        </is>
      </c>
      <c r="G30" s="482" t="n"/>
      <c r="H30" s="397" t="n"/>
      <c r="I30" s="99" t="n"/>
      <c r="J30" s="607" t="inlineStr">
        <is>
          <t>VDC</t>
        </is>
      </c>
      <c r="K30" s="375">
        <f>H30/D30</f>
        <v/>
      </c>
      <c r="L30" s="99" t="n"/>
      <c r="M30" s="607" t="inlineStr">
        <is>
          <t>nA</t>
        </is>
      </c>
      <c r="N30" s="406">
        <f>IF(D30&gt;20,1,0)</f>
        <v/>
      </c>
      <c r="O30" s="398">
        <f>IF(D30&gt;20,"UYGUN","UYGUN DEĞİL")</f>
        <v/>
      </c>
      <c r="P30" s="99" t="n"/>
      <c r="Q30" s="482" t="n"/>
      <c r="R30" s="11" t="n"/>
    </row>
    <row r="31" ht="15" customHeight="1" s="227">
      <c r="A31" s="33" t="n"/>
      <c r="B31" s="515" t="inlineStr">
        <is>
          <t>L8</t>
        </is>
      </c>
      <c r="C31" s="482" t="n"/>
      <c r="D31" s="515" t="n"/>
      <c r="E31" s="482" t="n"/>
      <c r="F31" s="515" t="inlineStr">
        <is>
          <t>GΩ</t>
        </is>
      </c>
      <c r="G31" s="482" t="n"/>
      <c r="H31" s="397" t="n"/>
      <c r="I31" s="99" t="n"/>
      <c r="J31" s="607" t="inlineStr">
        <is>
          <t>VDC</t>
        </is>
      </c>
      <c r="K31" s="375">
        <f>H31/D31</f>
        <v/>
      </c>
      <c r="L31" s="99" t="n"/>
      <c r="M31" s="607" t="inlineStr">
        <is>
          <t>nA</t>
        </is>
      </c>
      <c r="N31" s="406">
        <f>IF(D31&gt;20,1,0)</f>
        <v/>
      </c>
      <c r="O31" s="398">
        <f>IF(D31&gt;20,"UYGUN","UYGUN DEĞİL")</f>
        <v/>
      </c>
      <c r="P31" s="99" t="n"/>
      <c r="Q31" s="482" t="n"/>
      <c r="R31" s="11" t="n"/>
    </row>
    <row r="32" ht="15" customHeight="1" s="227">
      <c r="A32" s="33" t="n"/>
      <c r="B32" s="515" t="inlineStr">
        <is>
          <t>L9</t>
        </is>
      </c>
      <c r="C32" s="482" t="n"/>
      <c r="D32" s="515" t="n"/>
      <c r="E32" s="482" t="n"/>
      <c r="F32" s="515" t="inlineStr">
        <is>
          <t>GΩ</t>
        </is>
      </c>
      <c r="G32" s="482" t="n"/>
      <c r="H32" s="397" t="n"/>
      <c r="I32" s="99" t="n"/>
      <c r="J32" s="607" t="inlineStr">
        <is>
          <t>VDC</t>
        </is>
      </c>
      <c r="K32" s="375">
        <f>H32/D32</f>
        <v/>
      </c>
      <c r="L32" s="99" t="n"/>
      <c r="M32" s="607" t="inlineStr">
        <is>
          <t>nA</t>
        </is>
      </c>
      <c r="N32" s="406">
        <f>IF(D32&gt;20,1,0)</f>
        <v/>
      </c>
      <c r="O32" s="398">
        <f>IF(D32&gt;20,"UYGUN","UYGUN DEĞİL")</f>
        <v/>
      </c>
      <c r="P32" s="99" t="n"/>
      <c r="Q32" s="482" t="n"/>
      <c r="R32" s="11" t="n"/>
    </row>
    <row r="33" ht="15" customHeight="1" s="227">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5" t="inlineStr">
        <is>
          <t>L1</t>
        </is>
      </c>
      <c r="C16" s="482" t="n"/>
      <c r="D16" s="515" t="n"/>
      <c r="E16" s="482" t="n"/>
      <c r="F16" s="516" t="inlineStr">
        <is>
          <t>GΩ</t>
        </is>
      </c>
      <c r="G16" s="482" t="n"/>
      <c r="H16" s="397" t="n"/>
      <c r="I16" s="99" t="n"/>
      <c r="J16" s="607" t="inlineStr">
        <is>
          <t>VDC</t>
        </is>
      </c>
      <c r="K16" s="375">
        <f>H16/D16</f>
        <v/>
      </c>
      <c r="L16" s="99" t="n"/>
      <c r="M16" s="607" t="inlineStr">
        <is>
          <t>nA</t>
        </is>
      </c>
      <c r="N16" s="406">
        <f>IF(D16&gt;250,1,0)</f>
        <v/>
      </c>
      <c r="O16" s="398">
        <f>IF(D16&gt;250,"UYGUN","UYGUN DEĞİL")</f>
        <v/>
      </c>
      <c r="P16" s="99" t="n"/>
      <c r="Q16" s="482" t="n"/>
      <c r="R16" s="11" t="n"/>
    </row>
    <row r="17" ht="15" customHeight="1" s="227">
      <c r="A17" s="10" t="n"/>
      <c r="B17" s="515" t="inlineStr">
        <is>
          <t>L2</t>
        </is>
      </c>
      <c r="C17" s="482" t="n"/>
      <c r="D17" s="515" t="n"/>
      <c r="E17" s="482" t="n"/>
      <c r="F17" s="515" t="inlineStr">
        <is>
          <t>GΩ</t>
        </is>
      </c>
      <c r="G17" s="482" t="n"/>
      <c r="H17" s="397" t="n"/>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5" t="inlineStr">
        <is>
          <t>L3</t>
        </is>
      </c>
      <c r="C18" s="482" t="n"/>
      <c r="D18" s="515" t="n"/>
      <c r="E18" s="482" t="n"/>
      <c r="F18" s="515" t="inlineStr">
        <is>
          <t>GΩ</t>
        </is>
      </c>
      <c r="G18" s="482" t="n"/>
      <c r="H18" s="397" t="n"/>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ht="15" customHeight="1" s="227">
      <c r="A35" s="33" t="n"/>
      <c r="B35" s="240" t="n"/>
      <c r="C35" s="614" t="n"/>
      <c r="E35" s="59" t="n"/>
      <c r="F35" s="446" t="n"/>
      <c r="G35" s="317" t="n"/>
      <c r="I35" s="59" t="n"/>
      <c r="J35" s="446" t="n"/>
      <c r="K35" s="127" t="n"/>
      <c r="L35" s="622" t="n"/>
      <c r="N35" s="127" t="n"/>
      <c r="O35" s="622" t="n"/>
      <c r="Q35" s="143" t="n"/>
      <c r="R35" s="11" t="n"/>
    </row>
    <row r="36" ht="15" customHeight="1" s="227">
      <c r="A36" s="33" t="n"/>
      <c r="B36" s="240" t="n"/>
      <c r="C36" s="614" t="n"/>
      <c r="G36" s="317" t="n"/>
      <c r="K36" s="127" t="n"/>
      <c r="L36" s="622" t="n"/>
      <c r="N36" s="127" t="n"/>
      <c r="O36" s="622" t="n"/>
      <c r="Q36" s="143" t="n"/>
      <c r="R36" s="11" t="n"/>
    </row>
    <row r="37" ht="15" customHeight="1" s="22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2026-08-18T13:49:34Z</dcterms:modified>
</cp:coreProperties>
</file>