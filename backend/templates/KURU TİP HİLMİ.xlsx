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BuÇalışmaKitabı" defaultThemeVersion="124226"/>
  <bookViews>
    <workbookView xWindow="-945" yWindow="45" windowWidth="14985" windowHeight="11580" tabRatio="851" firstSheet="6" activeTab="14"/>
  </bookViews>
  <sheets>
    <sheet name="KAPAK SAYFASI" sheetId="65" r:id="rId1"/>
    <sheet name="ANA SAYFA" sheetId="48" r:id="rId2"/>
    <sheet name="OG SARGI MEVCUT KADEME" sheetId="7" r:id="rId3"/>
    <sheet name="AG SARGI" sheetId="15" r:id="rId4"/>
    <sheet name="İZOLASYON " sheetId="17" r:id="rId5"/>
    <sheet name="Ç.O 34500" sheetId="36" r:id="rId6"/>
    <sheet name="TOPRAKLAMALAR" sheetId="43" r:id="rId7"/>
    <sheet name="HV PF" sheetId="56" r:id="rId8"/>
    <sheet name="LV PF" sheetId="57" r:id="rId9"/>
    <sheet name="ANA SAYFA KESİCİ" sheetId="59" r:id="rId10"/>
    <sheet name="KESİCİ İZOLASYON" sheetId="60" r:id="rId11"/>
    <sheet name="KESİCİ KONTAK" sheetId="61" r:id="rId12"/>
    <sheet name="AÇMA-KAPAMA" sheetId="62" r:id="rId13"/>
    <sheet name="DİĞER" sheetId="63" r:id="rId14"/>
    <sheet name="AKIM TRAFOLARI" sheetId="64" r:id="rId15"/>
  </sheets>
  <definedNames>
    <definedName name="_xlnm._FilterDatabase" localSheetId="14" hidden="1">'AKIM TRAFOLARI'!$B$31:$Q$37</definedName>
    <definedName name="_xlnm._FilterDatabase" localSheetId="13" hidden="1">DİĞER!$B$31:$Q$37</definedName>
    <definedName name="_xlnm.Print_Area" localSheetId="12">'AÇMA-KAPAMA'!$A$1:$R$52</definedName>
    <definedName name="_xlnm.Print_Area" localSheetId="3">'AG SARGI'!$A$1:$R$49</definedName>
    <definedName name="_xlnm.Print_Area" localSheetId="14">'AKIM TRAFOLARI'!$A$1:$R$48</definedName>
    <definedName name="_xlnm.Print_Area" localSheetId="1">'ANA SAYFA'!$A$1:$T$77</definedName>
    <definedName name="_xlnm.Print_Area" localSheetId="9">'ANA SAYFA KESİCİ'!$A$1:$T$79</definedName>
    <definedName name="_xlnm.Print_Area" localSheetId="5">'Ç.O 34500'!$A$1:$R$54</definedName>
    <definedName name="_xlnm.Print_Area" localSheetId="13">DİĞER!$A$1:$R$48</definedName>
    <definedName name="_xlnm.Print_Area" localSheetId="7">'HV PF'!$A$1:$R$48</definedName>
    <definedName name="_xlnm.Print_Area" localSheetId="4">'İZOLASYON '!$A$1:$R$54</definedName>
    <definedName name="_xlnm.Print_Area" localSheetId="10">'KESİCİ İZOLASYON'!$A$1:$R$54</definedName>
    <definedName name="_xlnm.Print_Area" localSheetId="11">'KESİCİ KONTAK'!$A$1:$R$54</definedName>
    <definedName name="_xlnm.Print_Area" localSheetId="8">'LV PF'!$A$1:$R$48</definedName>
    <definedName name="_xlnm.Print_Area" localSheetId="2">'OG SARGI MEVCUT KADEME'!$A$1:$R$49</definedName>
    <definedName name="_xlnm.Print_Area" localSheetId="6">TOPRAKLAMALAR!$A$1:$R$51</definedName>
  </definedNames>
  <calcPr calcId="152511"/>
</workbook>
</file>

<file path=xl/calcChain.xml><?xml version="1.0" encoding="utf-8"?>
<calcChain xmlns="http://schemas.openxmlformats.org/spreadsheetml/2006/main">
  <c r="F18" i="15" l="1"/>
  <c r="F18" i="7"/>
  <c r="F76" i="48" l="1"/>
  <c r="F75" i="48"/>
  <c r="F74" i="48"/>
  <c r="F73" i="48"/>
  <c r="F45" i="63" s="1"/>
  <c r="F72" i="48"/>
  <c r="D55" i="65"/>
  <c r="D54" i="65"/>
  <c r="F49" i="43" l="1"/>
  <c r="F53" i="36"/>
  <c r="F53" i="17"/>
  <c r="F50" i="43"/>
  <c r="K5" i="48"/>
  <c r="F47" i="64" l="1"/>
  <c r="F47" i="63"/>
  <c r="F52" i="17"/>
  <c r="F46" i="64"/>
  <c r="F46" i="63"/>
  <c r="D9" i="62"/>
  <c r="T15" i="36" l="1"/>
  <c r="J54" i="59" l="1"/>
  <c r="J52" i="59"/>
  <c r="J50" i="59"/>
  <c r="F53" i="61" l="1"/>
  <c r="F52" i="61"/>
  <c r="F51" i="62" l="1"/>
  <c r="F50" i="62"/>
  <c r="F53" i="60"/>
  <c r="F52" i="60"/>
  <c r="F47" i="57"/>
  <c r="F46" i="57"/>
  <c r="F47" i="56"/>
  <c r="F46" i="56"/>
  <c r="F52" i="36"/>
  <c r="F48" i="15"/>
  <c r="F47" i="15"/>
  <c r="F47" i="7"/>
  <c r="F48" i="7"/>
  <c r="J9" i="57" l="1"/>
  <c r="J9" i="17"/>
  <c r="J9" i="15"/>
  <c r="J9" i="56"/>
  <c r="J7" i="43"/>
  <c r="J9" i="36"/>
  <c r="J9" i="7"/>
  <c r="F74" i="59"/>
  <c r="J7" i="64"/>
  <c r="J7" i="63"/>
  <c r="F45" i="56" l="1"/>
  <c r="F46" i="15"/>
  <c r="F75" i="59"/>
  <c r="F51" i="36"/>
  <c r="F51" i="17"/>
  <c r="F48" i="43"/>
  <c r="F46" i="7"/>
  <c r="F45" i="57"/>
  <c r="J8" i="61"/>
  <c r="J7" i="62"/>
  <c r="J8" i="60"/>
  <c r="K2" i="48"/>
  <c r="F45" i="64" l="1"/>
  <c r="F51" i="61"/>
  <c r="F49" i="62"/>
  <c r="F51" i="60"/>
  <c r="P13" i="17"/>
  <c r="X43" i="17" s="1"/>
  <c r="P15" i="56"/>
  <c r="X42" i="17" l="1"/>
  <c r="V38" i="17" s="1"/>
  <c r="C26" i="15" l="1"/>
  <c r="E26" i="15" s="1"/>
  <c r="C25" i="15"/>
  <c r="E25" i="15" s="1"/>
  <c r="C24" i="15"/>
  <c r="E24" i="15" s="1"/>
  <c r="C26" i="7"/>
  <c r="E26" i="7" s="1"/>
  <c r="C25" i="7"/>
  <c r="E25" i="7" s="1"/>
  <c r="C24" i="7"/>
  <c r="E24" i="7" s="1"/>
  <c r="K24" i="7" l="1"/>
  <c r="G24" i="7" s="1"/>
  <c r="J3" i="63" l="1"/>
  <c r="J2" i="63"/>
  <c r="J3" i="64"/>
  <c r="J2" i="64"/>
  <c r="O18" i="64"/>
  <c r="N18" i="64"/>
  <c r="D41" i="64" s="1"/>
  <c r="K18" i="64"/>
  <c r="O17" i="64"/>
  <c r="N17" i="64"/>
  <c r="D40" i="64" s="1"/>
  <c r="K17" i="64"/>
  <c r="O16" i="64"/>
  <c r="N16" i="64"/>
  <c r="D39" i="64" s="1"/>
  <c r="K16" i="64"/>
  <c r="O32" i="63"/>
  <c r="N32" i="63"/>
  <c r="K32" i="63"/>
  <c r="O31" i="63"/>
  <c r="N31" i="63"/>
  <c r="K31" i="63"/>
  <c r="O30" i="63"/>
  <c r="N30" i="63"/>
  <c r="K30" i="63"/>
  <c r="O25" i="63"/>
  <c r="N25" i="63"/>
  <c r="K25" i="63"/>
  <c r="O24" i="63"/>
  <c r="N24" i="63"/>
  <c r="K24" i="63"/>
  <c r="O23" i="63"/>
  <c r="N23" i="63"/>
  <c r="K23" i="63"/>
  <c r="O18" i="63"/>
  <c r="N18" i="63"/>
  <c r="K18" i="63"/>
  <c r="O17" i="63"/>
  <c r="N17" i="63"/>
  <c r="K17" i="63"/>
  <c r="O16" i="63"/>
  <c r="N16" i="63"/>
  <c r="K16" i="63"/>
  <c r="V13" i="15" l="1"/>
  <c r="V14" i="15" s="1"/>
  <c r="V13" i="7"/>
  <c r="V14" i="7" s="1"/>
  <c r="K5" i="59" l="1"/>
  <c r="K3" i="61" s="1"/>
  <c r="K2" i="59"/>
  <c r="K2" i="62" s="1"/>
  <c r="P27" i="62"/>
  <c r="K27" i="62"/>
  <c r="H27" i="62"/>
  <c r="C27" i="62"/>
  <c r="K26" i="62"/>
  <c r="C26" i="62"/>
  <c r="P25" i="62"/>
  <c r="K25" i="62"/>
  <c r="H25" i="62"/>
  <c r="C25" i="62"/>
  <c r="N19" i="62"/>
  <c r="G19" i="62"/>
  <c r="N17" i="62"/>
  <c r="G17" i="62"/>
  <c r="N15" i="62"/>
  <c r="G15" i="62"/>
  <c r="N13" i="62"/>
  <c r="G13" i="62"/>
  <c r="N38" i="61"/>
  <c r="N36" i="61" s="1"/>
  <c r="N29" i="61"/>
  <c r="P23" i="61" s="1"/>
  <c r="D46" i="61" s="1"/>
  <c r="N20" i="61"/>
  <c r="N18" i="61" s="1"/>
  <c r="H36" i="60"/>
  <c r="F36" i="60"/>
  <c r="D36" i="60"/>
  <c r="H35" i="60"/>
  <c r="F35" i="60"/>
  <c r="D35" i="60"/>
  <c r="H34" i="60"/>
  <c r="F34" i="60"/>
  <c r="D34" i="60"/>
  <c r="H33" i="60"/>
  <c r="F33" i="60"/>
  <c r="D33" i="60"/>
  <c r="H32" i="60"/>
  <c r="F32" i="60"/>
  <c r="D32" i="60"/>
  <c r="D19" i="60"/>
  <c r="D18" i="60"/>
  <c r="D17" i="60"/>
  <c r="X85" i="59"/>
  <c r="V85" i="59"/>
  <c r="X84" i="59"/>
  <c r="V84" i="59"/>
  <c r="X83" i="59"/>
  <c r="V83" i="59"/>
  <c r="X82" i="59"/>
  <c r="V82" i="59"/>
  <c r="X81" i="59"/>
  <c r="V81" i="59"/>
  <c r="X80" i="59"/>
  <c r="M61" i="59" s="1"/>
  <c r="J29" i="62" s="1"/>
  <c r="N29" i="62" s="1"/>
  <c r="V80" i="59"/>
  <c r="S54" i="59"/>
  <c r="S52" i="59"/>
  <c r="S50" i="59"/>
  <c r="R43" i="59"/>
  <c r="R41" i="59"/>
  <c r="R39" i="59"/>
  <c r="N18" i="60" l="1"/>
  <c r="O18" i="60"/>
  <c r="O19" i="60"/>
  <c r="N19" i="60"/>
  <c r="X20" i="60" s="1"/>
  <c r="N33" i="60"/>
  <c r="O33" i="60"/>
  <c r="O34" i="60"/>
  <c r="N34" i="60"/>
  <c r="O32" i="60"/>
  <c r="N32" i="60"/>
  <c r="O36" i="60"/>
  <c r="N36" i="60"/>
  <c r="N17" i="60"/>
  <c r="O17" i="60"/>
  <c r="O35" i="60"/>
  <c r="N35" i="60"/>
  <c r="K2" i="61"/>
  <c r="P32" i="61"/>
  <c r="D47" i="61" s="1"/>
  <c r="F61" i="59"/>
  <c r="B29" i="62" s="1"/>
  <c r="D47" i="62" s="1"/>
  <c r="D46" i="62"/>
  <c r="N27" i="61"/>
  <c r="D45" i="62"/>
  <c r="K17" i="60"/>
  <c r="K2" i="60"/>
  <c r="K19" i="60"/>
  <c r="K18" i="60"/>
  <c r="K3" i="60"/>
  <c r="K3" i="62"/>
  <c r="P14" i="61"/>
  <c r="D45" i="61" s="1"/>
  <c r="F29" i="62" l="1"/>
  <c r="X24" i="60"/>
  <c r="D47" i="60"/>
  <c r="F28" i="17"/>
  <c r="L28" i="17" s="1"/>
  <c r="F23" i="17"/>
  <c r="L23" i="17" s="1"/>
  <c r="F18" i="17"/>
  <c r="L18" i="17" s="1"/>
  <c r="D41" i="17" s="1"/>
  <c r="P23" i="17" l="1"/>
  <c r="Z12" i="17"/>
  <c r="AA12" i="17"/>
  <c r="P28" i="17"/>
  <c r="P18" i="17"/>
  <c r="Y12" i="17"/>
  <c r="AA9" i="17"/>
  <c r="Z9" i="17"/>
  <c r="Y9" i="17"/>
  <c r="J3" i="57" l="1"/>
  <c r="J2" i="57"/>
  <c r="J3" i="56"/>
  <c r="J2" i="56"/>
  <c r="J3" i="43"/>
  <c r="J2" i="43"/>
  <c r="J3" i="36"/>
  <c r="J2" i="36"/>
  <c r="J3" i="17"/>
  <c r="J2" i="17"/>
  <c r="J3" i="15"/>
  <c r="J2" i="15"/>
  <c r="J3" i="7"/>
  <c r="J2" i="7"/>
  <c r="D18" i="17" l="1"/>
  <c r="J18" i="17" s="1"/>
  <c r="Y11" i="17" s="1"/>
  <c r="B28" i="17"/>
  <c r="H28" i="17" s="1"/>
  <c r="D28" i="17"/>
  <c r="J28" i="17" s="1"/>
  <c r="AA11" i="17" s="1"/>
  <c r="B23" i="17"/>
  <c r="H23" i="17" s="1"/>
  <c r="D23" i="17"/>
  <c r="J23" i="17" s="1"/>
  <c r="Z11" i="17" s="1"/>
  <c r="Z10" i="17" l="1"/>
  <c r="N23" i="17"/>
  <c r="AA10" i="17"/>
  <c r="N28" i="17"/>
  <c r="K15" i="36"/>
  <c r="F18" i="36"/>
  <c r="Q64" i="48" l="1"/>
  <c r="Q62" i="48"/>
  <c r="Q60" i="48"/>
  <c r="D9" i="43" l="1"/>
  <c r="P15" i="57" l="1"/>
  <c r="N31" i="56"/>
  <c r="N31" i="57"/>
  <c r="AA8" i="57" l="1"/>
  <c r="D11" i="57" l="1"/>
  <c r="D11" i="56"/>
  <c r="P31" i="57" l="1"/>
  <c r="AA8" i="56"/>
  <c r="P31" i="56" s="1"/>
  <c r="P23" i="57" l="1"/>
  <c r="P27" i="57"/>
  <c r="P23" i="56"/>
  <c r="P27" i="56"/>
  <c r="D11" i="15" l="1"/>
  <c r="K29" i="43" l="1"/>
  <c r="N29" i="43" s="1"/>
  <c r="D45" i="43" l="1"/>
  <c r="K28" i="43" l="1"/>
  <c r="K27" i="43"/>
  <c r="K26" i="43"/>
  <c r="K16" i="43"/>
  <c r="N16" i="43" l="1"/>
  <c r="AL51" i="48" l="1"/>
  <c r="AI51" i="48"/>
  <c r="AF51" i="48"/>
  <c r="D41" i="43" l="1"/>
  <c r="M28" i="36"/>
  <c r="M27" i="36"/>
  <c r="M26" i="36"/>
  <c r="AL42" i="48"/>
  <c r="AB60" i="48" s="1"/>
  <c r="AI42" i="48"/>
  <c r="AF42" i="48"/>
  <c r="AL60" i="48"/>
  <c r="AI60" i="48"/>
  <c r="AF60" i="48"/>
  <c r="B18" i="17"/>
  <c r="H18" i="17" s="1"/>
  <c r="O15" i="7"/>
  <c r="K26" i="15"/>
  <c r="G26" i="15" s="1"/>
  <c r="K25" i="15"/>
  <c r="G25" i="15" s="1"/>
  <c r="K24" i="15"/>
  <c r="G24" i="15" s="1"/>
  <c r="O7" i="7"/>
  <c r="I7" i="7"/>
  <c r="D7" i="7"/>
  <c r="Y10" i="17" l="1"/>
  <c r="N18" i="17"/>
  <c r="V33" i="15"/>
  <c r="U33" i="15"/>
  <c r="U32" i="15"/>
  <c r="T33" i="15"/>
  <c r="T32" i="15"/>
  <c r="V32" i="15"/>
  <c r="U23" i="15" s="1"/>
  <c r="O7" i="57"/>
  <c r="O7" i="56"/>
  <c r="D7" i="57"/>
  <c r="D7" i="56"/>
  <c r="I7" i="57"/>
  <c r="I7" i="56"/>
  <c r="D11" i="17"/>
  <c r="D9" i="64" s="1"/>
  <c r="D11" i="36"/>
  <c r="N27" i="43"/>
  <c r="D43" i="43"/>
  <c r="N28" i="43"/>
  <c r="D44" i="43"/>
  <c r="N26" i="43"/>
  <c r="D42" i="43"/>
  <c r="V60" i="48"/>
  <c r="V51" i="48" s="1"/>
  <c r="Y60" i="48"/>
  <c r="Y51" i="48" s="1"/>
  <c r="AB51" i="48"/>
  <c r="K26" i="7"/>
  <c r="G26" i="7" s="1"/>
  <c r="K25" i="7"/>
  <c r="G25" i="7" s="1"/>
  <c r="O25" i="15" l="1"/>
  <c r="Q25" i="15" s="1"/>
  <c r="O26" i="15"/>
  <c r="Q26" i="15" s="1"/>
  <c r="V33" i="7"/>
  <c r="U33" i="7"/>
  <c r="U32" i="7"/>
  <c r="V32" i="7"/>
  <c r="T33" i="7"/>
  <c r="T32" i="7"/>
  <c r="O24" i="15"/>
  <c r="Q24" i="15" s="1"/>
  <c r="U21" i="15"/>
  <c r="U22" i="15"/>
  <c r="Y42" i="48"/>
  <c r="V42" i="48"/>
  <c r="AB42" i="48"/>
  <c r="F20" i="7"/>
  <c r="U22" i="7" l="1"/>
  <c r="O25" i="7" s="1"/>
  <c r="Q25" i="7" s="1"/>
  <c r="U21" i="7"/>
  <c r="O24" i="7" s="1"/>
  <c r="Q24" i="7" s="1"/>
  <c r="U23" i="7"/>
  <c r="O26" i="7" s="1"/>
  <c r="Q26" i="7" s="1"/>
  <c r="G28" i="36"/>
  <c r="G27" i="36"/>
  <c r="G26" i="36"/>
  <c r="F20" i="36" l="1"/>
  <c r="O27" i="36" s="1"/>
  <c r="O7" i="36"/>
  <c r="I7" i="36"/>
  <c r="D7" i="36"/>
  <c r="D46" i="36" l="1"/>
  <c r="V16" i="36"/>
  <c r="O28" i="36"/>
  <c r="O26" i="36"/>
  <c r="D44" i="36" l="1"/>
  <c r="V15" i="36"/>
  <c r="D48" i="36"/>
  <c r="V17" i="36"/>
  <c r="D7" i="15" l="1"/>
  <c r="M24" i="7" l="1"/>
  <c r="M25" i="7" l="1"/>
  <c r="M26" i="7"/>
  <c r="F20" i="15"/>
  <c r="M24" i="15" l="1"/>
  <c r="O7" i="15" l="1"/>
  <c r="I7" i="15"/>
  <c r="O7" i="17"/>
  <c r="I7" i="17"/>
  <c r="D7" i="17"/>
  <c r="M25" i="15" l="1"/>
  <c r="M26" i="15"/>
</calcChain>
</file>

<file path=xl/sharedStrings.xml><?xml version="1.0" encoding="utf-8"?>
<sst xmlns="http://schemas.openxmlformats.org/spreadsheetml/2006/main" count="1251" uniqueCount="405">
  <si>
    <t>Dosya Adı :</t>
  </si>
  <si>
    <t>Üretici :</t>
  </si>
  <si>
    <t>Model :</t>
  </si>
  <si>
    <t>OTURUM TARİHİ :</t>
  </si>
  <si>
    <t>Operatör :</t>
  </si>
  <si>
    <t>Cihaz :</t>
  </si>
  <si>
    <t>STS 5000</t>
  </si>
  <si>
    <t>Cihaz S/N :</t>
  </si>
  <si>
    <t>19B20</t>
  </si>
  <si>
    <t>Sonuçlar</t>
  </si>
  <si>
    <t>PT Sargı Otomatik</t>
  </si>
  <si>
    <t>Nominal Direnç</t>
  </si>
  <si>
    <t>Sıcaklık Kompan.</t>
  </si>
  <si>
    <t>Hayır</t>
  </si>
  <si>
    <t>Vektör Grubu</t>
  </si>
  <si>
    <t>Nominal Değerler</t>
  </si>
  <si>
    <t>Çıkış Kademesi</t>
  </si>
  <si>
    <t>Malzeme</t>
  </si>
  <si>
    <t>Cu</t>
  </si>
  <si>
    <t>DC 400A</t>
  </si>
  <si>
    <t>3-faz</t>
  </si>
  <si>
    <t>Seri Numarası :</t>
  </si>
  <si>
    <t xml:space="preserve">  ŞALT SAHASI          </t>
  </si>
  <si>
    <t xml:space="preserve">  LOKASYON</t>
  </si>
  <si>
    <t>:</t>
  </si>
  <si>
    <t>A</t>
  </si>
  <si>
    <t>B</t>
  </si>
  <si>
    <t>C</t>
  </si>
  <si>
    <t>I Testi [A]</t>
  </si>
  <si>
    <t>I DC [A]</t>
  </si>
  <si>
    <t>V DC [V]</t>
  </si>
  <si>
    <t>Zaman [S]</t>
  </si>
  <si>
    <t>R.ölç[Ω]</t>
  </si>
  <si>
    <t>R. Nom</t>
  </si>
  <si>
    <t>Ω</t>
  </si>
  <si>
    <t>Sonuç :</t>
  </si>
  <si>
    <t>A.G. TANK İZOLASYON</t>
  </si>
  <si>
    <t>30 sn</t>
  </si>
  <si>
    <t>45 sn</t>
  </si>
  <si>
    <t>60 sn</t>
  </si>
  <si>
    <t>Test Gerilimi</t>
  </si>
  <si>
    <t>Test Akımı</t>
  </si>
  <si>
    <t>DAR</t>
  </si>
  <si>
    <t>Sonuç</t>
  </si>
  <si>
    <t>GΩ</t>
  </si>
  <si>
    <t>VDC</t>
  </si>
  <si>
    <t>nA</t>
  </si>
  <si>
    <t>UYGUN</t>
  </si>
  <si>
    <t>O.G. TANK İZOLASYON</t>
  </si>
  <si>
    <t>O.G. A.G. İZOLASYON</t>
  </si>
  <si>
    <t>PT Her Bir Kademe Oran</t>
  </si>
  <si>
    <t>Kademe #1</t>
  </si>
  <si>
    <t>Test Değerleri</t>
  </si>
  <si>
    <t>Gerilim</t>
  </si>
  <si>
    <t>Frekans</t>
  </si>
  <si>
    <t>50, Hz</t>
  </si>
  <si>
    <t>HV Kademeler</t>
  </si>
  <si>
    <t>LV Ratings</t>
  </si>
  <si>
    <t>Çevirme Oranı</t>
  </si>
  <si>
    <t>Vn HV [V]</t>
  </si>
  <si>
    <t>V LV[V]</t>
  </si>
  <si>
    <t>Ratio</t>
  </si>
  <si>
    <t>Err %</t>
  </si>
  <si>
    <t>ᶲV LV [°]</t>
  </si>
  <si>
    <t>V</t>
  </si>
  <si>
    <t>V HV[V]</t>
  </si>
  <si>
    <r>
      <t>I HV[A</t>
    </r>
    <r>
      <rPr>
        <b/>
        <sz val="11"/>
        <color theme="1"/>
        <rFont val="Calibri"/>
        <family val="2"/>
      </rPr>
      <t>]</t>
    </r>
  </si>
  <si>
    <t xml:space="preserve"> </t>
  </si>
  <si>
    <t>METREL-MI3210</t>
  </si>
  <si>
    <t>26,0m</t>
  </si>
  <si>
    <t>Ölçülen</t>
  </si>
  <si>
    <t>Evet</t>
  </si>
  <si>
    <t>kV</t>
  </si>
  <si>
    <t>METREL-MI3123</t>
  </si>
  <si>
    <t>İŞLETME (NÖTR) TOPRAK DİRENCİ</t>
  </si>
  <si>
    <r>
      <t xml:space="preserve">Max. </t>
    </r>
    <r>
      <rPr>
        <sz val="11"/>
        <color theme="1"/>
        <rFont val="Arial Tur"/>
        <charset val="162"/>
      </rPr>
      <t>Ω</t>
    </r>
  </si>
  <si>
    <t>KORUMA TOPRAK DİRENCİ</t>
  </si>
  <si>
    <t>Trafo</t>
  </si>
  <si>
    <t>Max. Ω</t>
  </si>
  <si>
    <t>Hücre</t>
  </si>
  <si>
    <t>Kapılar</t>
  </si>
  <si>
    <t>Trafo Markası</t>
  </si>
  <si>
    <t>Kademe Bilgisi</t>
  </si>
  <si>
    <t>Trafo Gücü (kVA)</t>
  </si>
  <si>
    <t>Gerilim Seviyesi (V)</t>
  </si>
  <si>
    <t>Bağlantı Grubu</t>
  </si>
  <si>
    <t>Kısa Devre Emp.%</t>
  </si>
  <si>
    <t>Kazan Tipi</t>
  </si>
  <si>
    <t>Hermetik</t>
  </si>
  <si>
    <t>Genleşme Tanklı</t>
  </si>
  <si>
    <t>Kuru Tip</t>
  </si>
  <si>
    <t>KONTROLLER</t>
  </si>
  <si>
    <t xml:space="preserve">Trafo Sıcaklık Kontrolü </t>
  </si>
  <si>
    <t>Trafo Temizliği</t>
  </si>
  <si>
    <t>Bina Temizliği</t>
  </si>
  <si>
    <t>DC Redresör Kontrolü</t>
  </si>
  <si>
    <t>Vdc</t>
  </si>
  <si>
    <t>Kablo Sıkılık Kontrolü</t>
  </si>
  <si>
    <t>TOPRAKLAMA ÖLÇÜMÜ ( Ω )</t>
  </si>
  <si>
    <t>Trafo Topraklaması</t>
  </si>
  <si>
    <t>A.G Pano Topraklaması</t>
  </si>
  <si>
    <t>Nötr (işletme) Topraklaması</t>
  </si>
  <si>
    <t>Kapı Topraklaması</t>
  </si>
  <si>
    <t>Hücre Topraklaması</t>
  </si>
  <si>
    <t>Direk Topraklaması</t>
  </si>
  <si>
    <t>SARGI DİRENÇLERİ ( Ω )</t>
  </si>
  <si>
    <t>ÇEVİRME ORANI  ( TTR )</t>
  </si>
  <si>
    <r>
      <rPr>
        <sz val="13"/>
        <color theme="1"/>
        <rFont val="Calibri"/>
        <family val="2"/>
        <charset val="162"/>
        <scheme val="minor"/>
      </rPr>
      <t>R</t>
    </r>
    <r>
      <rPr>
        <sz val="8"/>
        <color theme="1"/>
        <rFont val="Calibri"/>
        <family val="2"/>
        <charset val="162"/>
        <scheme val="minor"/>
      </rPr>
      <t>AB  :</t>
    </r>
  </si>
  <si>
    <r>
      <rPr>
        <sz val="13"/>
        <color theme="1"/>
        <rFont val="Calibri"/>
        <family val="2"/>
        <charset val="162"/>
        <scheme val="minor"/>
      </rPr>
      <t>R</t>
    </r>
    <r>
      <rPr>
        <sz val="8"/>
        <color theme="1"/>
        <rFont val="Calibri"/>
        <family val="2"/>
        <charset val="162"/>
        <scheme val="minor"/>
      </rPr>
      <t>an  :</t>
    </r>
  </si>
  <si>
    <t>AB / an</t>
  </si>
  <si>
    <t>BC / bn</t>
  </si>
  <si>
    <t>CA / cn</t>
  </si>
  <si>
    <r>
      <rPr>
        <sz val="13"/>
        <color theme="1"/>
        <rFont val="Calibri"/>
        <family val="2"/>
        <charset val="162"/>
        <scheme val="minor"/>
      </rPr>
      <t>R</t>
    </r>
    <r>
      <rPr>
        <sz val="8"/>
        <color theme="1"/>
        <rFont val="Calibri"/>
        <family val="2"/>
        <charset val="162"/>
        <scheme val="minor"/>
      </rPr>
      <t>AC  :</t>
    </r>
  </si>
  <si>
    <r>
      <rPr>
        <sz val="13"/>
        <color theme="1"/>
        <rFont val="Calibri"/>
        <family val="2"/>
        <charset val="162"/>
        <scheme val="minor"/>
      </rPr>
      <t>R</t>
    </r>
    <r>
      <rPr>
        <sz val="8"/>
        <color theme="1"/>
        <rFont val="Calibri"/>
        <family val="2"/>
        <charset val="162"/>
        <scheme val="minor"/>
      </rPr>
      <t>bn  :</t>
    </r>
  </si>
  <si>
    <r>
      <rPr>
        <sz val="13"/>
        <color theme="1"/>
        <rFont val="Calibri"/>
        <family val="2"/>
        <charset val="162"/>
        <scheme val="minor"/>
      </rPr>
      <t>R</t>
    </r>
    <r>
      <rPr>
        <sz val="8"/>
        <color theme="1"/>
        <rFont val="Calibri"/>
        <family val="2"/>
        <charset val="162"/>
        <scheme val="minor"/>
      </rPr>
      <t>BC  :</t>
    </r>
  </si>
  <si>
    <r>
      <rPr>
        <sz val="13"/>
        <color theme="1"/>
        <rFont val="Calibri"/>
        <family val="2"/>
        <charset val="162"/>
        <scheme val="minor"/>
      </rPr>
      <t>R</t>
    </r>
    <r>
      <rPr>
        <sz val="8"/>
        <color theme="1"/>
        <rFont val="Calibri"/>
        <family val="2"/>
        <charset val="162"/>
        <scheme val="minor"/>
      </rPr>
      <t>cn  :</t>
    </r>
  </si>
  <si>
    <t xml:space="preserve">Kademe Bilgisi </t>
  </si>
  <si>
    <t>İZOLASYON (YALITIM) DİRENÇLERİ ( Ω )</t>
  </si>
  <si>
    <t>Birim</t>
  </si>
  <si>
    <t>Y.G - TANK</t>
  </si>
  <si>
    <t>A.G - TANK</t>
  </si>
  <si>
    <t>Y.G - A.G</t>
  </si>
  <si>
    <t>HV Mevcut Kademe Tap</t>
  </si>
  <si>
    <t>/</t>
  </si>
  <si>
    <t>34500 / 400</t>
  </si>
  <si>
    <t>Dyn11</t>
  </si>
  <si>
    <t>İmal Yılı</t>
  </si>
  <si>
    <t>Seri Numarası</t>
  </si>
  <si>
    <t xml:space="preserve">: </t>
  </si>
  <si>
    <t xml:space="preserve">:  </t>
  </si>
  <si>
    <t>ü</t>
  </si>
  <si>
    <t>YAPILDI</t>
  </si>
  <si>
    <t>G</t>
  </si>
  <si>
    <t>28500 / 400</t>
  </si>
  <si>
    <t>30000 / 400</t>
  </si>
  <si>
    <t>31500 / 400</t>
  </si>
  <si>
    <t>33000 / 400</t>
  </si>
  <si>
    <t>36000 / 400</t>
  </si>
  <si>
    <t xml:space="preserve">LV Kademe Tap </t>
  </si>
  <si>
    <t>DÜŞÜK</t>
  </si>
  <si>
    <t>( A ) Fazına ait çevirme oranı hata yüzdesi hatalı olduğu tespit edilmiştir.</t>
  </si>
  <si>
    <t>( B ) Fazına ait çevirme oranı hata yüzdesi hatalı olduğu tespit edilmiştir.</t>
  </si>
  <si>
    <t>( C ) Fazına ait çevirme oranı hata yüzdesi hatalı olduğu tespit edilmiştir.</t>
  </si>
  <si>
    <t>İşletme (NÖTR) topraklaması direnç değeri normaldir.</t>
  </si>
  <si>
    <t>İşletme (NÖTR) topraklaması direnç değeri yüksek bulunmuştur.</t>
  </si>
  <si>
    <t>Trafo topraklaması direnç değeri normaldir.</t>
  </si>
  <si>
    <t>Trafo topraklaması direnç değeri yüksek bulunmuştur.</t>
  </si>
  <si>
    <t>Hücre topraklaması direnç değeri normaldir.</t>
  </si>
  <si>
    <t>Hücre topraklaması direnç değeri yüksek bulunmuştur.</t>
  </si>
  <si>
    <t>A.G. Pano topraklaması direnç değeri normaldir.</t>
  </si>
  <si>
    <t>A.G. Pano topraklaması direnç değeri yüksek bulunmuştur.</t>
  </si>
  <si>
    <t>Kapı topraklaması direnç değeri normaldir.</t>
  </si>
  <si>
    <t>Kapı topraklaması direnç değeri yüksek bulunmuştur.</t>
  </si>
  <si>
    <t>Direk topraklaması direnç değeri normaldir.</t>
  </si>
  <si>
    <t>Direk topraklaması direnç değeri yüksek bulunmuştur.</t>
  </si>
  <si>
    <t>UYGUN DEĞİL</t>
  </si>
  <si>
    <t>_</t>
  </si>
  <si>
    <t xml:space="preserve">TRAFO BİLGİLERİ </t>
  </si>
  <si>
    <t>AG. Pano</t>
  </si>
  <si>
    <t>BEST</t>
  </si>
  <si>
    <t>Üçevler Mh.  AK-VA Sanayi Sitesi  80. Sk.  No:2/P  Nilüfer  /  BURSA  /  TÜRKİYE</t>
  </si>
  <si>
    <t>Test Sıcaklığı</t>
  </si>
  <si>
    <t>İcra Katsayısı</t>
  </si>
  <si>
    <t>HV Sargı</t>
  </si>
  <si>
    <t xml:space="preserve">Sıcaklık: </t>
  </si>
  <si>
    <t>°C</t>
  </si>
  <si>
    <t>Testler</t>
  </si>
  <si>
    <t>#</t>
  </si>
  <si>
    <t>Kapasitans</t>
  </si>
  <si>
    <t>Tarama</t>
  </si>
  <si>
    <t>Mod</t>
  </si>
  <si>
    <t>V [V]</t>
  </si>
  <si>
    <t>f [Hz]</t>
  </si>
  <si>
    <t>CH</t>
  </si>
  <si>
    <t>Hiçbiri</t>
  </si>
  <si>
    <t>GSTg-A</t>
  </si>
  <si>
    <t>CHL</t>
  </si>
  <si>
    <t>UST-A</t>
  </si>
  <si>
    <t>CH+CHL</t>
  </si>
  <si>
    <t>GST</t>
  </si>
  <si>
    <t>PF (%)</t>
  </si>
  <si>
    <t>Z (kΩ)</t>
  </si>
  <si>
    <t>Stest (VA)</t>
  </si>
  <si>
    <t>Kayıp W</t>
  </si>
  <si>
    <r>
      <t>PF</t>
    </r>
    <r>
      <rPr>
        <b/>
        <sz val="9"/>
        <color theme="1"/>
        <rFont val="Calibri"/>
        <family val="2"/>
        <charset val="162"/>
        <scheme val="minor"/>
      </rPr>
      <t>20°C</t>
    </r>
  </si>
  <si>
    <r>
      <rPr>
        <b/>
        <sz val="10"/>
        <color theme="1"/>
        <rFont val="Calibri"/>
        <family val="2"/>
        <charset val="162"/>
        <scheme val="minor"/>
      </rPr>
      <t>Not:</t>
    </r>
    <r>
      <rPr>
        <sz val="10"/>
        <color theme="1"/>
        <rFont val="Calibri"/>
        <family val="2"/>
        <scheme val="minor"/>
      </rPr>
      <t xml:space="preserve">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r>
  </si>
  <si>
    <t>TEST DEĞERLERİNİN YORUMU</t>
  </si>
  <si>
    <t>LV Sargı</t>
  </si>
  <si>
    <t>CL</t>
  </si>
  <si>
    <t>CL+CHL</t>
  </si>
  <si>
    <t>500,0 V</t>
  </si>
  <si>
    <t xml:space="preserve">       DAR</t>
  </si>
  <si>
    <t>ODA SİCİL NO</t>
  </si>
  <si>
    <t xml:space="preserve">Tap </t>
  </si>
  <si>
    <t>06/2013</t>
  </si>
  <si>
    <t>Rapor Tarihi</t>
  </si>
  <si>
    <t>OG-TANK</t>
  </si>
  <si>
    <t>AG-TANK</t>
  </si>
  <si>
    <t>OG-AG</t>
  </si>
  <si>
    <t xml:space="preserve">Yapılan ölçümlerde trafonun izolasyon direnç değerleri düşük bulunmuştur. </t>
  </si>
  <si>
    <t>LİMİT</t>
  </si>
  <si>
    <t>SINIR DEĞER</t>
  </si>
  <si>
    <t>KESİCİ BİLGİLERİ</t>
  </si>
  <si>
    <t>Kesici Markası</t>
  </si>
  <si>
    <t>ULUSOY</t>
  </si>
  <si>
    <t>Kesici Tipi</t>
  </si>
  <si>
    <t>USFB-36R</t>
  </si>
  <si>
    <t>Anma Akımı (A)</t>
  </si>
  <si>
    <t>2016</t>
  </si>
  <si>
    <t>Motor Gerilimi</t>
  </si>
  <si>
    <t>220 Vac</t>
  </si>
  <si>
    <t>Bobin Gerilimi</t>
  </si>
  <si>
    <t xml:space="preserve">Kesici Görsel Kontrolü </t>
  </si>
  <si>
    <t>Kesici Temizliği</t>
  </si>
  <si>
    <t>Hücre Temizliği</t>
  </si>
  <si>
    <t>İndikatör Kontrolü</t>
  </si>
  <si>
    <t>Mekanik Konrolü</t>
  </si>
  <si>
    <t>Isıtıcı Kontrolü</t>
  </si>
  <si>
    <t>Kablo Başlığı Kontrolü</t>
  </si>
  <si>
    <t>A.A Röle Kontrolü</t>
  </si>
  <si>
    <t>BASAMAK VOLTAJ TESTİ</t>
  </si>
  <si>
    <t>R1 (1.04kV)</t>
  </si>
  <si>
    <t>R2 (2.04kV)</t>
  </si>
  <si>
    <t>R3 (3.06kV)</t>
  </si>
  <si>
    <t>R4 (4.06kV)</t>
  </si>
  <si>
    <t>R5 (5.09kV)</t>
  </si>
  <si>
    <t>SONUÇ</t>
  </si>
  <si>
    <t>L-1</t>
  </si>
  <si>
    <t>L-2</t>
  </si>
  <si>
    <t>L-3</t>
  </si>
  <si>
    <t>KESİCİ İZOLASYON DİRENCİ (GΩ)</t>
  </si>
  <si>
    <t>KESİCİ KONTAK DİRENCİ (Ω)</t>
  </si>
  <si>
    <t>TEST VOLTAJI</t>
  </si>
  <si>
    <t>TEST AKIMI</t>
  </si>
  <si>
    <t>10.00</t>
  </si>
  <si>
    <t>80.00A</t>
  </si>
  <si>
    <t>µΩ</t>
  </si>
  <si>
    <t>KESİCİ ACMA / KAPAMA ZAMANI</t>
  </si>
  <si>
    <t>KESİCİ AÇMA</t>
  </si>
  <si>
    <t>EŞ ZAMAN FARKI</t>
  </si>
  <si>
    <t>KESİCİ KAPAMA</t>
  </si>
  <si>
    <t>ms</t>
  </si>
  <si>
    <t>BOBİN AKIMI</t>
  </si>
  <si>
    <t xml:space="preserve">Yapılan ölçümlerde kesicinin test değerleri uygun bulundu. Kesicinin ve hücrenin </t>
  </si>
  <si>
    <t>temizliği yapıldı.</t>
  </si>
  <si>
    <t>METREL MI 3210</t>
  </si>
  <si>
    <t>r1</t>
  </si>
  <si>
    <t>KESİCİ İZOLASYON</t>
  </si>
  <si>
    <t>R min.</t>
  </si>
  <si>
    <r>
      <rPr>
        <sz val="11"/>
        <color theme="1"/>
        <rFont val="Calibri"/>
        <family val="2"/>
        <charset val="162"/>
        <scheme val="minor"/>
      </rPr>
      <t>G</t>
    </r>
    <r>
      <rPr>
        <sz val="11"/>
        <color theme="1"/>
        <rFont val="Arial Tur"/>
        <charset val="162"/>
      </rPr>
      <t>Ω</t>
    </r>
  </si>
  <si>
    <r>
      <t>G</t>
    </r>
    <r>
      <rPr>
        <sz val="11"/>
        <color theme="1"/>
        <rFont val="Arial Tur"/>
        <charset val="162"/>
      </rPr>
      <t>Ω</t>
    </r>
  </si>
  <si>
    <t>Yapılan ölçümlerde kesicinin İzolasyon değerleri uygun değildir.</t>
  </si>
  <si>
    <t>Basamak Gerilimi</t>
  </si>
  <si>
    <t>R1</t>
  </si>
  <si>
    <t>R2</t>
  </si>
  <si>
    <t>R3</t>
  </si>
  <si>
    <t>R4</t>
  </si>
  <si>
    <t>R5</t>
  </si>
  <si>
    <r>
      <t xml:space="preserve">Kontak Direnci </t>
    </r>
    <r>
      <rPr>
        <sz val="14"/>
        <color theme="1"/>
        <rFont val="Arial Tur"/>
        <charset val="162"/>
      </rPr>
      <t>µΩ</t>
    </r>
  </si>
  <si>
    <t xml:space="preserve">L-1 </t>
  </si>
  <si>
    <t>Maksimum Direnç</t>
  </si>
  <si>
    <t>Akım DC</t>
  </si>
  <si>
    <t>Gerilim DC</t>
  </si>
  <si>
    <t>mV</t>
  </si>
  <si>
    <t>Akım</t>
  </si>
  <si>
    <t>80,00A</t>
  </si>
  <si>
    <t>Ölçülen Direnç</t>
  </si>
  <si>
    <t>Hata</t>
  </si>
  <si>
    <t>%</t>
  </si>
  <si>
    <t>Kesicinin L1 kontağına ait geçiş direci uygun değildir.</t>
  </si>
  <si>
    <t>Kesicinin L2 kontağına ait geçiş direci uygun değildir.</t>
  </si>
  <si>
    <t>Kesicinin L3 kontağına ait geçiş direci uygun değildir.</t>
  </si>
  <si>
    <t xml:space="preserve">L-3 </t>
  </si>
  <si>
    <t>Sonuç:</t>
  </si>
  <si>
    <t>Uygun</t>
  </si>
  <si>
    <t>Uygun Değil</t>
  </si>
  <si>
    <t>Max.</t>
  </si>
  <si>
    <t>KESİCİ AÇMA / KAPAMA ZAMANI</t>
  </si>
  <si>
    <t>Açma</t>
  </si>
  <si>
    <t>Kapama</t>
  </si>
  <si>
    <t>A-1</t>
  </si>
  <si>
    <t>B-1</t>
  </si>
  <si>
    <t>C-1</t>
  </si>
  <si>
    <t>Bobin    Akımı</t>
  </si>
  <si>
    <t>Faz Uyuşmazlığı</t>
  </si>
  <si>
    <t>Kesicinin L1 fazına ait izolasyon direnç değeri uygun değildir.</t>
  </si>
  <si>
    <t>Kesicinin L2 fazına ait izolasyon direnç değeri uygundur.</t>
  </si>
  <si>
    <t>Kesicinin L2 fazına ait izolasyon direnç değeri uygun değildir.</t>
  </si>
  <si>
    <t>Kesicinin L3 fazına ait izolasyon direnç değeri uygundur.</t>
  </si>
  <si>
    <t>Kesicinin L3 fazına ait izolasyon direnç değeri uygun değildir.</t>
  </si>
  <si>
    <t>TEDAŞ-MLZ/95-008.A İlgili Teknik Şartnamesi Gereği</t>
  </si>
  <si>
    <r>
      <t xml:space="preserve">Kesicinin Açma süreleri </t>
    </r>
    <r>
      <rPr>
        <b/>
        <sz val="12"/>
        <color theme="1"/>
        <rFont val="Calibri"/>
        <family val="2"/>
        <charset val="162"/>
        <scheme val="minor"/>
      </rPr>
      <t>uygun değildir.</t>
    </r>
  </si>
  <si>
    <t>Açma süresi: 80 milisaniyeden az</t>
  </si>
  <si>
    <t>Kapama süresi: 120 milisaniyeden az</t>
  </si>
  <si>
    <r>
      <t xml:space="preserve">Kesicinin Kapama süreleri </t>
    </r>
    <r>
      <rPr>
        <b/>
        <sz val="12"/>
        <color theme="1"/>
        <rFont val="Calibri"/>
        <family val="2"/>
        <charset val="162"/>
        <scheme val="minor"/>
      </rPr>
      <t>uygun değildir.</t>
    </r>
  </si>
  <si>
    <t>Açma süresi faz uyuşmazlığı: 5 milisaniyeden az</t>
  </si>
  <si>
    <t>Kapama süresi faz uyuşmazlığı: 5 milisaniyeden az</t>
  </si>
  <si>
    <r>
      <t xml:space="preserve">Kesicinin Açma-Kapama Süresi Faz Uyuşmazlığı </t>
    </r>
    <r>
      <rPr>
        <b/>
        <sz val="12"/>
        <color theme="1"/>
        <rFont val="Calibri"/>
        <family val="2"/>
        <charset val="162"/>
        <scheme val="minor"/>
      </rPr>
      <t>uygun değildir.</t>
    </r>
  </si>
  <si>
    <t>Hata[%]</t>
  </si>
  <si>
    <t>DC 6A</t>
  </si>
  <si>
    <t xml:space="preserve">HÜCRE İZOLASYON </t>
  </si>
  <si>
    <t>L1</t>
  </si>
  <si>
    <t>L2</t>
  </si>
  <si>
    <t>L1 Fazına ait Akım Trafosunun izolasyon direnç değeri uygundur.</t>
  </si>
  <si>
    <t>L3</t>
  </si>
  <si>
    <t>L1 Fazına ait Akım Trafosunun izolasyon direnç değeri uygun değildir.</t>
  </si>
  <si>
    <t>L2 Fazına ait Akım Trafosunun izolasyon direnç değeri uygundur.</t>
  </si>
  <si>
    <t>ÇIKIŞ HÜCRESİ MESNET İZOLATÖRÜ İZOLASYON</t>
  </si>
  <si>
    <t>L2 Fazına ait Akım Trafosunun izolasyon direnç değeri uygun değildir.</t>
  </si>
  <si>
    <t>L3 Fazına ait Akım Trafosunun izolasyon direnç değeri uygundur.</t>
  </si>
  <si>
    <t>L3 Fazına ait Akım Trafosunun izolasyon direnç değeri uygun değildir.</t>
  </si>
  <si>
    <t>L4</t>
  </si>
  <si>
    <t>L5</t>
  </si>
  <si>
    <t>L6</t>
  </si>
  <si>
    <t>HÜCRE-TRAFO ARASINDAKİ XLPE KABLO İZOLASYON</t>
  </si>
  <si>
    <t>L7</t>
  </si>
  <si>
    <t>L8</t>
  </si>
  <si>
    <t>L9</t>
  </si>
  <si>
    <t>Ölçülen izolasyon direnci değerleri uygun bulunmuştur.</t>
  </si>
  <si>
    <t>AKIM TRAFOLARI</t>
  </si>
  <si>
    <t>~</t>
  </si>
  <si>
    <t>24 Vdc</t>
  </si>
  <si>
    <t>ONAYLAYAN</t>
  </si>
  <si>
    <t>Sicil No</t>
  </si>
  <si>
    <t>Ekipnet No</t>
  </si>
  <si>
    <t>ÖLÇÜLEN DEĞERLER</t>
  </si>
  <si>
    <t>Sıcaklık</t>
  </si>
  <si>
    <t>ÇARPAN</t>
  </si>
  <si>
    <r>
      <t xml:space="preserve">Not: </t>
    </r>
    <r>
      <rPr>
        <sz val="9"/>
        <color theme="1"/>
        <rFont val="Calibri"/>
        <family val="2"/>
        <charset val="162"/>
        <scheme val="minor"/>
      </rPr>
      <t>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r>
  </si>
  <si>
    <t xml:space="preserve">  ŞALT SAHASI        </t>
  </si>
  <si>
    <t>TRAFO BAKIM RAPORU</t>
  </si>
  <si>
    <t>RAPOR KONUSU</t>
  </si>
  <si>
    <t>TRAFO BAKIMI VE KONTROLLERİ</t>
  </si>
  <si>
    <t xml:space="preserve">Test Tarihi                </t>
  </si>
  <si>
    <t xml:space="preserve">Rapor Tarihi           </t>
  </si>
  <si>
    <t>Bu belge 5070 sayılı elektronik imza kanununa göre güvenli elektronik imza ile imzalanmıştır.</t>
  </si>
  <si>
    <t>Üçevler Mahallesi Ak-Va Sanayi Sitesi 80. Sokak No:2/P Nilüfer-BURSA</t>
  </si>
  <si>
    <t xml:space="preserve">Müşterinin Adı      </t>
  </si>
  <si>
    <t xml:space="preserve">ADRESİ                     </t>
  </si>
  <si>
    <t>HESAPLANAN DEĞERLER 20°C</t>
  </si>
  <si>
    <t>PRİMER SARGI DİRENCİ TEST SONUÇLARI</t>
  </si>
  <si>
    <t>SEKONDER SARGI DİRENCİ TEST SONUÇLARI</t>
  </si>
  <si>
    <t>D.C. İZOLASYON DİRENCİ TEST SONUÇLARI</t>
  </si>
  <si>
    <t>ÇEVİRME ORANI TEST SONUÇLARI</t>
  </si>
  <si>
    <t>YÜKSEK GERİLİM GÜÇ FAKTÖRÜ TEST SONUÇLARI</t>
  </si>
  <si>
    <t>ALÇAK GERİLİM GÜÇ FAKTÖRÜ TEST SONUÇLARI</t>
  </si>
  <si>
    <t>KESİCİ İZOLASYON DİRENCİ TEST SONUÇLARI</t>
  </si>
  <si>
    <t>KESİCİ KONTAK DİRENCİ TEST SONUÇLARI</t>
  </si>
  <si>
    <t>KESİCİ AÇMA-KAPAMA SÜRELERİ TEST SONUÇLARI</t>
  </si>
  <si>
    <t>TOPRAKLAMA ÖLÇÜM SONUÇLARI</t>
  </si>
  <si>
    <t>Unvan</t>
  </si>
  <si>
    <t>REFERANS</t>
  </si>
  <si>
    <t>International Electrical Testing Association</t>
  </si>
  <si>
    <t>-</t>
  </si>
  <si>
    <t>Trafonun D.C. İzolasyon test değerleri uygun bulunmuştur.</t>
  </si>
  <si>
    <t>Trafoda yapılan çevirme oranı (TTR) test sonuçları uygun bulmuştur, buna bağlı olarak kademe değiştirici ile sargılar arasındaki bağlantılarda herhangi bir sorun olmadığı gözlemlenmiştir.</t>
  </si>
  <si>
    <t>Görsel olarak yapılan kontrollerde herhangi bir soruna rastlanmamıştır.</t>
  </si>
  <si>
    <t>UNVAN</t>
  </si>
  <si>
    <t>EKİPNET NO</t>
  </si>
  <si>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</si>
  <si>
    <r>
      <t xml:space="preserve">Kesicinin Açma süreleri ve bobin akım değerleri </t>
    </r>
    <r>
      <rPr>
        <b/>
        <sz val="12"/>
        <color theme="1"/>
        <rFont val="Calibri"/>
        <family val="2"/>
        <charset val="162"/>
        <scheme val="minor"/>
      </rPr>
      <t>uygundur.</t>
    </r>
  </si>
  <si>
    <t>Kesicinin Kapama süreleri ve bobin akım değerleri uygundur.</t>
  </si>
  <si>
    <t>Kesicinin Açma-Kapama Süresi Faz Uyuşmazlığı uygundur.</t>
  </si>
  <si>
    <t>Kesicinin L1 kontağına ait geçiş direci uygundur.</t>
  </si>
  <si>
    <t>Kesicinin L2 kontağına ait geçiş direci uygundur.</t>
  </si>
  <si>
    <t>Kesicinin L3 kontağına ait geçiş direci uygundur.</t>
  </si>
  <si>
    <t>Yapılan ölçümlerde kesicinin İzolasyon değerleri uygundur.</t>
  </si>
  <si>
    <t>CL (AG/Tank-Nüve) değerleri uygundur. Testlerin periyodik programa uygun olarak yaptırılıp takip edilmesi önerilir.</t>
  </si>
  <si>
    <t>CHL (AG/YG) değerleri uygundur.</t>
  </si>
  <si>
    <t>CL+CHL (∑AG/Tank-Nüve) değerleri uygundur.</t>
  </si>
  <si>
    <t>CH (YG/Tank-Nüve) değerleri uygundur.</t>
  </si>
  <si>
    <t>CHL (YG/AG) değerleri uygundur.</t>
  </si>
  <si>
    <t>CH+CHL (∑YG/Tank-Nüve) değerleri uygundur.</t>
  </si>
  <si>
    <t>( A ) Fazına ait çevirme oranı hata yüzdesi uygundur.</t>
  </si>
  <si>
    <t>( B ) Fazına ait çevirme oranı hata yüzdesi uygundur.</t>
  </si>
  <si>
    <t>( C ) Fazına ait çevirme oranı hata yüzdesi uygundur.</t>
  </si>
  <si>
    <t>Yapılan ölçümlerde AG (Alçak gerilim) sargısına ait direnç değerleri uygundur.</t>
  </si>
  <si>
    <t>Yapılan ölçümlerde OG (Orta gerilim) sargısına ait direnç değerleri uygundur.</t>
  </si>
  <si>
    <t>Bara Kontrolü</t>
  </si>
  <si>
    <t>Yapılan ölçümlerde trafonun izolasyon direnç değerleri uygun bulunmuştur.</t>
  </si>
  <si>
    <r>
      <t xml:space="preserve">NOTLAR : </t>
    </r>
    <r>
      <rPr>
        <sz val="12"/>
        <color theme="1"/>
        <rFont val="Calibri"/>
        <family val="2"/>
        <charset val="162"/>
        <scheme val="minor"/>
      </rPr>
      <t>Trafonun, trafo odasının, hücre odasının, trafo koruma hücresinin, kesicinin test, kontrol ve temizliği yapıldı. Test sonuçlarının değerlendirilmesi kapak sayfasında yapılmıştır.</t>
    </r>
  </si>
  <si>
    <t xml:space="preserve">Tarihinde yapılan Trafo Bakım raporu. </t>
  </si>
  <si>
    <r>
      <t xml:space="preserve">Kontroller yapıldıktan sonra trafoya enerji verildi. Mevcut şartlar korunması halinde bir sonraki kontrol periyoduna kadar trafonun kullanımı </t>
    </r>
    <r>
      <rPr>
        <b/>
        <sz val="10"/>
        <color theme="1"/>
        <rFont val="Calibri"/>
        <family val="2"/>
        <charset val="162"/>
        <scheme val="minor"/>
      </rPr>
      <t>UYGUNDUR.</t>
    </r>
    <r>
      <rPr>
        <sz val="10"/>
        <color theme="1"/>
        <rFont val="Calibri"/>
        <family val="2"/>
        <scheme val="minor"/>
      </rPr>
      <t xml:space="preserve"> Aksi belirtilmediği sürece periyodik kontroller 1 (bir) yıl sonra yapılır.</t>
    </r>
  </si>
  <si>
    <t>RAPOR TARİHİ</t>
  </si>
  <si>
    <t>Telefon : 444 0 287 - 0224 441 94 33                  Mail:     www.btselektrik.com.tr</t>
  </si>
  <si>
    <t>Test Tarihi</t>
  </si>
  <si>
    <t>TEST TARİHİ</t>
  </si>
  <si>
    <t>TRAFO ETİKETİ</t>
  </si>
  <si>
    <t>Trafo Etiketi</t>
  </si>
  <si>
    <t>BARMAK MAKİNA (ÇAĞLA ELK.)</t>
  </si>
  <si>
    <t>O.S.B. / BURSA</t>
  </si>
  <si>
    <t>TRAFO 1</t>
  </si>
  <si>
    <t xml:space="preserve">B.T.S. ELEKTRİK TRAFO BAKIM </t>
  </si>
  <si>
    <t>MÜH. İNŞ. MAK. LAB. SAN. VE TİC. LTD. ŞTİ.</t>
  </si>
  <si>
    <t>Hilmi GÜL</t>
  </si>
  <si>
    <t>Elektrik Mühendisi</t>
  </si>
  <si>
    <t>K202439698</t>
  </si>
  <si>
    <t>Termometre Alarm</t>
  </si>
  <si>
    <t>Termometre Trip</t>
  </si>
  <si>
    <t>Fan ON</t>
  </si>
  <si>
    <t>Fan OFF</t>
  </si>
  <si>
    <t>Epoksi Kontrolü</t>
  </si>
  <si>
    <t>Termistor Kontrolü</t>
  </si>
  <si>
    <t>Topraklama Bağlantısı</t>
  </si>
  <si>
    <t>Gsm      : 0532 206 58 32 - 0538 035 35 94</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</si>
</sst>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00"/>
    <numFmt numFmtId="165" formatCode="0.000000"/>
    <numFmt numFmtId="166" formatCode="0.0"/>
    <numFmt numFmtId="167" formatCode="0.00000"/>
    <numFmt numFmtId="168" formatCode="0.0000000"/>
    <numFmt numFmtId="169" formatCode="dd/mm/yyyy;@"/>
    <numFmt numFmtId="170" formatCode="0.0000"/>
    <numFmt numFmtId="171" formatCode="0.0000%"/>
    <numFmt numFmtId="172" formatCode="0.000%"/>
  </numFmts>
  <fonts count="48"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4"/>
      <color theme="1"/>
      <name val="Calibri"/>
      <family val="2"/>
      <scheme val="minor"/>
    </font>
    <font>
      <sz val="12"/>
      <color theme="1"/>
      <name val="Calibri"/>
      <family val="2"/>
      <scheme val="minor"/>
    </font>
    <font>
      <b/>
      <sz val="14"/>
      <color theme="1"/>
      <name val="Calibri"/>
      <family val="2"/>
      <charset val="162"/>
      <scheme val="minor"/>
    </font>
    <font>
      <sz val="14"/>
      <color theme="1"/>
      <name val="Calibri"/>
      <family val="2"/>
      <charset val="162"/>
      <scheme val="minor"/>
    </font>
    <font>
      <b/>
      <sz val="12"/>
      <color theme="1"/>
      <name val="Calibri"/>
      <family val="2"/>
      <charset val="162"/>
      <scheme val="minor"/>
    </font>
    <font>
      <sz val="9"/>
      <color theme="1"/>
      <name val="Arial Tur"/>
      <charset val="162"/>
    </font>
    <font>
      <b/>
      <sz val="11"/>
      <color theme="1"/>
      <name val="Calibri"/>
      <family val="2"/>
      <scheme val="minor"/>
    </font>
    <font>
      <b/>
      <sz val="11"/>
      <color theme="1"/>
      <name val="Arial Tur"/>
      <charset val="162"/>
    </font>
    <font>
      <b/>
      <sz val="11"/>
      <color theme="1"/>
      <name val="Calibri"/>
      <family val="2"/>
    </font>
    <font>
      <sz val="11"/>
      <name val="Calibri"/>
      <family val="2"/>
      <scheme val="minor"/>
    </font>
    <font>
      <sz val="11"/>
      <color theme="1"/>
      <name val="Arial Tur"/>
      <charset val="162"/>
    </font>
    <font>
      <sz val="12"/>
      <name val="Calibri"/>
      <family val="2"/>
      <scheme val="minor"/>
    </font>
    <font>
      <sz val="11"/>
      <color rgb="FF006100"/>
      <name val="Calibri"/>
      <family val="2"/>
      <charset val="162"/>
      <scheme val="minor"/>
    </font>
    <font>
      <sz val="12"/>
      <color theme="1"/>
      <name val="Calibri"/>
      <family val="2"/>
      <charset val="162"/>
      <scheme val="minor"/>
    </font>
    <font>
      <sz val="10"/>
      <color theme="1"/>
      <name val="Calibri"/>
      <family val="2"/>
      <charset val="162"/>
      <scheme val="minor"/>
    </font>
    <font>
      <sz val="10"/>
      <color theme="1"/>
      <name val="Calibri"/>
      <family val="2"/>
      <scheme val="minor"/>
    </font>
    <font>
      <sz val="13"/>
      <color theme="1"/>
      <name val="Calibri"/>
      <family val="2"/>
      <charset val="162"/>
      <scheme val="minor"/>
    </font>
    <font>
      <sz val="8"/>
      <color theme="1"/>
      <name val="Calibri"/>
      <family val="2"/>
      <charset val="162"/>
      <scheme val="minor"/>
    </font>
    <font>
      <sz val="12"/>
      <color theme="1"/>
      <name val="Arial Tur"/>
      <charset val="162"/>
    </font>
    <font>
      <sz val="10"/>
      <color theme="1"/>
      <name val="Wingdings"/>
      <charset val="2"/>
    </font>
    <font>
      <b/>
      <sz val="11"/>
      <color rgb="FF3F3F3F"/>
      <name val="Calibri"/>
      <family val="2"/>
      <charset val="162"/>
      <scheme val="minor"/>
    </font>
    <font>
      <b/>
      <sz val="9"/>
      <color theme="1"/>
      <name val="Calibri"/>
      <family val="2"/>
      <charset val="162"/>
      <scheme val="minor"/>
    </font>
    <font>
      <sz val="9"/>
      <color theme="1"/>
      <name val="Calibri"/>
      <family val="2"/>
      <charset val="162"/>
      <scheme val="minor"/>
    </font>
    <font>
      <sz val="8"/>
      <color theme="1"/>
      <name val="Calibri"/>
      <family val="2"/>
      <scheme val="minor"/>
    </font>
    <font>
      <b/>
      <sz val="16"/>
      <color theme="1"/>
      <name val="Calibri"/>
      <family val="2"/>
      <charset val="162"/>
      <scheme val="minor"/>
    </font>
    <font>
      <b/>
      <sz val="12"/>
      <color theme="1"/>
      <name val="Arial Black"/>
      <family val="2"/>
      <charset val="162"/>
    </font>
    <font>
      <sz val="12"/>
      <color theme="1"/>
      <name val="Arial Black"/>
      <family val="2"/>
      <charset val="162"/>
    </font>
    <font>
      <b/>
      <sz val="10"/>
      <color theme="1"/>
      <name val="Calibri"/>
      <family val="2"/>
      <charset val="162"/>
      <scheme val="minor"/>
    </font>
    <font>
      <sz val="14"/>
      <color theme="1"/>
      <name val="Arial Tur"/>
      <charset val="162"/>
    </font>
    <font>
      <b/>
      <i/>
      <sz val="12"/>
      <color theme="1"/>
      <name val="Calibri"/>
      <family val="2"/>
      <charset val="162"/>
      <scheme val="minor"/>
    </font>
    <font>
      <i/>
      <sz val="11"/>
      <color theme="1"/>
      <name val="Calibri"/>
      <family val="2"/>
      <charset val="162"/>
      <scheme val="minor"/>
    </font>
    <font>
      <u/>
      <sz val="11"/>
      <color theme="10"/>
      <name val="Calibri"/>
      <family val="2"/>
      <scheme val="minor"/>
    </font>
    <font>
      <u/>
      <sz val="11"/>
      <color rgb="FFFFCC00"/>
      <name val="Calibri"/>
      <family val="2"/>
      <scheme val="minor"/>
    </font>
  </fonts>
  <fills count="9">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0" fontId="27" fillId="2" borderId="0" applyNumberFormat="0" applyBorder="0" applyAlignment="0" applyProtection="0"/>
    <xf numFmtId="0" fontId="35" fillId="4" borderId="30" applyNumberFormat="0" applyAlignment="0" applyProtection="0"/>
    <xf numFmtId="0" fontId="46" fillId="0" borderId="0" applyNumberFormat="0" applyFill="0" applyBorder="0" applyAlignment="0" applyProtection="0"/>
  </cellStyleXfs>
  <cellXfs count="704">
    <xf numFmtId="0" fontId="0" fillId="0" borderId="0" xfId="0"/>
    <xf numFmtId="0" fontId="0" fillId="0" borderId="0" xfId="0" applyBorder="1"/>
    <xf numFmtId="0" fontId="0" fillId="0" borderId="1" xfId="0" applyBorder="1" applyAlignment="1">
      <alignment horizontal="center" vertical="center"/>
    </xf>
    <xf numFmtId="0" fontId="0" fillId="0" borderId="11" xfId="0"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1" xfId="0" applyBorder="1"/>
    <xf numFmtId="0" fontId="0" fillId="0" borderId="12" xfId="0" applyBorder="1"/>
    <xf numFmtId="0" fontId="0" fillId="0" borderId="16" xfId="0" applyBorder="1"/>
    <xf numFmtId="0" fontId="0" fillId="0" borderId="17" xfId="0" applyBorder="1"/>
    <xf numFmtId="0" fontId="0" fillId="0" borderId="13" xfId="0" applyBorder="1"/>
    <xf numFmtId="0" fontId="0" fillId="0" borderId="14" xfId="0" applyBorder="1"/>
    <xf numFmtId="0" fontId="0" fillId="0" borderId="15" xfId="0" applyBorder="1"/>
    <xf numFmtId="0" fontId="0" fillId="0" borderId="18" xfId="0" applyBorder="1"/>
    <xf numFmtId="0" fontId="0" fillId="0" borderId="19" xfId="0" applyBorder="1"/>
    <xf numFmtId="0" fontId="0" fillId="0" borderId="20" xfId="0" applyBorder="1"/>
    <xf numFmtId="0" fontId="0" fillId="0" borderId="2" xfId="0" applyBorder="1" applyAlignment="1">
      <alignment horizontal="center" vertical="center"/>
    </xf>
    <xf numFmtId="164"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5" xfId="0" applyBorder="1"/>
    <xf numFmtId="0" fontId="0" fillId="0" borderId="6" xfId="0" applyBorder="1"/>
    <xf numFmtId="0" fontId="0" fillId="0" borderId="7" xfId="0" applyBorder="1"/>
    <xf numFmtId="164" fontId="0" fillId="0" borderId="0" xfId="0" applyNumberFormat="1" applyBorder="1" applyAlignment="1">
      <alignment vertical="center"/>
    </xf>
    <xf numFmtId="0" fontId="14" fillId="0" borderId="11" xfId="0" applyFont="1" applyBorder="1" applyAlignment="1">
      <alignment vertical="center"/>
    </xf>
    <xf numFmtId="0" fontId="14" fillId="0" borderId="0" xfId="0" applyFont="1" applyBorder="1" applyAlignment="1">
      <alignment vertical="center"/>
    </xf>
    <xf numFmtId="0" fontId="0" fillId="0" borderId="10" xfId="0" applyBorder="1" applyAlignment="1">
      <alignment vertical="center"/>
    </xf>
    <xf numFmtId="0" fontId="18" fillId="0" borderId="0" xfId="0" applyFont="1" applyBorder="1" applyAlignment="1">
      <alignment vertical="center"/>
    </xf>
    <xf numFmtId="0" fontId="13" fillId="0" borderId="0" xfId="0" applyFont="1" applyBorder="1" applyAlignment="1">
      <alignment vertical="center"/>
    </xf>
    <xf numFmtId="0" fontId="18" fillId="0" borderId="11" xfId="0" applyFont="1" applyBorder="1" applyAlignment="1">
      <alignment vertical="center"/>
    </xf>
    <xf numFmtId="0" fontId="18" fillId="0" borderId="12" xfId="0" applyFont="1" applyBorder="1" applyAlignment="1">
      <alignment vertical="center"/>
    </xf>
    <xf numFmtId="165" fontId="0" fillId="0" borderId="0" xfId="0" applyNumberFormat="1" applyBorder="1" applyAlignment="1">
      <alignment vertical="center"/>
    </xf>
    <xf numFmtId="0" fontId="20" fillId="0" borderId="10" xfId="0" applyFont="1" applyBorder="1" applyAlignment="1">
      <alignment vertical="center"/>
    </xf>
    <xf numFmtId="164" fontId="0" fillId="0" borderId="0" xfId="0" applyNumberFormat="1" applyFont="1" applyBorder="1" applyAlignment="1">
      <alignment horizontal="center"/>
    </xf>
    <xf numFmtId="0" fontId="0" fillId="0" borderId="21" xfId="0" applyBorder="1"/>
    <xf numFmtId="164" fontId="0" fillId="0" borderId="0" xfId="0" applyNumberFormat="1"/>
    <xf numFmtId="10" fontId="0" fillId="0" borderId="0" xfId="0" applyNumberFormat="1"/>
    <xf numFmtId="0" fontId="0" fillId="0" borderId="11" xfId="0" applyBorder="1" applyAlignment="1">
      <alignment horizontal="center" vertical="center"/>
    </xf>
    <xf numFmtId="0" fontId="0" fillId="0" borderId="1" xfId="0" applyBorder="1" applyAlignment="1">
      <alignment horizontal="center" vertical="center"/>
    </xf>
    <xf numFmtId="0" fontId="18" fillId="0" borderId="10" xfId="0" applyFont="1" applyBorder="1" applyAlignment="1">
      <alignment vertical="center"/>
    </xf>
    <xf numFmtId="164" fontId="0" fillId="0" borderId="6" xfId="0" applyNumberFormat="1" applyBorder="1" applyAlignment="1">
      <alignment vertical="center"/>
    </xf>
    <xf numFmtId="0" fontId="0" fillId="0" borderId="4" xfId="0" applyBorder="1" applyAlignment="1">
      <alignment horizontal="center"/>
    </xf>
    <xf numFmtId="0" fontId="0" fillId="0" borderId="11" xfId="0"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19" fillId="0" borderId="0" xfId="0" applyFont="1" applyBorder="1" applyAlignment="1">
      <alignment vertical="center"/>
    </xf>
    <xf numFmtId="0" fontId="19" fillId="0" borderId="5" xfId="0" applyFont="1" applyBorder="1" applyAlignment="1">
      <alignment vertical="center"/>
    </xf>
    <xf numFmtId="0" fontId="19" fillId="0" borderId="6" xfId="0" applyFont="1" applyBorder="1" applyAlignment="1">
      <alignment vertical="center"/>
    </xf>
    <xf numFmtId="0" fontId="17" fillId="0" borderId="11" xfId="0" applyFont="1" applyBorder="1" applyAlignment="1">
      <alignment horizontal="center" vertical="center"/>
    </xf>
    <xf numFmtId="0" fontId="17" fillId="0" borderId="0" xfId="0" applyFont="1" applyBorder="1" applyAlignment="1">
      <alignment horizontal="center" vertical="center"/>
    </xf>
    <xf numFmtId="0" fontId="17" fillId="0" borderId="12" xfId="0" applyFont="1" applyBorder="1" applyAlignment="1">
      <alignment horizontal="center" vertical="center"/>
    </xf>
    <xf numFmtId="0" fontId="0" fillId="0" borderId="1" xfId="0" applyBorder="1" applyAlignment="1">
      <alignment vertical="center"/>
    </xf>
    <xf numFmtId="0" fontId="14" fillId="0" borderId="11" xfId="0" applyFont="1" applyBorder="1" applyAlignment="1">
      <alignment horizontal="center" vertical="center"/>
    </xf>
    <xf numFmtId="2" fontId="0" fillId="0" borderId="0" xfId="0" applyNumberFormat="1" applyBorder="1" applyAlignment="1">
      <alignment vertical="center"/>
    </xf>
    <xf numFmtId="0" fontId="14" fillId="0" borderId="11" xfId="0" applyFont="1" applyBorder="1"/>
    <xf numFmtId="0" fontId="0" fillId="0" borderId="2" xfId="0" applyBorder="1" applyAlignment="1"/>
    <xf numFmtId="0" fontId="0" fillId="0" borderId="3" xfId="0" applyBorder="1" applyAlignment="1"/>
    <xf numFmtId="0" fontId="16" fillId="0" borderId="3" xfId="0" applyFont="1" applyBorder="1" applyAlignment="1">
      <alignment vertical="center"/>
    </xf>
    <xf numFmtId="0" fontId="0" fillId="0" borderId="5" xfId="0" applyBorder="1" applyAlignment="1"/>
    <xf numFmtId="0" fontId="0" fillId="0" borderId="6" xfId="0" applyBorder="1" applyAlignment="1"/>
    <xf numFmtId="0" fontId="16" fillId="0" borderId="6" xfId="0" applyFont="1" applyBorder="1" applyAlignment="1">
      <alignment vertical="center"/>
    </xf>
    <xf numFmtId="0" fontId="25" fillId="0" borderId="10" xfId="0" applyFont="1" applyBorder="1" applyAlignment="1">
      <alignment horizontal="center" vertical="center"/>
    </xf>
    <xf numFmtId="2" fontId="0" fillId="0" borderId="2" xfId="0" applyNumberFormat="1" applyBorder="1" applyAlignment="1">
      <alignment vertical="center"/>
    </xf>
    <xf numFmtId="2" fontId="0" fillId="0" borderId="3" xfId="0" applyNumberFormat="1" applyBorder="1" applyAlignment="1">
      <alignment vertical="center"/>
    </xf>
    <xf numFmtId="164" fontId="0" fillId="0" borderId="3" xfId="0" applyNumberFormat="1" applyBorder="1" applyAlignment="1">
      <alignment vertical="center"/>
    </xf>
    <xf numFmtId="0" fontId="14" fillId="0" borderId="3" xfId="0" applyFont="1" applyBorder="1" applyAlignment="1">
      <alignment vertical="center"/>
    </xf>
    <xf numFmtId="0" fontId="0" fillId="0" borderId="3" xfId="0" applyBorder="1"/>
    <xf numFmtId="2" fontId="0" fillId="0" borderId="11" xfId="0" applyNumberFormat="1" applyBorder="1" applyAlignment="1">
      <alignment vertical="center"/>
    </xf>
    <xf numFmtId="2" fontId="0" fillId="0" borderId="12" xfId="0" applyNumberFormat="1" applyBorder="1" applyAlignment="1">
      <alignment vertical="center"/>
    </xf>
    <xf numFmtId="2" fontId="12" fillId="0" borderId="9" xfId="0" applyNumberFormat="1" applyFont="1" applyBorder="1" applyAlignment="1">
      <alignment vertical="center"/>
    </xf>
    <xf numFmtId="2" fontId="25" fillId="0" borderId="8" xfId="0" applyNumberFormat="1" applyFont="1" applyBorder="1" applyAlignment="1">
      <alignment vertical="center"/>
    </xf>
    <xf numFmtId="0" fontId="17" fillId="0" borderId="11" xfId="0" applyFont="1" applyBorder="1" applyAlignment="1">
      <alignment vertical="center"/>
    </xf>
    <xf numFmtId="0" fontId="17" fillId="0" borderId="0" xfId="0" applyFont="1" applyBorder="1" applyAlignment="1">
      <alignment vertical="center"/>
    </xf>
    <xf numFmtId="0" fontId="17" fillId="0" borderId="12" xfId="0" applyFont="1" applyBorder="1" applyAlignment="1">
      <alignment vertical="center"/>
    </xf>
    <xf numFmtId="0" fontId="17" fillId="0" borderId="0" xfId="0" applyFont="1" applyBorder="1" applyAlignment="1">
      <alignment horizontal="center" vertical="center"/>
    </xf>
    <xf numFmtId="0" fontId="0" fillId="0" borderId="6" xfId="0" applyBorder="1" applyAlignment="1">
      <alignment horizontal="center"/>
    </xf>
    <xf numFmtId="0" fontId="0" fillId="0" borderId="0" xfId="0" applyBorder="1" applyAlignment="1">
      <alignment horizontal="center" vertical="center"/>
    </xf>
    <xf numFmtId="0" fontId="0" fillId="0" borderId="0" xfId="0" applyBorder="1" applyAlignment="1">
      <alignment horizontal="right" vertical="center"/>
    </xf>
    <xf numFmtId="0" fontId="0" fillId="0" borderId="6" xfId="0" applyBorder="1" applyAlignment="1">
      <alignment horizontal="center" vertical="center"/>
    </xf>
    <xf numFmtId="0" fontId="0" fillId="0" borderId="7" xfId="0" applyBorder="1" applyAlignment="1">
      <alignment horizontal="center" vertical="center"/>
    </xf>
    <xf numFmtId="0" fontId="16" fillId="0" borderId="4" xfId="0" applyFont="1" applyBorder="1" applyAlignment="1">
      <alignment vertical="center"/>
    </xf>
    <xf numFmtId="0" fontId="0" fillId="0" borderId="11" xfId="0" applyBorder="1" applyAlignment="1"/>
    <xf numFmtId="0" fontId="0" fillId="0" borderId="0" xfId="0" applyBorder="1" applyAlignment="1"/>
    <xf numFmtId="0" fontId="16" fillId="0" borderId="12" xfId="0" applyFont="1" applyBorder="1" applyAlignment="1">
      <alignment vertical="center"/>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vertical="center"/>
    </xf>
    <xf numFmtId="0" fontId="30" fillId="0" borderId="11" xfId="0" applyFont="1" applyBorder="1" applyAlignment="1">
      <alignment horizontal="left" vertical="center"/>
    </xf>
    <xf numFmtId="0" fontId="30" fillId="0" borderId="0" xfId="0" applyFont="1" applyBorder="1" applyAlignment="1">
      <alignment horizontal="left" vertical="center"/>
    </xf>
    <xf numFmtId="0" fontId="30" fillId="0" borderId="0" xfId="0" applyFont="1" applyBorder="1" applyAlignment="1">
      <alignment vertical="center"/>
    </xf>
    <xf numFmtId="0" fontId="29" fillId="0" borderId="0" xfId="0" applyFont="1" applyBorder="1" applyAlignment="1">
      <alignment horizontal="left" vertical="center"/>
    </xf>
    <xf numFmtId="0" fontId="0" fillId="0" borderId="22" xfId="0" applyBorder="1"/>
    <xf numFmtId="0" fontId="30" fillId="0" borderId="11" xfId="0" applyFont="1" applyBorder="1" applyAlignment="1">
      <alignment vertical="center"/>
    </xf>
    <xf numFmtId="0" fontId="30" fillId="0" borderId="12" xfId="0" applyFont="1" applyBorder="1" applyAlignment="1">
      <alignment vertical="center"/>
    </xf>
    <xf numFmtId="0" fontId="0" fillId="0" borderId="7" xfId="0" applyBorder="1" applyAlignment="1">
      <alignment vertical="center"/>
    </xf>
    <xf numFmtId="0" fontId="28" fillId="0" borderId="11" xfId="0" applyFont="1" applyBorder="1" applyAlignment="1">
      <alignment vertical="center"/>
    </xf>
    <xf numFmtId="0" fontId="28" fillId="0" borderId="0" xfId="0" applyFont="1" applyBorder="1" applyAlignment="1">
      <alignment vertical="center"/>
    </xf>
    <xf numFmtId="0" fontId="33" fillId="0" borderId="6" xfId="0" applyFont="1" applyBorder="1" applyAlignment="1">
      <alignment horizontal="center" vertical="center"/>
    </xf>
    <xf numFmtId="0" fontId="18" fillId="0" borderId="9" xfId="0" applyFont="1" applyBorder="1" applyAlignment="1">
      <alignment vertical="center"/>
    </xf>
    <xf numFmtId="0" fontId="29" fillId="0" borderId="3" xfId="0" applyFont="1" applyBorder="1" applyAlignment="1">
      <alignment horizontal="left" vertical="center"/>
    </xf>
    <xf numFmtId="0" fontId="0" fillId="0" borderId="3" xfId="0" applyBorder="1" applyAlignment="1">
      <alignment horizontal="center" vertical="center"/>
    </xf>
    <xf numFmtId="0" fontId="0" fillId="0" borderId="5" xfId="0" applyBorder="1" applyAlignment="1">
      <alignment horizontal="left"/>
    </xf>
    <xf numFmtId="0" fontId="0" fillId="0" borderId="6" xfId="0" applyBorder="1" applyAlignment="1">
      <alignment horizontal="left"/>
    </xf>
    <xf numFmtId="0" fontId="11" fillId="0" borderId="11" xfId="0" applyFont="1" applyBorder="1" applyAlignment="1">
      <alignment vertical="center"/>
    </xf>
    <xf numFmtId="0" fontId="11" fillId="0" borderId="0" xfId="0" applyFont="1" applyBorder="1" applyAlignment="1">
      <alignment vertical="center"/>
    </xf>
    <xf numFmtId="0" fontId="11" fillId="0" borderId="11"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0" fillId="0" borderId="24" xfId="0" applyBorder="1" applyAlignment="1">
      <alignment vertical="center"/>
    </xf>
    <xf numFmtId="0" fontId="30" fillId="0" borderId="24" xfId="0" applyFont="1" applyBorder="1" applyAlignment="1">
      <alignment vertic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27" xfId="0" applyBorder="1" applyAlignment="1"/>
    <xf numFmtId="0" fontId="29" fillId="0" borderId="24" xfId="0" applyFont="1" applyBorder="1" applyAlignment="1">
      <alignment vertical="center"/>
    </xf>
    <xf numFmtId="0" fontId="29" fillId="0" borderId="24" xfId="0" applyFont="1" applyBorder="1" applyAlignment="1">
      <alignment horizontal="center" vertical="center"/>
    </xf>
    <xf numFmtId="0" fontId="34" fillId="0" borderId="1" xfId="0" applyFont="1" applyBorder="1" applyAlignment="1">
      <alignment horizontal="center" vertical="center"/>
    </xf>
    <xf numFmtId="0" fontId="30" fillId="0" borderId="0" xfId="0" applyFont="1" applyBorder="1" applyAlignment="1">
      <alignment horizontal="center" vertical="center"/>
    </xf>
    <xf numFmtId="0" fontId="28" fillId="0" borderId="0" xfId="0" applyFont="1" applyBorder="1" applyAlignment="1">
      <alignment horizontal="left" vertical="center"/>
    </xf>
    <xf numFmtId="0" fontId="11" fillId="0" borderId="0" xfId="0" applyFont="1" applyBorder="1" applyAlignment="1">
      <alignment horizontal="left" vertical="center"/>
    </xf>
    <xf numFmtId="2" fontId="11" fillId="0" borderId="0" xfId="0" applyNumberFormat="1" applyFont="1" applyBorder="1" applyAlignment="1">
      <alignment horizontal="left" vertical="center"/>
    </xf>
    <xf numFmtId="49" fontId="0" fillId="0" borderId="0" xfId="0" applyNumberFormat="1"/>
    <xf numFmtId="0" fontId="0" fillId="0" borderId="9" xfId="0" applyBorder="1" applyAlignment="1"/>
    <xf numFmtId="0" fontId="35" fillId="4" borderId="30" xfId="2" applyAlignment="1">
      <alignment horizontal="center" vertical="center"/>
    </xf>
    <xf numFmtId="0" fontId="0" fillId="0" borderId="0" xfId="0"/>
    <xf numFmtId="0" fontId="16" fillId="0" borderId="0" xfId="0" applyFont="1" applyBorder="1" applyAlignment="1">
      <alignment vertical="top" wrapText="1"/>
    </xf>
    <xf numFmtId="0" fontId="16" fillId="0" borderId="12" xfId="0" applyFont="1" applyBorder="1" applyAlignment="1">
      <alignment vertical="top" wrapText="1"/>
    </xf>
    <xf numFmtId="0" fontId="0" fillId="0" borderId="11" xfId="0" applyBorder="1" applyAlignment="1">
      <alignment horizontal="center" vertical="center"/>
    </xf>
    <xf numFmtId="0" fontId="0" fillId="0" borderId="0" xfId="0"/>
    <xf numFmtId="0" fontId="0" fillId="0" borderId="0" xfId="0" applyAlignment="1">
      <alignment horizontal="center"/>
    </xf>
    <xf numFmtId="0" fontId="0" fillId="0" borderId="11" xfId="0" applyBorder="1" applyAlignment="1">
      <alignment horizontal="center" vertical="center"/>
    </xf>
    <xf numFmtId="0" fontId="0" fillId="0" borderId="0" xfId="0"/>
    <xf numFmtId="0" fontId="0" fillId="0" borderId="6" xfId="0" applyFont="1" applyBorder="1" applyAlignment="1"/>
    <xf numFmtId="0" fontId="0" fillId="0" borderId="0" xfId="0"/>
    <xf numFmtId="2" fontId="28" fillId="0" borderId="0" xfId="0" applyNumberFormat="1" applyFont="1" applyBorder="1" applyAlignment="1">
      <alignment vertical="center"/>
    </xf>
    <xf numFmtId="2" fontId="28" fillId="0" borderId="12" xfId="0" applyNumberFormat="1" applyFont="1" applyBorder="1" applyAlignment="1">
      <alignment vertical="center"/>
    </xf>
    <xf numFmtId="2" fontId="28" fillId="0" borderId="23" xfId="0" applyNumberFormat="1" applyFont="1" applyBorder="1" applyAlignment="1">
      <alignment vertical="center"/>
    </xf>
    <xf numFmtId="0" fontId="29" fillId="0" borderId="24" xfId="0" applyFont="1" applyBorder="1"/>
    <xf numFmtId="0" fontId="30" fillId="0" borderId="24" xfId="0" applyFont="1" applyBorder="1"/>
    <xf numFmtId="166" fontId="11" fillId="0" borderId="0" xfId="0" applyNumberFormat="1" applyFont="1" applyBorder="1" applyAlignment="1">
      <alignment horizontal="center" vertical="center"/>
    </xf>
    <xf numFmtId="166" fontId="11" fillId="0" borderId="0" xfId="0" applyNumberFormat="1" applyFont="1" applyBorder="1" applyAlignment="1">
      <alignment vertical="center"/>
    </xf>
    <xf numFmtId="0" fontId="0" fillId="0" borderId="0" xfId="0"/>
    <xf numFmtId="0" fontId="0" fillId="0" borderId="2" xfId="0" applyBorder="1" applyAlignment="1">
      <alignment horizontal="center" vertical="center"/>
    </xf>
    <xf numFmtId="0" fontId="30" fillId="0" borderId="24" xfId="0" applyFont="1" applyBorder="1" applyAlignment="1">
      <alignment horizontal="left" vertical="center"/>
    </xf>
    <xf numFmtId="0" fontId="0" fillId="0" borderId="5" xfId="0" applyBorder="1" applyAlignment="1">
      <alignment horizontal="center" vertical="center"/>
    </xf>
    <xf numFmtId="0" fontId="0" fillId="0" borderId="12" xfId="0" applyBorder="1" applyAlignment="1">
      <alignment horizontal="center" vertical="center"/>
    </xf>
    <xf numFmtId="0" fontId="16" fillId="0" borderId="0" xfId="0" applyFont="1" applyBorder="1" applyAlignment="1">
      <alignment horizontal="left" vertical="top" wrapText="1"/>
    </xf>
    <xf numFmtId="0" fontId="0" fillId="0" borderId="11" xfId="0" applyBorder="1" applyAlignment="1">
      <alignment horizontal="center" vertical="center"/>
    </xf>
    <xf numFmtId="0" fontId="0" fillId="0" borderId="0" xfId="0"/>
    <xf numFmtId="0" fontId="30" fillId="0" borderId="12" xfId="0" applyFont="1" applyBorder="1" applyAlignment="1">
      <alignment horizontal="center" vertical="center"/>
    </xf>
    <xf numFmtId="165" fontId="0" fillId="0" borderId="12" xfId="0" applyNumberFormat="1" applyBorder="1" applyAlignment="1">
      <alignment vertical="center"/>
    </xf>
    <xf numFmtId="0" fontId="0" fillId="0" borderId="0" xfId="0"/>
    <xf numFmtId="0" fontId="0" fillId="0" borderId="0" xfId="0" applyFont="1" applyBorder="1" applyAlignment="1"/>
    <xf numFmtId="0" fontId="16" fillId="0" borderId="5" xfId="0" applyFont="1" applyBorder="1" applyAlignment="1">
      <alignment vertical="center"/>
    </xf>
    <xf numFmtId="0" fontId="16" fillId="0" borderId="0" xfId="0" applyFont="1" applyBorder="1" applyAlignment="1">
      <alignment horizontal="left" vertical="top" wrapText="1"/>
    </xf>
    <xf numFmtId="0" fontId="0" fillId="0" borderId="0" xfId="0"/>
    <xf numFmtId="166" fontId="0" fillId="0" borderId="8" xfId="0" applyNumberFormat="1" applyBorder="1" applyAlignment="1">
      <alignment vertical="center"/>
    </xf>
    <xf numFmtId="0" fontId="0" fillId="0" borderId="10" xfId="0" applyBorder="1" applyAlignment="1">
      <alignment horizontal="center" vertical="center"/>
    </xf>
    <xf numFmtId="0" fontId="0" fillId="0" borderId="1" xfId="0" applyBorder="1" applyAlignment="1">
      <alignment horizontal="center" vertical="center"/>
    </xf>
    <xf numFmtId="0" fontId="18" fillId="0" borderId="10" xfId="0" applyFont="1" applyBorder="1" applyAlignment="1">
      <alignment horizontal="center" vertical="center"/>
    </xf>
    <xf numFmtId="0" fontId="0" fillId="0" borderId="0" xfId="0"/>
    <xf numFmtId="0" fontId="0" fillId="0" borderId="0" xfId="0" applyAlignment="1">
      <alignment vertical="center"/>
    </xf>
    <xf numFmtId="0" fontId="17" fillId="0" borderId="9" xfId="0" applyFont="1" applyBorder="1" applyAlignment="1">
      <alignment vertical="center"/>
    </xf>
    <xf numFmtId="0" fontId="17" fillId="0" borderId="10" xfId="0" applyFont="1" applyBorder="1" applyAlignment="1">
      <alignment vertical="center"/>
    </xf>
    <xf numFmtId="0" fontId="0" fillId="5" borderId="11" xfId="0" applyFill="1" applyBorder="1" applyAlignment="1">
      <alignment vertical="center" textRotation="90"/>
    </xf>
    <xf numFmtId="0" fontId="19" fillId="0" borderId="7" xfId="0" applyFont="1" applyBorder="1" applyAlignment="1">
      <alignment vertical="center"/>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2" fontId="0" fillId="0" borderId="0" xfId="0" applyNumberFormat="1" applyBorder="1" applyAlignment="1">
      <alignment horizontal="center" vertical="center"/>
    </xf>
    <xf numFmtId="0" fontId="0" fillId="0" borderId="0" xfId="0" applyAlignment="1"/>
    <xf numFmtId="166" fontId="0" fillId="0" borderId="0" xfId="0" applyNumberFormat="1"/>
    <xf numFmtId="0" fontId="0" fillId="0" borderId="27" xfId="0" applyBorder="1" applyAlignment="1">
      <alignment horizontal="center"/>
    </xf>
    <xf numFmtId="0" fontId="18" fillId="0" borderId="0" xfId="0" applyFont="1" applyBorder="1" applyAlignment="1">
      <alignment vertical="center"/>
    </xf>
    <xf numFmtId="0" fontId="18" fillId="0" borderId="11" xfId="0" applyFont="1" applyBorder="1" applyAlignment="1">
      <alignment vertical="center"/>
    </xf>
    <xf numFmtId="0" fontId="18" fillId="0" borderId="12" xfId="0" applyFont="1" applyBorder="1" applyAlignment="1">
      <alignment vertical="center"/>
    </xf>
    <xf numFmtId="0" fontId="17" fillId="0" borderId="7" xfId="0" applyFont="1" applyBorder="1" applyAlignment="1">
      <alignment vertical="center"/>
    </xf>
    <xf numFmtId="0" fontId="0" fillId="0" borderId="26" xfId="0" applyBorder="1" applyAlignment="1"/>
    <xf numFmtId="0" fontId="0" fillId="0" borderId="27" xfId="0" applyBorder="1" applyAlignment="1">
      <alignment horizontal="left"/>
    </xf>
    <xf numFmtId="0" fontId="17" fillId="0" borderId="6" xfId="0" applyFont="1" applyBorder="1" applyAlignment="1">
      <alignment vertical="center"/>
    </xf>
    <xf numFmtId="0" fontId="0" fillId="0" borderId="0" xfId="0"/>
    <xf numFmtId="0" fontId="16" fillId="0" borderId="6" xfId="0" applyFont="1" applyBorder="1" applyAlignment="1">
      <alignment horizontal="left" vertical="center"/>
    </xf>
    <xf numFmtId="0" fontId="16" fillId="0" borderId="3" xfId="0" applyFont="1" applyBorder="1" applyAlignment="1">
      <alignment horizontal="left" vertical="center"/>
    </xf>
    <xf numFmtId="0" fontId="0" fillId="0" borderId="0" xfId="0" applyBorder="1" applyAlignment="1">
      <alignment vertical="center"/>
    </xf>
    <xf numFmtId="0" fontId="0" fillId="0" borderId="12" xfId="0" applyBorder="1" applyAlignment="1">
      <alignment vertical="center"/>
    </xf>
    <xf numFmtId="0" fontId="0" fillId="0" borderId="0" xfId="0"/>
    <xf numFmtId="0" fontId="29" fillId="0" borderId="3" xfId="0" applyFont="1" applyBorder="1" applyAlignment="1">
      <alignment horizontal="left" vertical="center"/>
    </xf>
    <xf numFmtId="0" fontId="29" fillId="0" borderId="11" xfId="0" applyFont="1" applyBorder="1" applyAlignment="1">
      <alignment horizontal="left" vertical="center"/>
    </xf>
    <xf numFmtId="0" fontId="29" fillId="0" borderId="0" xfId="0" applyFont="1"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30" fillId="0" borderId="23" xfId="0"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12" xfId="0" applyBorder="1" applyAlignment="1">
      <alignment horizontal="left" vertical="center"/>
    </xf>
    <xf numFmtId="0" fontId="30" fillId="0" borderId="11" xfId="0" applyFont="1" applyBorder="1" applyAlignment="1">
      <alignment horizontal="left" vertical="center"/>
    </xf>
    <xf numFmtId="0" fontId="30" fillId="0" borderId="0" xfId="0" applyFont="1" applyBorder="1" applyAlignment="1">
      <alignment horizontal="left" vertical="center"/>
    </xf>
    <xf numFmtId="0" fontId="0" fillId="0" borderId="8" xfId="0" applyBorder="1" applyAlignment="1">
      <alignment horizontal="right" vertical="center"/>
    </xf>
    <xf numFmtId="0" fontId="0" fillId="0" borderId="9" xfId="0"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xf>
    <xf numFmtId="0" fontId="16" fillId="0" borderId="6" xfId="0" applyFont="1" applyBorder="1" applyAlignment="1">
      <alignment horizontal="left" vertical="center"/>
    </xf>
    <xf numFmtId="0" fontId="16" fillId="0" borderId="7" xfId="0" applyFont="1" applyBorder="1" applyAlignment="1">
      <alignment horizontal="left" vertical="center"/>
    </xf>
    <xf numFmtId="0" fontId="0" fillId="0" borderId="1" xfId="0" applyBorder="1" applyAlignment="1">
      <alignment horizontal="center" vertical="center"/>
    </xf>
    <xf numFmtId="0" fontId="17" fillId="0" borderId="3" xfId="0" applyFont="1" applyBorder="1" applyAlignment="1">
      <alignment horizontal="center" vertical="center"/>
    </xf>
    <xf numFmtId="0" fontId="17" fillId="0" borderId="11" xfId="0" applyFont="1" applyBorder="1" applyAlignment="1">
      <alignment horizontal="center" vertical="center"/>
    </xf>
    <xf numFmtId="0" fontId="17" fillId="0" borderId="0" xfId="0" applyFont="1" applyBorder="1" applyAlignment="1">
      <alignment horizontal="center" vertical="center"/>
    </xf>
    <xf numFmtId="164" fontId="0" fillId="0" borderId="0" xfId="0" applyNumberFormat="1" applyBorder="1" applyAlignment="1">
      <alignment horizontal="center" vertical="center"/>
    </xf>
    <xf numFmtId="0" fontId="0" fillId="0" borderId="1" xfId="0" applyBorder="1" applyAlignment="1">
      <alignment horizontal="center"/>
    </xf>
    <xf numFmtId="0" fontId="0" fillId="0" borderId="9" xfId="0" applyBorder="1" applyAlignment="1">
      <alignment horizontal="right" vertical="center"/>
    </xf>
    <xf numFmtId="0" fontId="30" fillId="0" borderId="1" xfId="0" applyFont="1" applyBorder="1" applyAlignment="1">
      <alignment horizontal="center" vertical="center"/>
    </xf>
    <xf numFmtId="0" fontId="30" fillId="0" borderId="8" xfId="0" applyFont="1" applyBorder="1" applyAlignment="1">
      <alignment vertical="center"/>
    </xf>
    <xf numFmtId="0" fontId="30" fillId="0" borderId="9" xfId="0" applyFont="1" applyBorder="1" applyAlignment="1">
      <alignment vertical="center"/>
    </xf>
    <xf numFmtId="0" fontId="30" fillId="0" borderId="10" xfId="0" applyFont="1" applyBorder="1" applyAlignment="1">
      <alignment vertical="center"/>
    </xf>
    <xf numFmtId="0" fontId="8" fillId="0" borderId="1" xfId="0" applyFont="1" applyBorder="1" applyAlignment="1">
      <alignment horizontal="center" vertical="center"/>
    </xf>
    <xf numFmtId="0" fontId="8" fillId="0" borderId="10" xfId="0" applyFont="1" applyBorder="1" applyAlignment="1">
      <alignment vertical="center"/>
    </xf>
    <xf numFmtId="0" fontId="8" fillId="0" borderId="11" xfId="0" applyFont="1" applyBorder="1" applyAlignment="1">
      <alignment horizontal="center" vertical="center"/>
    </xf>
    <xf numFmtId="0" fontId="8" fillId="0" borderId="9" xfId="0" applyFont="1" applyBorder="1" applyAlignment="1">
      <alignment vertical="center"/>
    </xf>
    <xf numFmtId="0" fontId="8" fillId="0" borderId="10" xfId="0" applyFont="1" applyBorder="1" applyAlignment="1">
      <alignment horizontal="center" vertical="center"/>
    </xf>
    <xf numFmtId="0" fontId="8" fillId="0" borderId="11" xfId="0" applyFont="1" applyBorder="1" applyAlignment="1">
      <alignment horizontal="center"/>
    </xf>
    <xf numFmtId="0" fontId="8" fillId="0" borderId="0" xfId="0" applyFont="1" applyBorder="1" applyAlignment="1">
      <alignment vertical="center"/>
    </xf>
    <xf numFmtId="0" fontId="8" fillId="0" borderId="0" xfId="0" applyFont="1" applyBorder="1"/>
    <xf numFmtId="2" fontId="8" fillId="0" borderId="0" xfId="0" applyNumberFormat="1" applyFont="1" applyBorder="1" applyAlignment="1">
      <alignment horizontal="right" vertical="center"/>
    </xf>
    <xf numFmtId="164" fontId="8" fillId="0" borderId="0" xfId="0" applyNumberFormat="1" applyFont="1" applyBorder="1" applyAlignment="1">
      <alignment vertical="center"/>
    </xf>
    <xf numFmtId="0" fontId="0" fillId="0" borderId="2" xfId="0" applyBorder="1"/>
    <xf numFmtId="0" fontId="0" fillId="0" borderId="10" xfId="0" applyBorder="1"/>
    <xf numFmtId="0" fontId="0" fillId="0" borderId="10" xfId="0" applyBorder="1" applyAlignment="1"/>
    <xf numFmtId="0" fontId="0" fillId="0" borderId="11" xfId="0" applyBorder="1" applyAlignment="1">
      <alignment horizontal="center"/>
    </xf>
    <xf numFmtId="2" fontId="0" fillId="0" borderId="0" xfId="0" applyNumberFormat="1" applyBorder="1"/>
    <xf numFmtId="0" fontId="8" fillId="0" borderId="5" xfId="0" applyFont="1" applyBorder="1" applyAlignment="1">
      <alignment horizontal="center" vertical="center"/>
    </xf>
    <xf numFmtId="0" fontId="8" fillId="0" borderId="6" xfId="0" applyFont="1" applyBorder="1" applyAlignment="1">
      <alignment horizontal="center" vertical="center"/>
    </xf>
    <xf numFmtId="164" fontId="0" fillId="0" borderId="9" xfId="0" applyNumberForma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xf numFmtId="0" fontId="0" fillId="0" borderId="32"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2" fontId="8" fillId="0" borderId="0" xfId="0" applyNumberFormat="1" applyFont="1" applyBorder="1" applyAlignment="1">
      <alignment vertical="center"/>
    </xf>
    <xf numFmtId="2" fontId="0" fillId="0" borderId="0" xfId="0" applyNumberFormat="1"/>
    <xf numFmtId="0" fontId="0" fillId="0" borderId="4" xfId="0" applyBorder="1"/>
    <xf numFmtId="0" fontId="14" fillId="0" borderId="8" xfId="0" applyFont="1" applyBorder="1" applyAlignment="1">
      <alignment vertical="center"/>
    </xf>
    <xf numFmtId="0" fontId="14" fillId="0" borderId="9" xfId="0" applyFont="1" applyBorder="1" applyAlignment="1">
      <alignment vertical="center"/>
    </xf>
    <xf numFmtId="0" fontId="14" fillId="0" borderId="10" xfId="0" applyFont="1" applyBorder="1" applyAlignment="1">
      <alignment vertical="center"/>
    </xf>
    <xf numFmtId="0" fontId="0" fillId="0" borderId="9" xfId="0" applyBorder="1" applyAlignment="1">
      <alignment vertical="center"/>
    </xf>
    <xf numFmtId="0" fontId="18" fillId="0" borderId="8" xfId="0" applyFont="1" applyBorder="1" applyAlignment="1">
      <alignment vertical="center"/>
    </xf>
    <xf numFmtId="0" fontId="25" fillId="0" borderId="0" xfId="0" applyFont="1" applyBorder="1" applyAlignment="1">
      <alignment vertical="center"/>
    </xf>
    <xf numFmtId="0" fontId="19" fillId="0" borderId="11" xfId="0" applyFont="1" applyBorder="1" applyAlignment="1">
      <alignment vertical="center"/>
    </xf>
    <xf numFmtId="0" fontId="17" fillId="0" borderId="22" xfId="0" applyFont="1" applyBorder="1" applyAlignment="1">
      <alignment vertical="center"/>
    </xf>
    <xf numFmtId="0" fontId="0" fillId="0" borderId="22" xfId="0" applyBorder="1" applyAlignment="1">
      <alignment vertical="center"/>
    </xf>
    <xf numFmtId="0" fontId="0" fillId="0" borderId="0" xfId="0" applyAlignment="1">
      <alignment horizontal="center" vertical="center"/>
    </xf>
    <xf numFmtId="0" fontId="0" fillId="0" borderId="0" xfId="0" applyFill="1" applyBorder="1" applyAlignment="1">
      <alignment horizontal="center" vertical="center"/>
    </xf>
    <xf numFmtId="0" fontId="0" fillId="0" borderId="0" xfId="0" applyNumberFormat="1" applyBorder="1" applyAlignment="1">
      <alignment horizontal="center" vertical="center"/>
    </xf>
    <xf numFmtId="0" fontId="0" fillId="0" borderId="12" xfId="0" applyNumberFormat="1" applyBorder="1" applyAlignment="1">
      <alignment horizontal="center" vertical="center"/>
    </xf>
    <xf numFmtId="2" fontId="0" fillId="0" borderId="0" xfId="0" applyNumberFormat="1" applyAlignment="1">
      <alignment horizontal="center" vertical="center"/>
    </xf>
    <xf numFmtId="0" fontId="0" fillId="0" borderId="0" xfId="0" applyFill="1" applyBorder="1"/>
    <xf numFmtId="164" fontId="14" fillId="0" borderId="10" xfId="0" applyNumberFormat="1" applyFont="1" applyBorder="1" applyAlignment="1">
      <alignment vertical="center"/>
    </xf>
    <xf numFmtId="0" fontId="14" fillId="0" borderId="10" xfId="0" applyFont="1" applyFill="1" applyBorder="1" applyAlignment="1">
      <alignment vertical="center"/>
    </xf>
    <xf numFmtId="0" fontId="0" fillId="0" borderId="0" xfId="0" applyAlignment="1">
      <alignment horizontal="left"/>
    </xf>
    <xf numFmtId="49" fontId="0" fillId="0" borderId="0" xfId="0" applyNumberFormat="1" applyBorder="1" applyAlignment="1">
      <alignment vertical="center"/>
    </xf>
    <xf numFmtId="0" fontId="0" fillId="0" borderId="0" xfId="0" applyNumberFormat="1" applyBorder="1" applyAlignment="1">
      <alignment vertical="center"/>
    </xf>
    <xf numFmtId="0" fontId="0" fillId="0" borderId="0" xfId="0"/>
    <xf numFmtId="0" fontId="0" fillId="0" borderId="0" xfId="0"/>
    <xf numFmtId="172" fontId="0" fillId="0" borderId="0" xfId="0" applyNumberFormat="1"/>
    <xf numFmtId="0" fontId="0" fillId="0" borderId="0" xfId="0" applyBorder="1" applyAlignment="1">
      <alignment horizontal="center" vertical="center"/>
    </xf>
    <xf numFmtId="0" fontId="17" fillId="0" borderId="0" xfId="0" applyFont="1" applyBorder="1" applyAlignment="1">
      <alignment horizontal="center" vertical="center"/>
    </xf>
    <xf numFmtId="0" fontId="16" fillId="0" borderId="0" xfId="0" applyFont="1" applyBorder="1" applyAlignment="1">
      <alignment horizontal="left" vertical="top" wrapText="1"/>
    </xf>
    <xf numFmtId="0" fontId="16" fillId="0" borderId="12" xfId="0" applyFont="1" applyBorder="1" applyAlignment="1">
      <alignment horizontal="left" vertical="top" wrapText="1"/>
    </xf>
    <xf numFmtId="0" fontId="16" fillId="0" borderId="6" xfId="0" applyFont="1" applyBorder="1" applyAlignment="1">
      <alignment horizontal="left" vertical="center"/>
    </xf>
    <xf numFmtId="0" fontId="0" fillId="0" borderId="8" xfId="0" applyBorder="1" applyAlignment="1">
      <alignment horizontal="right" vertical="center"/>
    </xf>
    <xf numFmtId="164" fontId="0" fillId="0" borderId="0" xfId="0" applyNumberFormat="1" applyBorder="1" applyAlignment="1">
      <alignment horizontal="center" vertical="center"/>
    </xf>
    <xf numFmtId="0" fontId="16" fillId="0" borderId="3" xfId="0" applyFont="1" applyBorder="1" applyAlignment="1">
      <alignment horizontal="left" vertical="center"/>
    </xf>
    <xf numFmtId="0" fontId="0" fillId="0" borderId="0" xfId="0"/>
    <xf numFmtId="0" fontId="14" fillId="0" borderId="0" xfId="0" applyFont="1" applyBorder="1" applyAlignment="1">
      <alignment horizontal="center" vertical="center"/>
    </xf>
    <xf numFmtId="0" fontId="0" fillId="0" borderId="1" xfId="0" applyBorder="1" applyAlignment="1">
      <alignment horizontal="center" vertical="center"/>
    </xf>
    <xf numFmtId="165" fontId="0" fillId="0" borderId="3" xfId="0" applyNumberFormat="1" applyBorder="1" applyAlignment="1">
      <alignment vertical="center"/>
    </xf>
    <xf numFmtId="0" fontId="0" fillId="0" borderId="0" xfId="0" applyBorder="1" applyAlignment="1">
      <alignment vertical="center" wrapText="1"/>
    </xf>
    <xf numFmtId="0" fontId="7" fillId="0" borderId="0" xfId="0" applyFont="1" applyBorder="1" applyAlignment="1">
      <alignment vertical="center"/>
    </xf>
    <xf numFmtId="0" fontId="17" fillId="0" borderId="9" xfId="0" applyFont="1" applyBorder="1" applyAlignment="1">
      <alignment horizontal="center" vertical="center"/>
    </xf>
    <xf numFmtId="0" fontId="19" fillId="0" borderId="8" xfId="0" applyFont="1" applyBorder="1" applyAlignment="1">
      <alignment vertical="center"/>
    </xf>
    <xf numFmtId="0" fontId="19" fillId="0" borderId="9" xfId="0" applyFont="1" applyBorder="1" applyAlignment="1">
      <alignment vertical="center"/>
    </xf>
    <xf numFmtId="0" fontId="19" fillId="0" borderId="10" xfId="0" applyFont="1" applyBorder="1" applyAlignment="1">
      <alignment vertical="center"/>
    </xf>
    <xf numFmtId="0" fontId="29" fillId="0" borderId="11" xfId="0" applyFont="1" applyBorder="1" applyAlignment="1">
      <alignment horizontal="left" vertical="center"/>
    </xf>
    <xf numFmtId="0" fontId="29" fillId="0" borderId="0" xfId="0" applyFont="1" applyBorder="1" applyAlignment="1">
      <alignment horizontal="left" vertical="center"/>
    </xf>
    <xf numFmtId="0" fontId="9" fillId="0" borderId="0" xfId="0" applyFont="1" applyBorder="1" applyAlignment="1">
      <alignment horizontal="left" vertical="center"/>
    </xf>
    <xf numFmtId="0" fontId="9" fillId="0" borderId="12" xfId="0" applyFont="1" applyBorder="1" applyAlignment="1">
      <alignment horizontal="left" vertical="center"/>
    </xf>
    <xf numFmtId="0" fontId="0" fillId="0" borderId="0" xfId="0"/>
    <xf numFmtId="0" fontId="9" fillId="0" borderId="0" xfId="0" applyFont="1" applyBorder="1" applyAlignment="1">
      <alignment vertical="center"/>
    </xf>
    <xf numFmtId="0" fontId="29" fillId="0" borderId="11" xfId="0" applyFont="1" applyBorder="1" applyAlignment="1">
      <alignment vertical="center"/>
    </xf>
    <xf numFmtId="0" fontId="29" fillId="0" borderId="0" xfId="0" applyFont="1" applyBorder="1" applyAlignment="1">
      <alignment vertical="center"/>
    </xf>
    <xf numFmtId="0" fontId="29" fillId="0" borderId="5" xfId="0" applyFont="1" applyBorder="1" applyAlignment="1">
      <alignment horizontal="left" vertical="center"/>
    </xf>
    <xf numFmtId="0" fontId="29" fillId="0" borderId="6" xfId="0" applyFont="1" applyBorder="1" applyAlignment="1">
      <alignment horizontal="left" vertical="center"/>
    </xf>
    <xf numFmtId="0" fontId="9" fillId="0" borderId="6" xfId="0" applyFont="1" applyBorder="1" applyAlignment="1">
      <alignment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169" fontId="9" fillId="0" borderId="0" xfId="0" applyNumberFormat="1" applyFont="1" applyBorder="1" applyAlignment="1">
      <alignment vertical="center"/>
    </xf>
    <xf numFmtId="169" fontId="9" fillId="0" borderId="12" xfId="0" applyNumberFormat="1" applyFont="1" applyBorder="1" applyAlignment="1">
      <alignment vertical="center"/>
    </xf>
    <xf numFmtId="0" fontId="9" fillId="0" borderId="12" xfId="0" applyFont="1" applyBorder="1" applyAlignment="1">
      <alignment vertical="center"/>
    </xf>
    <xf numFmtId="0" fontId="0" fillId="0" borderId="0" xfId="0"/>
    <xf numFmtId="0" fontId="0" fillId="0" borderId="0" xfId="0" applyFont="1" applyFill="1" applyBorder="1" applyAlignment="1"/>
    <xf numFmtId="166" fontId="0" fillId="0" borderId="9" xfId="0" applyNumberFormat="1" applyBorder="1" applyAlignment="1">
      <alignment vertical="center"/>
    </xf>
    <xf numFmtId="0" fontId="20" fillId="0" borderId="33" xfId="0" applyFont="1" applyBorder="1" applyAlignment="1">
      <alignment vertical="center"/>
    </xf>
    <xf numFmtId="0" fontId="0" fillId="0" borderId="0" xfId="0"/>
    <xf numFmtId="0" fontId="0" fillId="0" borderId="0" xfId="0" applyAlignment="1">
      <alignment horizontal="left"/>
    </xf>
    <xf numFmtId="0" fontId="14" fillId="0" borderId="0" xfId="0" applyFont="1"/>
    <xf numFmtId="14" fontId="0" fillId="0" borderId="0" xfId="0" applyNumberFormat="1" applyAlignment="1">
      <alignment horizontal="left"/>
    </xf>
    <xf numFmtId="0" fontId="16" fillId="0" borderId="11" xfId="0" applyFont="1" applyBorder="1" applyAlignment="1">
      <alignment vertical="center" wrapText="1"/>
    </xf>
    <xf numFmtId="0" fontId="16" fillId="0" borderId="0" xfId="0" applyFont="1" applyBorder="1" applyAlignment="1">
      <alignment vertical="center" wrapText="1"/>
    </xf>
    <xf numFmtId="0" fontId="16" fillId="0" borderId="12" xfId="0" applyFont="1" applyBorder="1" applyAlignment="1">
      <alignment vertical="center" wrapText="1"/>
    </xf>
    <xf numFmtId="0" fontId="14" fillId="0" borderId="11" xfId="0" applyFont="1" applyBorder="1" applyAlignment="1"/>
    <xf numFmtId="0" fontId="14" fillId="0" borderId="0" xfId="0" applyFont="1" applyBorder="1" applyAlignment="1"/>
    <xf numFmtId="0" fontId="14" fillId="0" borderId="12" xfId="0" applyFont="1" applyBorder="1" applyAlignment="1"/>
    <xf numFmtId="0" fontId="0" fillId="0" borderId="0" xfId="0" applyAlignment="1">
      <alignment horizontal="left" vertical="top"/>
    </xf>
    <xf numFmtId="0" fontId="30" fillId="0" borderId="0" xfId="0" applyFont="1" applyAlignment="1">
      <alignment horizontal="left" vertical="top" wrapText="1"/>
    </xf>
    <xf numFmtId="0" fontId="29" fillId="0" borderId="0" xfId="0" applyFont="1" applyBorder="1" applyAlignment="1">
      <alignment horizontal="left" vertical="center"/>
    </xf>
    <xf numFmtId="0" fontId="29" fillId="0" borderId="11" xfId="0" applyFont="1" applyBorder="1" applyAlignment="1">
      <alignment horizontal="left" vertical="center"/>
    </xf>
    <xf numFmtId="0" fontId="9" fillId="0" borderId="0" xfId="0" applyFont="1" applyBorder="1" applyAlignment="1">
      <alignment horizontal="left" vertical="center"/>
    </xf>
    <xf numFmtId="0" fontId="9" fillId="0" borderId="12" xfId="0" applyFont="1" applyBorder="1" applyAlignment="1">
      <alignment horizontal="left" vertical="center"/>
    </xf>
    <xf numFmtId="0" fontId="29" fillId="0" borderId="5" xfId="0" applyFont="1" applyBorder="1" applyAlignment="1">
      <alignment horizontal="left" vertical="center"/>
    </xf>
    <xf numFmtId="0" fontId="29" fillId="0" borderId="6" xfId="0" applyFont="1" applyBorder="1" applyAlignment="1">
      <alignment horizontal="left" vertical="center"/>
    </xf>
    <xf numFmtId="0" fontId="18" fillId="0" borderId="9" xfId="0" applyFont="1" applyBorder="1" applyAlignment="1">
      <alignment horizontal="left" vertical="center"/>
    </xf>
    <xf numFmtId="0" fontId="0" fillId="0" borderId="0" xfId="0"/>
    <xf numFmtId="0" fontId="0" fillId="0" borderId="0" xfId="0" applyAlignment="1">
      <alignment vertical="top"/>
    </xf>
    <xf numFmtId="0" fontId="30" fillId="0" borderId="0" xfId="0" applyFont="1" applyAlignment="1">
      <alignment vertical="top" wrapText="1"/>
    </xf>
    <xf numFmtId="0" fontId="30" fillId="0" borderId="0" xfId="0" applyFont="1" applyAlignment="1">
      <alignment vertical="top"/>
    </xf>
    <xf numFmtId="0" fontId="29" fillId="0" borderId="0" xfId="0" applyFont="1" applyAlignment="1">
      <alignment horizontal="left" vertical="top" wrapText="1"/>
    </xf>
    <xf numFmtId="0" fontId="18" fillId="0" borderId="3" xfId="0" applyFont="1" applyBorder="1" applyAlignment="1">
      <alignment vertical="center"/>
    </xf>
    <xf numFmtId="0" fontId="18" fillId="0" borderId="3" xfId="0" applyFont="1" applyBorder="1" applyAlignment="1">
      <alignment horizontal="left" vertical="center"/>
    </xf>
    <xf numFmtId="0" fontId="30" fillId="0" borderId="0" xfId="0" applyFont="1" applyAlignment="1">
      <alignment horizontal="left" vertical="top"/>
    </xf>
    <xf numFmtId="0" fontId="9" fillId="0" borderId="3" xfId="0" applyFont="1" applyBorder="1" applyAlignment="1">
      <alignment vertical="center"/>
    </xf>
    <xf numFmtId="0" fontId="0" fillId="0" borderId="0" xfId="0"/>
    <xf numFmtId="0" fontId="0" fillId="0" borderId="8" xfId="0" applyBorder="1" applyAlignment="1">
      <alignment horizontal="right" vertical="center"/>
    </xf>
    <xf numFmtId="0" fontId="17" fillId="0" borderId="5" xfId="0" applyFont="1" applyBorder="1" applyAlignment="1">
      <alignment vertical="center"/>
    </xf>
    <xf numFmtId="0" fontId="18" fillId="0" borderId="9" xfId="0" applyFont="1" applyBorder="1" applyAlignment="1">
      <alignment horizontal="left" vertical="center"/>
    </xf>
    <xf numFmtId="0" fontId="18" fillId="0" borderId="3" xfId="0" applyFont="1" applyBorder="1" applyAlignment="1">
      <alignment horizontal="left" vertical="center"/>
    </xf>
    <xf numFmtId="0" fontId="0" fillId="0" borderId="0" xfId="0"/>
    <xf numFmtId="0" fontId="14" fillId="0" borderId="0" xfId="0" applyFont="1" applyAlignment="1"/>
    <xf numFmtId="0" fontId="47" fillId="0" borderId="0" xfId="3" applyFont="1" applyAlignment="1"/>
    <xf numFmtId="14" fontId="0" fillId="0" borderId="0" xfId="0" applyNumberFormat="1" applyAlignment="1">
      <alignment horizontal="right"/>
    </xf>
    <xf numFmtId="0" fontId="0" fillId="0" borderId="4" xfId="0" applyBorder="1" applyAlignment="1"/>
    <xf numFmtId="0" fontId="0" fillId="0" borderId="12" xfId="0" applyBorder="1" applyAlignment="1"/>
    <xf numFmtId="0" fontId="0" fillId="0" borderId="7" xfId="0" applyBorder="1" applyAlignment="1"/>
    <xf numFmtId="0" fontId="0" fillId="0" borderId="0" xfId="0"/>
    <xf numFmtId="0" fontId="30" fillId="0" borderId="0" xfId="0" applyFont="1" applyBorder="1" applyAlignment="1">
      <alignment horizontal="left"/>
    </xf>
    <xf numFmtId="0" fontId="30" fillId="0" borderId="6" xfId="0" applyFont="1" applyBorder="1" applyAlignment="1">
      <alignment horizontal="left"/>
    </xf>
    <xf numFmtId="0" fontId="30" fillId="0" borderId="0" xfId="0" applyFont="1" applyAlignment="1">
      <alignment horizontal="left" vertical="top" wrapText="1"/>
    </xf>
    <xf numFmtId="0" fontId="29" fillId="0" borderId="0" xfId="0" applyFont="1" applyAlignment="1">
      <alignment horizontal="left" vertical="top" wrapText="1"/>
    </xf>
    <xf numFmtId="0" fontId="30" fillId="0" borderId="3" xfId="0" applyFont="1" applyBorder="1" applyAlignment="1">
      <alignment horizontal="left"/>
    </xf>
    <xf numFmtId="0" fontId="14" fillId="0" borderId="0" xfId="0" applyFont="1" applyAlignment="1">
      <alignment horizontal="left" vertical="top"/>
    </xf>
    <xf numFmtId="0" fontId="0" fillId="0" borderId="0" xfId="0" applyAlignment="1">
      <alignment horizontal="left"/>
    </xf>
    <xf numFmtId="0" fontId="0" fillId="0" borderId="0" xfId="0"/>
    <xf numFmtId="0" fontId="19" fillId="0" borderId="0" xfId="0" applyFont="1" applyAlignment="1"/>
    <xf numFmtId="0" fontId="42" fillId="0" borderId="0" xfId="0" applyFont="1" applyAlignment="1">
      <alignment vertical="center"/>
    </xf>
    <xf numFmtId="0" fontId="38" fillId="0" borderId="0" xfId="0" applyFont="1" applyAlignment="1">
      <alignment vertical="center"/>
    </xf>
    <xf numFmtId="0" fontId="32" fillId="0" borderId="0" xfId="0" applyFont="1" applyFill="1" applyAlignment="1"/>
    <xf numFmtId="0" fontId="0" fillId="0" borderId="0" xfId="0" applyFill="1" applyAlignment="1"/>
    <xf numFmtId="0" fontId="38" fillId="0" borderId="0" xfId="0" applyFont="1" applyFill="1" applyAlignment="1">
      <alignment vertical="center"/>
    </xf>
    <xf numFmtId="0" fontId="0" fillId="0" borderId="0" xfId="0" applyFill="1"/>
    <xf numFmtId="0" fontId="30" fillId="0" borderId="23" xfId="0" applyFont="1" applyBorder="1" applyAlignment="1">
      <alignment horizontal="center" vertical="center"/>
    </xf>
    <xf numFmtId="0" fontId="38" fillId="0" borderId="0" xfId="0" applyFont="1" applyAlignment="1">
      <alignment horizontal="center" vertical="center"/>
    </xf>
    <xf numFmtId="0" fontId="14" fillId="0" borderId="1" xfId="0" applyFont="1" applyBorder="1" applyAlignment="1">
      <alignment horizontal="center" vertical="top"/>
    </xf>
    <xf numFmtId="14" fontId="0" fillId="0" borderId="1" xfId="0" applyNumberFormat="1" applyBorder="1" applyAlignment="1">
      <alignment horizontal="center"/>
    </xf>
    <xf numFmtId="14" fontId="0" fillId="0" borderId="3" xfId="0" applyNumberFormat="1" applyBorder="1" applyAlignment="1">
      <alignment horizontal="left"/>
    </xf>
    <xf numFmtId="14" fontId="0" fillId="0" borderId="0" xfId="0" applyNumberFormat="1" applyBorder="1" applyAlignment="1">
      <alignment horizontal="left"/>
    </xf>
    <xf numFmtId="0" fontId="0" fillId="0" borderId="0" xfId="0" applyBorder="1" applyAlignment="1">
      <alignment horizontal="left"/>
    </xf>
    <xf numFmtId="0" fontId="0" fillId="0" borderId="6" xfId="0" applyBorder="1" applyAlignment="1">
      <alignment horizontal="left"/>
    </xf>
    <xf numFmtId="0" fontId="30" fillId="0" borderId="11" xfId="0" applyFont="1" applyBorder="1" applyAlignment="1">
      <alignment horizontal="left"/>
    </xf>
    <xf numFmtId="0" fontId="30" fillId="0" borderId="0" xfId="0" applyFont="1" applyBorder="1" applyAlignment="1">
      <alignment horizontal="left"/>
    </xf>
    <xf numFmtId="0" fontId="17" fillId="0" borderId="0" xfId="0" applyFont="1" applyAlignment="1">
      <alignment horizontal="center"/>
    </xf>
    <xf numFmtId="0" fontId="30" fillId="0" borderId="0" xfId="0" applyFont="1" applyAlignment="1">
      <alignment horizontal="left" vertical="top" wrapText="1"/>
    </xf>
    <xf numFmtId="0" fontId="29" fillId="0" borderId="0" xfId="0" applyFont="1" applyAlignment="1">
      <alignment horizontal="left" vertical="top" wrapText="1"/>
    </xf>
    <xf numFmtId="0" fontId="30" fillId="0" borderId="2" xfId="0" applyFont="1" applyBorder="1" applyAlignment="1">
      <alignment horizontal="left"/>
    </xf>
    <xf numFmtId="0" fontId="30" fillId="0" borderId="3" xfId="0" applyFont="1" applyBorder="1" applyAlignment="1">
      <alignment horizontal="left"/>
    </xf>
    <xf numFmtId="0" fontId="14" fillId="0" borderId="0" xfId="0" applyFont="1" applyAlignment="1">
      <alignment horizontal="left" vertical="top"/>
    </xf>
    <xf numFmtId="0" fontId="0" fillId="0" borderId="0" xfId="0" applyAlignment="1">
      <alignment horizontal="left"/>
    </xf>
    <xf numFmtId="0" fontId="14" fillId="0" borderId="0" xfId="0" applyFont="1" applyAlignment="1">
      <alignment horizontal="center" vertical="center"/>
    </xf>
    <xf numFmtId="0" fontId="14" fillId="0" borderId="0" xfId="0" applyFont="1" applyAlignment="1">
      <alignment horizontal="center" vertical="top"/>
    </xf>
    <xf numFmtId="0" fontId="0" fillId="8" borderId="0" xfId="0" applyFill="1" applyAlignment="1">
      <alignment horizontal="center"/>
    </xf>
    <xf numFmtId="0" fontId="32" fillId="0" borderId="0" xfId="0" applyFont="1" applyAlignment="1">
      <alignment horizontal="left"/>
    </xf>
    <xf numFmtId="0" fontId="30" fillId="0" borderId="5" xfId="0" applyFont="1" applyBorder="1" applyAlignment="1">
      <alignment horizontal="left"/>
    </xf>
    <xf numFmtId="0" fontId="30" fillId="0" borderId="6" xfId="0" applyFont="1" applyBorder="1" applyAlignment="1">
      <alignment horizontal="left"/>
    </xf>
    <xf numFmtId="0" fontId="0" fillId="0" borderId="0" xfId="0"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11" fillId="0" borderId="11" xfId="0" applyFont="1" applyBorder="1" applyAlignment="1">
      <alignment horizontal="center" vertical="center"/>
    </xf>
    <xf numFmtId="0" fontId="11" fillId="0" borderId="0" xfId="0" applyFont="1" applyBorder="1" applyAlignment="1">
      <alignment horizontal="center" vertical="center"/>
    </xf>
    <xf numFmtId="0" fontId="29" fillId="0" borderId="2" xfId="0" applyFont="1" applyBorder="1" applyAlignment="1">
      <alignment horizontal="left" vertical="center"/>
    </xf>
    <xf numFmtId="0" fontId="29" fillId="0" borderId="3" xfId="0" applyFont="1" applyBorder="1" applyAlignment="1">
      <alignment horizontal="left" vertical="center"/>
    </xf>
    <xf numFmtId="14" fontId="8" fillId="0" borderId="3" xfId="0" applyNumberFormat="1" applyFont="1" applyBorder="1" applyAlignment="1">
      <alignment horizontal="left" vertical="center"/>
    </xf>
    <xf numFmtId="14" fontId="8" fillId="0" borderId="4" xfId="0" applyNumberFormat="1" applyFont="1" applyBorder="1" applyAlignment="1">
      <alignment horizontal="left" vertical="center"/>
    </xf>
    <xf numFmtId="2" fontId="11" fillId="0" borderId="24" xfId="0" applyNumberFormat="1"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9" fillId="0" borderId="11" xfId="0" applyFont="1" applyBorder="1" applyAlignment="1">
      <alignment horizontal="left" vertical="top" wrapText="1"/>
    </xf>
    <xf numFmtId="0" fontId="19" fillId="0" borderId="0" xfId="0" applyFont="1" applyBorder="1" applyAlignment="1">
      <alignment horizontal="left" vertical="top" wrapText="1"/>
    </xf>
    <xf numFmtId="0" fontId="19" fillId="0" borderId="12" xfId="0" applyFont="1" applyBorder="1" applyAlignment="1">
      <alignment horizontal="left" vertical="top" wrapText="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64" fontId="0" fillId="0" borderId="25" xfId="0" applyNumberFormat="1" applyBorder="1" applyAlignment="1">
      <alignment horizontal="center"/>
    </xf>
    <xf numFmtId="164" fontId="0" fillId="0" borderId="24" xfId="0" applyNumberFormat="1" applyBorder="1" applyAlignment="1">
      <alignment horizontal="center"/>
    </xf>
    <xf numFmtId="164" fontId="0" fillId="0" borderId="23" xfId="0" applyNumberFormat="1" applyBorder="1" applyAlignment="1">
      <alignment horizontal="center"/>
    </xf>
    <xf numFmtId="0" fontId="30" fillId="0" borderId="24" xfId="0" applyFont="1" applyBorder="1" applyAlignment="1">
      <alignment horizontal="center" vertical="center"/>
    </xf>
    <xf numFmtId="0" fontId="30" fillId="0" borderId="23" xfId="0" applyFont="1"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3" borderId="0" xfId="0" applyFill="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12" xfId="0" applyBorder="1" applyAlignment="1">
      <alignment horizontal="left" vertical="center"/>
    </xf>
    <xf numFmtId="2" fontId="0" fillId="0" borderId="24" xfId="0" applyNumberFormat="1" applyBorder="1" applyAlignment="1">
      <alignment horizontal="center" vertical="center"/>
    </xf>
    <xf numFmtId="170" fontId="0" fillId="0" borderId="24" xfId="0" applyNumberFormat="1" applyBorder="1" applyAlignment="1">
      <alignment horizontal="center" vertical="center"/>
    </xf>
    <xf numFmtId="0" fontId="19" fillId="0" borderId="9" xfId="0" applyFont="1" applyBorder="1" applyAlignment="1">
      <alignment horizontal="center" vertical="center"/>
    </xf>
    <xf numFmtId="168" fontId="0" fillId="0" borderId="24" xfId="0" applyNumberFormat="1" applyBorder="1" applyAlignment="1">
      <alignment horizontal="center" vertical="center"/>
    </xf>
    <xf numFmtId="168" fontId="0" fillId="0" borderId="23" xfId="0" applyNumberFormat="1" applyBorder="1" applyAlignment="1">
      <alignment horizontal="center" vertical="center"/>
    </xf>
    <xf numFmtId="0" fontId="0" fillId="0" borderId="11" xfId="0" applyBorder="1" applyAlignment="1">
      <alignment horizontal="left" vertical="center"/>
    </xf>
    <xf numFmtId="0" fontId="0" fillId="0" borderId="2" xfId="0" applyBorder="1" applyAlignment="1">
      <alignment horizontal="left"/>
    </xf>
    <xf numFmtId="0" fontId="0" fillId="0" borderId="3" xfId="0" applyBorder="1" applyAlignment="1">
      <alignment horizontal="left"/>
    </xf>
    <xf numFmtId="0" fontId="30" fillId="0" borderId="11" xfId="0" applyFont="1" applyBorder="1" applyAlignment="1">
      <alignment horizontal="left" vertical="center"/>
    </xf>
    <xf numFmtId="0" fontId="30" fillId="0" borderId="0" xfId="0" applyFont="1" applyBorder="1" applyAlignment="1">
      <alignment horizontal="left" vertical="center"/>
    </xf>
    <xf numFmtId="0" fontId="0" fillId="0" borderId="11" xfId="0" applyBorder="1" applyAlignment="1">
      <alignment horizontal="left"/>
    </xf>
    <xf numFmtId="0" fontId="0" fillId="0" borderId="0" xfId="0" applyBorder="1" applyAlignment="1">
      <alignment horizontal="center"/>
    </xf>
    <xf numFmtId="0" fontId="0" fillId="0" borderId="12" xfId="0" applyBorder="1" applyAlignment="1">
      <alignment horizontal="center"/>
    </xf>
    <xf numFmtId="0" fontId="0" fillId="0" borderId="24" xfId="0" applyNumberFormat="1" applyBorder="1" applyAlignment="1">
      <alignment horizontal="center" vertical="center"/>
    </xf>
    <xf numFmtId="0" fontId="29" fillId="0" borderId="0" xfId="0" applyFont="1" applyBorder="1" applyAlignment="1">
      <alignment horizontal="left" vertical="center"/>
    </xf>
    <xf numFmtId="49" fontId="0" fillId="0" borderId="24" xfId="0" applyNumberFormat="1" applyBorder="1" applyAlignment="1">
      <alignment horizontal="center" vertical="center"/>
    </xf>
    <xf numFmtId="49" fontId="0" fillId="0" borderId="23" xfId="0" applyNumberFormat="1" applyBorder="1" applyAlignment="1">
      <alignment horizontal="center" vertical="center"/>
    </xf>
    <xf numFmtId="0" fontId="30" fillId="0" borderId="24" xfId="0" applyNumberFormat="1" applyFont="1" applyBorder="1" applyAlignment="1">
      <alignment horizontal="center" vertical="center"/>
    </xf>
    <xf numFmtId="2" fontId="0" fillId="0" borderId="23" xfId="0" applyNumberFormat="1" applyBorder="1" applyAlignment="1">
      <alignment horizontal="center" vertical="center"/>
    </xf>
    <xf numFmtId="0" fontId="38" fillId="0" borderId="11" xfId="0" applyFont="1" applyBorder="1" applyAlignment="1">
      <alignment horizontal="center" vertical="center" wrapText="1"/>
    </xf>
    <xf numFmtId="0" fontId="38" fillId="0" borderId="0" xfId="0" applyFont="1" applyBorder="1" applyAlignment="1">
      <alignment horizontal="center" vertical="center" wrapText="1"/>
    </xf>
    <xf numFmtId="0" fontId="38" fillId="0" borderId="12" xfId="0" applyFont="1" applyBorder="1" applyAlignment="1">
      <alignment horizontal="center" vertical="center" wrapText="1"/>
    </xf>
    <xf numFmtId="0" fontId="16" fillId="0" borderId="11" xfId="0" applyFont="1" applyBorder="1" applyAlignment="1">
      <alignment horizontal="center" vertical="center"/>
    </xf>
    <xf numFmtId="0" fontId="16" fillId="0" borderId="0" xfId="0" applyFont="1" applyBorder="1" applyAlignment="1">
      <alignment horizontal="center" vertical="center"/>
    </xf>
    <xf numFmtId="0" fontId="16" fillId="0" borderId="0" xfId="0" applyFont="1" applyBorder="1" applyAlignment="1">
      <alignment horizontal="left" vertical="center" wrapText="1"/>
    </xf>
    <xf numFmtId="0" fontId="16" fillId="0" borderId="12" xfId="0" applyFont="1" applyBorder="1" applyAlignment="1">
      <alignment horizontal="left" vertical="center"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0" xfId="0" applyFont="1" applyBorder="1" applyAlignment="1">
      <alignment horizontal="center" vertical="center" wrapText="1"/>
    </xf>
    <xf numFmtId="0" fontId="5" fillId="0" borderId="0" xfId="0" applyFont="1" applyBorder="1" applyAlignment="1">
      <alignment horizontal="left" vertical="center"/>
    </xf>
    <xf numFmtId="0" fontId="9" fillId="0" borderId="0" xfId="0" applyFont="1" applyBorder="1" applyAlignment="1">
      <alignment horizontal="left" vertical="center"/>
    </xf>
    <xf numFmtId="0" fontId="9" fillId="0" borderId="12" xfId="0" applyFont="1" applyBorder="1" applyAlignment="1">
      <alignment horizontal="left" vertical="center"/>
    </xf>
    <xf numFmtId="0" fontId="6" fillId="0" borderId="6" xfId="0" applyNumberFormat="1" applyFont="1" applyBorder="1" applyAlignment="1">
      <alignment horizontal="left" vertical="center"/>
    </xf>
    <xf numFmtId="0" fontId="9" fillId="0" borderId="6" xfId="0" applyNumberFormat="1" applyFont="1" applyBorder="1" applyAlignment="1">
      <alignment horizontal="left" vertical="center"/>
    </xf>
    <xf numFmtId="0" fontId="9" fillId="0" borderId="7" xfId="0" applyNumberFormat="1" applyFont="1" applyBorder="1" applyAlignment="1">
      <alignment horizontal="left" vertical="center"/>
    </xf>
    <xf numFmtId="0" fontId="29" fillId="0" borderId="11" xfId="0" applyFont="1" applyBorder="1" applyAlignment="1">
      <alignment horizontal="left" vertical="center"/>
    </xf>
    <xf numFmtId="14" fontId="8" fillId="0" borderId="0" xfId="0" applyNumberFormat="1" applyFont="1" applyBorder="1" applyAlignment="1">
      <alignment horizontal="left" vertical="center"/>
    </xf>
    <xf numFmtId="0" fontId="8" fillId="0" borderId="0" xfId="0" applyNumberFormat="1" applyFont="1" applyBorder="1" applyAlignment="1">
      <alignment horizontal="left" vertical="center"/>
    </xf>
    <xf numFmtId="0" fontId="8" fillId="0" borderId="12" xfId="0" applyNumberFormat="1" applyFont="1" applyBorder="1" applyAlignment="1">
      <alignment horizontal="left" vertical="center"/>
    </xf>
    <xf numFmtId="0" fontId="0" fillId="0" borderId="27" xfId="0" applyBorder="1" applyAlignment="1">
      <alignment horizontal="right"/>
    </xf>
    <xf numFmtId="2" fontId="28" fillId="0" borderId="24" xfId="0" applyNumberFormat="1" applyFont="1" applyBorder="1" applyAlignment="1">
      <alignment horizontal="center" vertical="center"/>
    </xf>
    <xf numFmtId="0" fontId="9" fillId="0" borderId="0" xfId="0" applyNumberFormat="1" applyFont="1" applyBorder="1" applyAlignment="1">
      <alignment horizontal="left" vertical="center"/>
    </xf>
    <xf numFmtId="0" fontId="9" fillId="0" borderId="12" xfId="0" applyNumberFormat="1" applyFont="1" applyBorder="1" applyAlignment="1">
      <alignment horizontal="left" vertical="center"/>
    </xf>
    <xf numFmtId="0" fontId="29" fillId="0" borderId="5" xfId="0" applyFont="1" applyBorder="1" applyAlignment="1">
      <alignment horizontal="left" vertical="center"/>
    </xf>
    <xf numFmtId="0" fontId="29" fillId="0" borderId="6" xfId="0" applyFont="1" applyBorder="1" applyAlignment="1">
      <alignment horizontal="left" vertical="center"/>
    </xf>
    <xf numFmtId="0" fontId="17" fillId="0" borderId="8" xfId="0" applyFont="1" applyBorder="1" applyAlignment="1">
      <alignment horizontal="right" vertical="center"/>
    </xf>
    <xf numFmtId="0" fontId="17" fillId="0" borderId="9" xfId="0" applyFont="1" applyBorder="1" applyAlignment="1">
      <alignment horizontal="right" vertical="center"/>
    </xf>
    <xf numFmtId="169" fontId="17" fillId="0" borderId="9" xfId="0" applyNumberFormat="1" applyFont="1" applyBorder="1" applyAlignment="1">
      <alignment horizontal="left" vertical="center"/>
    </xf>
    <xf numFmtId="169" fontId="17" fillId="0" borderId="10" xfId="0" applyNumberFormat="1" applyFont="1" applyBorder="1" applyAlignment="1">
      <alignment horizontal="left" vertical="center"/>
    </xf>
    <xf numFmtId="0" fontId="0" fillId="0" borderId="8" xfId="0" applyBorder="1" applyAlignment="1">
      <alignment horizontal="right" vertical="center"/>
    </xf>
    <xf numFmtId="0" fontId="0" fillId="0" borderId="10" xfId="0" applyBorder="1" applyAlignment="1">
      <alignment horizontal="righ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8" xfId="0" applyNumberFormat="1" applyBorder="1" applyAlignment="1">
      <alignment horizontal="center" vertical="center"/>
    </xf>
    <xf numFmtId="0" fontId="0" fillId="0" borderId="9" xfId="0" applyNumberFormat="1" applyBorder="1" applyAlignment="1">
      <alignment horizontal="center" vertical="center"/>
    </xf>
    <xf numFmtId="0" fontId="0" fillId="0" borderId="10" xfId="0" applyNumberForma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3" xfId="0" applyNumberFormat="1" applyFont="1" applyBorder="1" applyAlignment="1">
      <alignment horizontal="left" vertical="center" wrapText="1" shrinkToFit="1"/>
    </xf>
    <xf numFmtId="0" fontId="16" fillId="0" borderId="4" xfId="0" applyNumberFormat="1" applyFont="1" applyBorder="1" applyAlignment="1">
      <alignment horizontal="left" vertical="center" wrapText="1" shrinkToFit="1"/>
    </xf>
    <xf numFmtId="0" fontId="16" fillId="0" borderId="6" xfId="0" applyFont="1" applyBorder="1" applyAlignment="1">
      <alignment horizontal="left" vertical="center" wrapText="1"/>
    </xf>
    <xf numFmtId="0" fontId="16" fillId="0" borderId="7" xfId="0" applyFont="1" applyBorder="1" applyAlignment="1">
      <alignment horizontal="left" vertical="center" wrapText="1"/>
    </xf>
    <xf numFmtId="49" fontId="0" fillId="0" borderId="8" xfId="0" applyNumberFormat="1" applyBorder="1" applyAlignment="1">
      <alignment horizontal="center" vertical="center"/>
    </xf>
    <xf numFmtId="49" fontId="0" fillId="0" borderId="10" xfId="0" applyNumberFormat="1" applyBorder="1" applyAlignment="1">
      <alignment horizontal="center" vertical="center"/>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8" fillId="0" borderId="8" xfId="0" applyFont="1" applyBorder="1" applyAlignment="1">
      <alignment horizontal="left" vertical="center"/>
    </xf>
    <xf numFmtId="0" fontId="18" fillId="0" borderId="9" xfId="0" applyFont="1" applyBorder="1" applyAlignment="1">
      <alignment horizontal="left" vertical="center"/>
    </xf>
    <xf numFmtId="0" fontId="18" fillId="0" borderId="10" xfId="0" applyFont="1" applyBorder="1" applyAlignment="1">
      <alignment horizontal="left" vertical="center"/>
    </xf>
    <xf numFmtId="0" fontId="14" fillId="0" borderId="11" xfId="0" applyFont="1" applyBorder="1" applyAlignment="1">
      <alignment horizontal="left" vertical="center"/>
    </xf>
    <xf numFmtId="0" fontId="14" fillId="0" borderId="0" xfId="0" applyFont="1" applyBorder="1" applyAlignment="1">
      <alignment horizontal="left"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70" fontId="0" fillId="0" borderId="8" xfId="0" applyNumberFormat="1" applyBorder="1" applyAlignment="1">
      <alignment horizontal="center" vertical="center"/>
    </xf>
    <xf numFmtId="170" fontId="0" fillId="0" borderId="10" xfId="0" applyNumberFormat="1" applyBorder="1" applyAlignment="1">
      <alignment horizontal="center" vertical="center"/>
    </xf>
    <xf numFmtId="164" fontId="0" fillId="0" borderId="10" xfId="0" applyNumberFormat="1" applyBorder="1" applyAlignment="1">
      <alignment horizontal="center" vertical="center"/>
    </xf>
    <xf numFmtId="171" fontId="0" fillId="0" borderId="1" xfId="0" applyNumberFormat="1" applyBorder="1" applyAlignment="1">
      <alignment horizontal="center" vertical="center"/>
    </xf>
    <xf numFmtId="0" fontId="13" fillId="0" borderId="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6" fillId="0" borderId="3" xfId="0" applyFont="1" applyBorder="1" applyAlignment="1">
      <alignment horizontal="left" vertical="top" wrapText="1"/>
    </xf>
    <xf numFmtId="0" fontId="16" fillId="0" borderId="4" xfId="0" applyFont="1" applyBorder="1" applyAlignment="1">
      <alignment horizontal="left" vertical="top" wrapText="1"/>
    </xf>
    <xf numFmtId="0" fontId="16" fillId="0" borderId="0" xfId="0" applyFont="1" applyBorder="1" applyAlignment="1">
      <alignment horizontal="left" vertical="top" wrapText="1"/>
    </xf>
    <xf numFmtId="0" fontId="16" fillId="0" borderId="12" xfId="0" applyFont="1" applyBorder="1" applyAlignment="1">
      <alignment horizontal="left" vertical="top" wrapText="1"/>
    </xf>
    <xf numFmtId="0" fontId="18" fillId="0" borderId="3" xfId="0" applyNumberFormat="1" applyFont="1" applyBorder="1" applyAlignment="1">
      <alignment horizontal="left" vertical="center" wrapText="1"/>
    </xf>
    <xf numFmtId="0" fontId="18" fillId="0" borderId="4" xfId="0" applyNumberFormat="1"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14" fontId="18" fillId="0" borderId="3" xfId="0" applyNumberFormat="1" applyFont="1" applyBorder="1" applyAlignment="1">
      <alignment horizontal="left" vertical="center" wrapText="1"/>
    </xf>
    <xf numFmtId="0" fontId="18" fillId="0" borderId="4" xfId="0" applyFont="1" applyBorder="1" applyAlignment="1">
      <alignment horizontal="left" vertical="center"/>
    </xf>
    <xf numFmtId="0" fontId="17" fillId="0" borderId="1" xfId="0" applyFont="1" applyBorder="1" applyAlignment="1">
      <alignment horizontal="left" vertical="center"/>
    </xf>
    <xf numFmtId="0" fontId="0" fillId="0" borderId="1" xfId="0" applyBorder="1" applyAlignment="1">
      <alignment horizontal="right" vertical="center"/>
    </xf>
    <xf numFmtId="0" fontId="0" fillId="0" borderId="1" xfId="0" applyBorder="1" applyAlignment="1">
      <alignment horizontal="left" vertical="center"/>
    </xf>
    <xf numFmtId="49" fontId="0" fillId="0" borderId="1" xfId="0" applyNumberFormat="1" applyBorder="1" applyAlignment="1">
      <alignment horizontal="center" vertical="center"/>
    </xf>
    <xf numFmtId="0" fontId="18" fillId="0" borderId="1" xfId="0" applyFont="1" applyBorder="1" applyAlignment="1">
      <alignment horizontal="left" vertical="center"/>
    </xf>
    <xf numFmtId="165" fontId="0" fillId="0" borderId="0" xfId="0" applyNumberFormat="1" applyBorder="1" applyAlignment="1">
      <alignment horizontal="left" vertical="center"/>
    </xf>
    <xf numFmtId="165" fontId="0" fillId="0" borderId="1" xfId="0" applyNumberFormat="1" applyBorder="1" applyAlignment="1">
      <alignment horizontal="center" vertical="center"/>
    </xf>
    <xf numFmtId="168" fontId="0" fillId="0" borderId="1" xfId="0" applyNumberFormat="1" applyBorder="1" applyAlignment="1">
      <alignment horizontal="center" vertical="center"/>
    </xf>
    <xf numFmtId="0" fontId="26" fillId="0" borderId="3" xfId="0" applyFont="1" applyBorder="1" applyAlignment="1">
      <alignment horizontal="left" vertical="top" wrapText="1"/>
    </xf>
    <xf numFmtId="0" fontId="26" fillId="0" borderId="4" xfId="0" applyFont="1" applyBorder="1" applyAlignment="1">
      <alignment horizontal="left" vertical="top" wrapText="1"/>
    </xf>
    <xf numFmtId="0" fontId="26" fillId="0" borderId="0" xfId="0" applyFont="1" applyBorder="1" applyAlignment="1">
      <alignment horizontal="left" vertical="top" wrapText="1"/>
    </xf>
    <xf numFmtId="0" fontId="26" fillId="0" borderId="12" xfId="0" applyFont="1" applyBorder="1" applyAlignment="1">
      <alignment horizontal="left" vertical="top" wrapText="1"/>
    </xf>
    <xf numFmtId="0" fontId="18" fillId="0" borderId="9" xfId="0" applyNumberFormat="1" applyFont="1" applyBorder="1" applyAlignment="1">
      <alignment horizontal="left" vertical="center" wrapText="1"/>
    </xf>
    <xf numFmtId="0" fontId="18" fillId="0" borderId="10" xfId="0" applyNumberFormat="1" applyFont="1" applyBorder="1" applyAlignment="1">
      <alignment horizontal="left" vertical="center" wrapText="1"/>
    </xf>
    <xf numFmtId="0" fontId="19" fillId="0" borderId="8" xfId="0" applyFont="1" applyBorder="1" applyAlignment="1">
      <alignment horizontal="center" vertical="center"/>
    </xf>
    <xf numFmtId="0" fontId="19" fillId="0" borderId="10" xfId="0" applyFont="1" applyBorder="1" applyAlignment="1">
      <alignment horizontal="center" vertical="center"/>
    </xf>
    <xf numFmtId="0" fontId="14" fillId="0" borderId="33" xfId="0" applyFont="1" applyBorder="1" applyAlignment="1">
      <alignment horizontal="center" vertical="center"/>
    </xf>
    <xf numFmtId="0" fontId="14" fillId="0" borderId="1" xfId="0" applyFont="1" applyBorder="1" applyAlignment="1">
      <alignment horizontal="center" vertical="center"/>
    </xf>
    <xf numFmtId="0" fontId="14" fillId="0" borderId="34" xfId="0" applyFont="1" applyBorder="1" applyAlignment="1">
      <alignment horizontal="center" vertical="center"/>
    </xf>
    <xf numFmtId="0" fontId="14" fillId="2" borderId="1" xfId="1" applyFont="1" applyBorder="1" applyAlignment="1">
      <alignment horizontal="center" vertical="center"/>
    </xf>
    <xf numFmtId="164" fontId="0" fillId="0" borderId="0" xfId="0" applyNumberFormat="1" applyBorder="1" applyAlignment="1">
      <alignment horizontal="center" vertical="center"/>
    </xf>
    <xf numFmtId="0" fontId="19" fillId="0" borderId="1" xfId="0" applyFont="1" applyBorder="1" applyAlignment="1">
      <alignment horizontal="center" vertical="center"/>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36" fillId="0" borderId="11" xfId="0" applyFont="1" applyBorder="1" applyAlignment="1">
      <alignment horizontal="left" vertical="top" wrapText="1"/>
    </xf>
    <xf numFmtId="0" fontId="36" fillId="0" borderId="0" xfId="0" applyFont="1" applyBorder="1" applyAlignment="1">
      <alignment horizontal="left" vertical="top" wrapText="1"/>
    </xf>
    <xf numFmtId="0" fontId="36" fillId="0" borderId="12" xfId="0" applyFont="1" applyBorder="1" applyAlignment="1">
      <alignment horizontal="left" vertical="top" wrapText="1"/>
    </xf>
    <xf numFmtId="0" fontId="36" fillId="0" borderId="5" xfId="0" applyFont="1" applyBorder="1" applyAlignment="1">
      <alignment horizontal="left" vertical="top" wrapText="1"/>
    </xf>
    <xf numFmtId="0" fontId="36" fillId="0" borderId="6" xfId="0" applyFont="1" applyBorder="1" applyAlignment="1">
      <alignment horizontal="left" vertical="top" wrapText="1"/>
    </xf>
    <xf numFmtId="0" fontId="36" fillId="0" borderId="7" xfId="0"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5" fontId="0" fillId="0" borderId="0" xfId="0" applyNumberFormat="1" applyBorder="1" applyAlignment="1">
      <alignment horizontal="center" vertical="center"/>
    </xf>
    <xf numFmtId="164" fontId="24" fillId="0" borderId="8" xfId="0" applyNumberFormat="1" applyFont="1" applyBorder="1" applyAlignment="1">
      <alignment horizontal="center" vertical="center"/>
    </xf>
    <xf numFmtId="164" fontId="24" fillId="0" borderId="9" xfId="0" applyNumberFormat="1" applyFont="1" applyBorder="1" applyAlignment="1">
      <alignment horizontal="center" vertical="center"/>
    </xf>
    <xf numFmtId="164" fontId="24" fillId="0" borderId="10" xfId="0" applyNumberFormat="1" applyFont="1" applyBorder="1" applyAlignment="1">
      <alignment horizontal="center" vertical="center"/>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1" fontId="0" fillId="0" borderId="0" xfId="0" applyNumberFormat="1" applyBorder="1" applyAlignment="1">
      <alignment horizontal="right" vertical="center"/>
    </xf>
    <xf numFmtId="166" fontId="0" fillId="0" borderId="0" xfId="0" applyNumberFormat="1" applyBorder="1" applyAlignment="1">
      <alignment horizontal="left" vertical="center"/>
    </xf>
    <xf numFmtId="166" fontId="0" fillId="0" borderId="12" xfId="0" applyNumberFormat="1" applyBorder="1" applyAlignment="1">
      <alignment horizontal="left" vertical="center"/>
    </xf>
    <xf numFmtId="2" fontId="0" fillId="0" borderId="0" xfId="0" applyNumberFormat="1" applyBorder="1" applyAlignment="1">
      <alignment horizontal="right" vertical="center"/>
    </xf>
    <xf numFmtId="164" fontId="0" fillId="0" borderId="0" xfId="0" applyNumberFormat="1" applyBorder="1" applyAlignment="1">
      <alignment horizontal="right" vertical="center"/>
    </xf>
    <xf numFmtId="0" fontId="17" fillId="0" borderId="11" xfId="0" applyFont="1" applyBorder="1" applyAlignment="1">
      <alignment horizontal="left" vertical="center"/>
    </xf>
    <xf numFmtId="0" fontId="17" fillId="0" borderId="0" xfId="0" applyFont="1" applyBorder="1" applyAlignment="1">
      <alignment horizontal="left" vertical="center"/>
    </xf>
    <xf numFmtId="0" fontId="17" fillId="0" borderId="12" xfId="0" applyFont="1" applyBorder="1" applyAlignment="1">
      <alignment horizontal="left" vertical="center"/>
    </xf>
    <xf numFmtId="0" fontId="22" fillId="0" borderId="8" xfId="0" applyFont="1" applyBorder="1" applyAlignment="1">
      <alignment horizontal="center" vertical="center"/>
    </xf>
    <xf numFmtId="167" fontId="0" fillId="0" borderId="1" xfId="0" applyNumberFormat="1" applyBorder="1" applyAlignment="1">
      <alignment horizontal="center" vertical="center"/>
    </xf>
    <xf numFmtId="0" fontId="0" fillId="0" borderId="0" xfId="0" applyAlignment="1">
      <alignment horizontal="left" vertical="center"/>
    </xf>
    <xf numFmtId="0" fontId="16" fillId="0" borderId="0" xfId="0" applyFont="1" applyBorder="1" applyAlignment="1">
      <alignment horizontal="left" vertical="center"/>
    </xf>
    <xf numFmtId="0" fontId="16" fillId="0" borderId="12" xfId="0" applyFont="1" applyBorder="1" applyAlignment="1">
      <alignment horizontal="left" vertical="center"/>
    </xf>
    <xf numFmtId="164" fontId="19" fillId="0" borderId="8" xfId="0" applyNumberFormat="1" applyFont="1" applyBorder="1" applyAlignment="1">
      <alignment horizontal="center" vertical="center"/>
    </xf>
    <xf numFmtId="164" fontId="19" fillId="0" borderId="10" xfId="0" applyNumberFormat="1" applyFont="1" applyBorder="1" applyAlignment="1">
      <alignment horizontal="center" vertical="center"/>
    </xf>
    <xf numFmtId="166" fontId="0" fillId="0" borderId="1" xfId="0" applyNumberFormat="1" applyBorder="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0" fontId="0" fillId="0" borderId="6" xfId="0" applyFont="1" applyBorder="1" applyAlignment="1">
      <alignment horizontal="left" vertical="center"/>
    </xf>
    <xf numFmtId="0" fontId="0" fillId="0" borderId="7" xfId="0" applyFont="1" applyBorder="1" applyAlignment="1">
      <alignment horizontal="left" vertical="center"/>
    </xf>
    <xf numFmtId="0" fontId="18" fillId="0" borderId="3" xfId="0" applyNumberFormat="1" applyFont="1" applyBorder="1" applyAlignment="1">
      <alignment horizontal="left" vertical="center"/>
    </xf>
    <xf numFmtId="0" fontId="18" fillId="0" borderId="4" xfId="0" applyNumberFormat="1" applyFont="1" applyBorder="1" applyAlignment="1">
      <alignment horizontal="left" vertical="center"/>
    </xf>
    <xf numFmtId="2" fontId="0" fillId="0" borderId="8" xfId="0" applyNumberFormat="1" applyBorder="1" applyAlignment="1">
      <alignment horizontal="left" vertical="center"/>
    </xf>
    <xf numFmtId="2" fontId="0" fillId="0" borderId="10" xfId="0" applyNumberFormat="1" applyBorder="1" applyAlignment="1">
      <alignment horizontal="left" vertical="center"/>
    </xf>
    <xf numFmtId="2" fontId="12" fillId="0" borderId="8" xfId="0" applyNumberFormat="1" applyFont="1" applyBorder="1" applyAlignment="1">
      <alignment horizontal="center" vertical="center"/>
    </xf>
    <xf numFmtId="2" fontId="12" fillId="0" borderId="9" xfId="0" applyNumberFormat="1" applyFont="1" applyBorder="1" applyAlignment="1">
      <alignment horizontal="center" vertical="center"/>
    </xf>
    <xf numFmtId="2" fontId="0" fillId="0" borderId="10" xfId="0" applyNumberFormat="1" applyBorder="1" applyAlignment="1">
      <alignment horizontal="center" vertical="center"/>
    </xf>
    <xf numFmtId="2" fontId="25" fillId="0" borderId="8" xfId="0" applyNumberFormat="1" applyFont="1" applyBorder="1" applyAlignment="1">
      <alignment horizontal="center" vertical="center"/>
    </xf>
    <xf numFmtId="164" fontId="0" fillId="0" borderId="9" xfId="0" applyNumberFormat="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29" fillId="0" borderId="11" xfId="0" applyFont="1" applyBorder="1" applyAlignment="1">
      <alignment horizontal="left" vertical="top" wrapText="1"/>
    </xf>
    <xf numFmtId="0" fontId="30" fillId="0" borderId="0" xfId="0" applyFont="1" applyBorder="1" applyAlignment="1">
      <alignment horizontal="left" vertical="top" wrapText="1"/>
    </xf>
    <xf numFmtId="0" fontId="30" fillId="0" borderId="12" xfId="0" applyFont="1" applyBorder="1" applyAlignment="1">
      <alignment horizontal="left" vertical="top" wrapText="1"/>
    </xf>
    <xf numFmtId="0" fontId="30" fillId="0" borderId="11" xfId="0" applyFont="1" applyBorder="1" applyAlignment="1">
      <alignment horizontal="left" vertical="top" wrapText="1"/>
    </xf>
    <xf numFmtId="0" fontId="4" fillId="0" borderId="1" xfId="0" applyFont="1" applyBorder="1" applyAlignment="1">
      <alignment horizontal="left" vertical="top" wrapText="1"/>
    </xf>
    <xf numFmtId="0" fontId="10" fillId="0" borderId="1" xfId="0" applyFont="1" applyBorder="1" applyAlignment="1">
      <alignment horizontal="left" vertical="top" wrapText="1"/>
    </xf>
    <xf numFmtId="0" fontId="21" fillId="0" borderId="1" xfId="0" applyFont="1" applyBorder="1" applyAlignment="1">
      <alignment horizontal="center" vertical="center"/>
    </xf>
    <xf numFmtId="0" fontId="0" fillId="0" borderId="1" xfId="0" applyBorder="1" applyAlignment="1">
      <alignment horizontal="center"/>
    </xf>
    <xf numFmtId="0" fontId="16" fillId="0" borderId="1" xfId="0" applyFont="1" applyBorder="1" applyAlignment="1">
      <alignment horizontal="center" vertical="top" wrapText="1"/>
    </xf>
    <xf numFmtId="0" fontId="41" fillId="7" borderId="1" xfId="0" applyFont="1" applyFill="1" applyBorder="1" applyAlignment="1">
      <alignment horizontal="center" vertical="center" textRotation="90"/>
    </xf>
    <xf numFmtId="0" fontId="39" fillId="5" borderId="8" xfId="0" applyFont="1" applyFill="1" applyBorder="1" applyAlignment="1">
      <alignment horizontal="center" vertical="center"/>
    </xf>
    <xf numFmtId="0" fontId="39" fillId="5" borderId="9" xfId="0" applyFont="1" applyFill="1" applyBorder="1" applyAlignment="1">
      <alignment horizontal="center" vertical="center"/>
    </xf>
    <xf numFmtId="0" fontId="39" fillId="5" borderId="10" xfId="0" applyFont="1" applyFill="1" applyBorder="1" applyAlignment="1">
      <alignment horizontal="center" vertical="center"/>
    </xf>
    <xf numFmtId="0" fontId="40" fillId="6" borderId="1" xfId="0" applyFont="1" applyFill="1" applyBorder="1" applyAlignment="1">
      <alignment horizontal="center" vertical="center" textRotation="90"/>
    </xf>
    <xf numFmtId="0" fontId="2" fillId="0" borderId="6" xfId="0" applyNumberFormat="1" applyFont="1" applyBorder="1" applyAlignment="1">
      <alignment horizontal="left" vertical="center"/>
    </xf>
    <xf numFmtId="0" fontId="6" fillId="0" borderId="7" xfId="0" applyNumberFormat="1" applyFont="1" applyBorder="1" applyAlignment="1">
      <alignment horizontal="left" vertical="center"/>
    </xf>
    <xf numFmtId="0" fontId="3" fillId="0" borderId="0" xfId="0" applyFont="1" applyBorder="1" applyAlignment="1">
      <alignment horizontal="left" vertical="center"/>
    </xf>
    <xf numFmtId="0" fontId="5" fillId="0" borderId="12" xfId="0" applyFont="1" applyBorder="1" applyAlignment="1">
      <alignment horizontal="left" vertical="center"/>
    </xf>
    <xf numFmtId="0" fontId="27" fillId="2" borderId="8" xfId="1" applyBorder="1" applyAlignment="1">
      <alignment horizontal="center"/>
    </xf>
    <xf numFmtId="0" fontId="27" fillId="2" borderId="9" xfId="1" applyBorder="1" applyAlignment="1">
      <alignment horizontal="center"/>
    </xf>
    <xf numFmtId="0" fontId="27" fillId="2" borderId="10" xfId="1" applyBorder="1" applyAlignment="1">
      <alignment horizontal="center"/>
    </xf>
    <xf numFmtId="0" fontId="16" fillId="0" borderId="27" xfId="0" applyFont="1" applyBorder="1" applyAlignment="1">
      <alignment horizontal="left" vertical="center"/>
    </xf>
    <xf numFmtId="0" fontId="16" fillId="0" borderId="26" xfId="0" applyFont="1" applyBorder="1" applyAlignment="1">
      <alignment horizontal="left" vertical="center"/>
    </xf>
    <xf numFmtId="0" fontId="0" fillId="0" borderId="25" xfId="0" applyBorder="1" applyAlignment="1">
      <alignment horizontal="left" vertical="center"/>
    </xf>
    <xf numFmtId="0" fontId="0" fillId="0" borderId="24" xfId="0" applyBorder="1" applyAlignment="1">
      <alignment horizontal="left" vertical="center"/>
    </xf>
    <xf numFmtId="0" fontId="0" fillId="0" borderId="23" xfId="0" applyBorder="1" applyAlignment="1">
      <alignment horizontal="left" vertical="center"/>
    </xf>
    <xf numFmtId="0" fontId="0" fillId="0" borderId="32"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14" fillId="0" borderId="5" xfId="0" applyFont="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2" fontId="0" fillId="0" borderId="8" xfId="0" applyNumberFormat="1" applyBorder="1" applyAlignment="1">
      <alignment horizontal="right"/>
    </xf>
    <xf numFmtId="2" fontId="0" fillId="0" borderId="9" xfId="0" applyNumberFormat="1" applyBorder="1" applyAlignment="1">
      <alignment horizontal="right"/>
    </xf>
    <xf numFmtId="0" fontId="0" fillId="0" borderId="8" xfId="0" applyBorder="1" applyAlignment="1">
      <alignment horizont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2" fontId="8" fillId="0" borderId="8" xfId="0" applyNumberFormat="1" applyFont="1" applyBorder="1" applyAlignment="1">
      <alignment horizontal="right" vertical="center"/>
    </xf>
    <xf numFmtId="2" fontId="8" fillId="0" borderId="9" xfId="0" applyNumberFormat="1" applyFont="1" applyBorder="1" applyAlignment="1">
      <alignment horizontal="right" vertical="center"/>
    </xf>
    <xf numFmtId="0" fontId="8" fillId="0" borderId="10" xfId="0" applyFont="1" applyBorder="1" applyAlignment="1">
      <alignment horizontal="center" vertical="center"/>
    </xf>
    <xf numFmtId="164" fontId="8" fillId="0" borderId="8" xfId="0" applyNumberFormat="1" applyFont="1" applyBorder="1" applyAlignment="1">
      <alignment horizontal="right"/>
    </xf>
    <xf numFmtId="164" fontId="8" fillId="0" borderId="9" xfId="0" applyNumberFormat="1" applyFont="1" applyBorder="1" applyAlignment="1">
      <alignment horizontal="right"/>
    </xf>
    <xf numFmtId="164" fontId="8" fillId="0" borderId="8" xfId="0" applyNumberFormat="1" applyFont="1" applyBorder="1" applyAlignment="1">
      <alignment horizontal="right" vertical="center"/>
    </xf>
    <xf numFmtId="164" fontId="8" fillId="0" borderId="9" xfId="0" applyNumberFormat="1" applyFont="1" applyBorder="1" applyAlignment="1">
      <alignment horizontal="right" vertical="center"/>
    </xf>
    <xf numFmtId="0" fontId="0" fillId="0" borderId="23" xfId="0" applyNumberFormat="1" applyBorder="1" applyAlignment="1">
      <alignment horizontal="center" vertical="center"/>
    </xf>
    <xf numFmtId="0" fontId="0" fillId="0" borderId="24" xfId="0" applyNumberFormat="1" applyFont="1" applyBorder="1" applyAlignment="1">
      <alignment horizontal="center" vertical="center"/>
    </xf>
    <xf numFmtId="0" fontId="16" fillId="0" borderId="24" xfId="0" applyFont="1" applyBorder="1" applyAlignment="1">
      <alignment horizontal="left" vertical="center" wrapText="1"/>
    </xf>
    <xf numFmtId="0" fontId="16" fillId="0" borderId="23" xfId="0" applyFont="1" applyBorder="1" applyAlignment="1">
      <alignment horizontal="left" vertical="center" wrapText="1"/>
    </xf>
    <xf numFmtId="0" fontId="8" fillId="0" borderId="24" xfId="0" applyFont="1" applyBorder="1" applyAlignment="1">
      <alignment horizontal="center" vertical="center"/>
    </xf>
    <xf numFmtId="0" fontId="8" fillId="0" borderId="31" xfId="0" applyFont="1" applyBorder="1" applyAlignment="1">
      <alignment horizontal="center" vertical="center"/>
    </xf>
    <xf numFmtId="2" fontId="0" fillId="0" borderId="0" xfId="0" applyNumberFormat="1" applyBorder="1" applyAlignment="1">
      <alignment horizontal="center" vertical="center"/>
    </xf>
    <xf numFmtId="0" fontId="0" fillId="0" borderId="0" xfId="0" applyFont="1" applyBorder="1" applyAlignment="1">
      <alignment horizontal="left"/>
    </xf>
    <xf numFmtId="0" fontId="0" fillId="0" borderId="12" xfId="0" applyFont="1" applyBorder="1" applyAlignment="1">
      <alignment horizontal="left"/>
    </xf>
    <xf numFmtId="166" fontId="0" fillId="0" borderId="8" xfId="0" applyNumberFormat="1" applyBorder="1" applyAlignment="1">
      <alignment horizontal="center" vertical="center"/>
    </xf>
    <xf numFmtId="166" fontId="0" fillId="0" borderId="10" xfId="0" applyNumberFormat="1" applyBorder="1" applyAlignment="1">
      <alignment horizontal="center" vertical="center"/>
    </xf>
    <xf numFmtId="2" fontId="14" fillId="0" borderId="8" xfId="0" applyNumberFormat="1" applyFont="1" applyBorder="1" applyAlignment="1">
      <alignment horizontal="center" vertical="center"/>
    </xf>
    <xf numFmtId="2" fontId="14" fillId="0" borderId="10" xfId="0" applyNumberFormat="1" applyFont="1" applyBorder="1" applyAlignment="1">
      <alignment horizontal="center" vertical="center"/>
    </xf>
    <xf numFmtId="0" fontId="16" fillId="0" borderId="2" xfId="0" applyFont="1" applyBorder="1" applyAlignment="1">
      <alignment horizontal="left" vertical="center" wrapText="1"/>
    </xf>
    <xf numFmtId="0" fontId="16" fillId="0" borderId="5" xfId="0" applyFont="1" applyBorder="1" applyAlignment="1">
      <alignment horizontal="left" vertical="center"/>
    </xf>
    <xf numFmtId="0" fontId="16" fillId="0" borderId="6" xfId="0" applyFont="1" applyBorder="1" applyAlignment="1">
      <alignment horizontal="left" vertical="center"/>
    </xf>
    <xf numFmtId="0" fontId="28" fillId="0" borderId="3" xfId="0" applyFont="1" applyBorder="1" applyAlignment="1">
      <alignment horizontal="left" vertical="top" wrapText="1"/>
    </xf>
    <xf numFmtId="0" fontId="28" fillId="0" borderId="4" xfId="0" applyFont="1" applyBorder="1" applyAlignment="1">
      <alignment horizontal="left" vertical="top" wrapText="1"/>
    </xf>
    <xf numFmtId="0" fontId="28" fillId="0" borderId="0" xfId="0" applyFont="1" applyBorder="1" applyAlignment="1">
      <alignment horizontal="left" vertical="top" wrapText="1"/>
    </xf>
    <xf numFmtId="0" fontId="28" fillId="0" borderId="12" xfId="0" applyFont="1" applyBorder="1" applyAlignment="1">
      <alignment horizontal="left" vertical="top" wrapText="1"/>
    </xf>
    <xf numFmtId="0" fontId="0" fillId="0" borderId="0" xfId="0" applyBorder="1" applyAlignment="1">
      <alignment horizontal="right" vertical="center"/>
    </xf>
    <xf numFmtId="0" fontId="25" fillId="0" borderId="0" xfId="0" applyFont="1" applyBorder="1" applyAlignment="1">
      <alignment horizontal="left" vertical="center"/>
    </xf>
    <xf numFmtId="0" fontId="25" fillId="0" borderId="12" xfId="0" applyFont="1" applyBorder="1" applyAlignment="1">
      <alignment horizontal="left" vertical="center"/>
    </xf>
    <xf numFmtId="165" fontId="0" fillId="0" borderId="0" xfId="0" applyNumberFormat="1" applyBorder="1" applyAlignment="1">
      <alignment horizontal="right" vertical="center"/>
    </xf>
    <xf numFmtId="0" fontId="18" fillId="0" borderId="10" xfId="0" applyFont="1" applyBorder="1" applyAlignment="1">
      <alignment horizontal="center" vertical="center"/>
    </xf>
    <xf numFmtId="0" fontId="8" fillId="0" borderId="0" xfId="0" applyFont="1" applyBorder="1" applyAlignment="1">
      <alignment horizontal="center" vertical="center"/>
    </xf>
    <xf numFmtId="0" fontId="45" fillId="0" borderId="11" xfId="0" applyFont="1" applyBorder="1" applyAlignment="1">
      <alignment horizontal="center"/>
    </xf>
    <xf numFmtId="0" fontId="45" fillId="0" borderId="0" xfId="0" applyFont="1" applyAlignment="1">
      <alignment horizontal="center"/>
    </xf>
    <xf numFmtId="0" fontId="45" fillId="0" borderId="12" xfId="0" applyFont="1" applyBorder="1" applyAlignment="1">
      <alignment horizontal="center"/>
    </xf>
    <xf numFmtId="0" fontId="16" fillId="0" borderId="2"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2" fontId="0" fillId="0" borderId="3" xfId="0" applyNumberFormat="1" applyBorder="1" applyAlignment="1">
      <alignment horizontal="right" vertical="center"/>
    </xf>
    <xf numFmtId="2" fontId="0" fillId="0" borderId="6" xfId="0" applyNumberFormat="1" applyBorder="1" applyAlignment="1">
      <alignment horizontal="right" vertical="center"/>
    </xf>
    <xf numFmtId="0" fontId="44" fillId="0" borderId="11" xfId="0" applyFont="1" applyBorder="1" applyAlignment="1">
      <alignment horizontal="center"/>
    </xf>
    <xf numFmtId="0" fontId="44" fillId="0" borderId="0" xfId="0" applyFont="1" applyBorder="1" applyAlignment="1">
      <alignment horizontal="center"/>
    </xf>
    <xf numFmtId="0" fontId="44" fillId="0" borderId="12" xfId="0" applyFont="1" applyBorder="1" applyAlignment="1">
      <alignment horizontal="center"/>
    </xf>
    <xf numFmtId="0" fontId="0" fillId="0" borderId="0" xfId="0"/>
    <xf numFmtId="0" fontId="14" fillId="0" borderId="8" xfId="0" applyFont="1"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2" fontId="14" fillId="0" borderId="9" xfId="0" applyNumberFormat="1"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2" fontId="0" fillId="0" borderId="2" xfId="0" applyNumberFormat="1" applyBorder="1" applyAlignment="1">
      <alignment horizontal="center" vertical="center"/>
    </xf>
    <xf numFmtId="0" fontId="8" fillId="0" borderId="24" xfId="0" applyNumberFormat="1" applyFont="1" applyBorder="1" applyAlignment="1">
      <alignment horizontal="center" vertical="center"/>
    </xf>
    <xf numFmtId="0" fontId="8" fillId="0" borderId="23" xfId="0" applyNumberFormat="1" applyFont="1" applyBorder="1" applyAlignment="1">
      <alignment horizontal="center" vertical="center"/>
    </xf>
    <xf numFmtId="0" fontId="0" fillId="0" borderId="6" xfId="0" applyFont="1" applyBorder="1" applyAlignment="1">
      <alignment horizontal="left"/>
    </xf>
    <xf numFmtId="0" fontId="0" fillId="0" borderId="7" xfId="0" applyFont="1" applyBorder="1" applyAlignment="1">
      <alignment horizontal="left"/>
    </xf>
    <xf numFmtId="0" fontId="17" fillId="0" borderId="0" xfId="0" applyFont="1" applyBorder="1" applyAlignment="1">
      <alignment horizontal="center" vertical="center"/>
    </xf>
    <xf numFmtId="0" fontId="17" fillId="0" borderId="12" xfId="0" applyFont="1" applyBorder="1" applyAlignment="1">
      <alignment horizontal="center" vertical="center"/>
    </xf>
    <xf numFmtId="0" fontId="0" fillId="0" borderId="0" xfId="0" applyBorder="1" applyAlignment="1">
      <alignment horizontal="center" vertical="center" wrapText="1"/>
    </xf>
    <xf numFmtId="0" fontId="0" fillId="0" borderId="12" xfId="0" applyBorder="1" applyAlignment="1">
      <alignment horizontal="center" vertical="center"/>
    </xf>
    <xf numFmtId="0" fontId="7" fillId="0" borderId="0" xfId="0" applyFont="1" applyBorder="1" applyAlignment="1">
      <alignment horizontal="center" vertical="center"/>
    </xf>
  </cellXfs>
  <cellStyles count="4">
    <cellStyle name="Çıkış" xfId="2" builtinId="21"/>
    <cellStyle name="İyi" xfId="1" builtinId="26"/>
    <cellStyle name="Köprü" xfId="3" builtinId="8"/>
    <cellStyle name="Normal" xfId="0" builtinId="0"/>
  </cellStyles>
  <dxfs count="29">
    <dxf>
      <fill>
        <patternFill>
          <bgColor rgb="FF92D050"/>
        </patternFill>
      </fill>
    </dxf>
    <dxf>
      <fill>
        <patternFill>
          <bgColor rgb="FFFF3B3B"/>
        </patternFill>
      </fill>
    </dxf>
    <dxf>
      <font>
        <b val="0"/>
        <i val="0"/>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mruColors>
      <color rgb="FFFFCC00"/>
      <color rgb="FFFF9900"/>
      <color rgb="FFFF2D2D"/>
      <color rgb="FF33CC33"/>
      <color rgb="FFFF2F2F"/>
      <color rgb="FFFF3B3B"/>
      <color rgb="FFFF4747"/>
      <color rgb="FFFF4B4B"/>
      <color rgb="FF57E779"/>
      <color rgb="FFBAE1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 SARGI DİRENCİ YÜZDE</a:t>
            </a:r>
            <a:r>
              <a:rPr lang="tr-TR" baseline="0"/>
              <a:t> HATA ORANLARI</a:t>
            </a:r>
          </a:p>
        </c:rich>
      </c:tx>
      <c:layout/>
      <c:overlay val="0"/>
      <c:spPr>
        <a:noFill/>
        <a:ln>
          <a:noFill/>
        </a:ln>
        <a:effectLst/>
      </c:spPr>
    </c:title>
    <c:autoTitleDeleted val="0"/>
    <c:plotArea>
      <c:layout/>
      <c:scatterChart>
        <c:scatterStyle val="lineMarker"/>
        <c:varyColors val="0"/>
        <c:ser>
          <c:idx val="0"/>
          <c:order val="0"/>
          <c:tx>
            <c:strRef>
              <c:f>'OG SARGI MEVCUT KADEME'!$T$21:$T$24</c:f>
              <c:strCache>
                <c:ptCount val="4"/>
                <c:pt idx="0">
                  <c:v>A</c:v>
                </c:pt>
                <c:pt idx="1">
                  <c:v>B</c:v>
                </c:pt>
                <c:pt idx="2">
                  <c:v>C</c:v>
                </c:pt>
                <c:pt idx="3">
                  <c:v>SINIR DEĞER</c:v>
                </c:pt>
              </c:strCache>
            </c:strRef>
          </c:tx>
          <c:spPr>
            <a:ln w="28575" cap="rnd">
              <a:noFill/>
              <a:round/>
            </a:ln>
            <a:effectLst/>
          </c:spPr>
          <c:marker>
            <c:symbol val="circle"/>
            <c:size val="5"/>
            <c:spPr>
              <a:solidFill>
                <a:schemeClr val="accent1"/>
              </a:solidFill>
              <a:ln w="9525">
                <a:solidFill>
                  <a:schemeClr val="accent1"/>
                </a:solidFill>
              </a:ln>
              <a:effectLst/>
            </c:spPr>
          </c:marker>
          <c:dPt>
            <c:idx val="0"/>
            <c:marker>
              <c:symbol val="circle"/>
              <c:size val="7"/>
            </c:marker>
            <c:bubble3D val="0"/>
          </c:dPt>
          <c:dPt>
            <c:idx val="1"/>
            <c:marker>
              <c:symbol val="circle"/>
              <c:size val="7"/>
              <c:spPr>
                <a:solidFill>
                  <a:srgbClr val="00B050"/>
                </a:solidFill>
                <a:ln w="9525">
                  <a:solidFill>
                    <a:srgbClr val="00B050"/>
                  </a:solidFill>
                </a:ln>
                <a:effectLst/>
              </c:spPr>
            </c:marker>
            <c:bubble3D val="0"/>
          </c:dPt>
          <c:dPt>
            <c:idx val="2"/>
            <c:marker>
              <c:symbol val="circle"/>
              <c:size val="7"/>
              <c:spPr>
                <a:solidFill>
                  <a:schemeClr val="accent6">
                    <a:lumMod val="75000"/>
                  </a:schemeClr>
                </a:solidFill>
                <a:ln w="9525">
                  <a:solidFill>
                    <a:schemeClr val="accent6">
                      <a:lumMod val="75000"/>
                    </a:schemeClr>
                  </a:solidFill>
                </a:ln>
                <a:effectLst/>
              </c:spPr>
            </c:marker>
            <c:bubble3D val="0"/>
          </c:dPt>
          <c:dPt>
            <c:idx val="3"/>
            <c:marker>
              <c:symbol val="triangle"/>
              <c:size val="10"/>
              <c:spPr>
                <a:solidFill>
                  <a:schemeClr val="accent2"/>
                </a:solidFill>
                <a:ln w="9525">
                  <a:solidFill>
                    <a:schemeClr val="accent2"/>
                  </a:solidFill>
                </a:ln>
                <a:effectLst/>
              </c:spPr>
            </c:marker>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'OG SARGI MEVCUT KADEME'!$T$21:$T$24</c:f>
              <c:strCache>
                <c:ptCount val="4"/>
                <c:pt idx="0">
                  <c:v>A</c:v>
                </c:pt>
                <c:pt idx="1">
                  <c:v>B</c:v>
                </c:pt>
                <c:pt idx="2">
                  <c:v>C</c:v>
                </c:pt>
                <c:pt idx="3">
                  <c:v>SINIR DEĞER</c:v>
                </c:pt>
              </c:strCache>
            </c:strRef>
          </c:xVal>
          <c:yVal>
            <c:numRef>
              <c:f>'OG SARGI MEVCUT KADEME'!$U$21:$U$24</c:f>
              <c:numCache>
                <c:formatCode>0.000%</c:formatCode>
                <c:ptCount val="4"/>
                <c:pt idx="0">
                  <c:v>2.5970149253731398E-2</c:v>
                </c:pt>
                <c:pt idx="1">
                  <c:v>2.8238182934315556E-2</c:v>
                </c:pt>
                <c:pt idx="2">
                  <c:v>2.7462686567164201E-2</c:v>
                </c:pt>
                <c:pt idx="3">
                  <c:v>0.05</c:v>
                </c:pt>
              </c:numCache>
            </c:numRef>
          </c:yVal>
          <c:smooth val="0"/>
        </c:ser>
        <c:dLbls>
          <c:dLblPos val="t"/>
          <c:showLegendKey val="0"/>
          <c:showVal val="1"/>
          <c:showCatName val="0"/>
          <c:showSerName val="0"/>
          <c:showPercent val="0"/>
          <c:showBubbleSize val="0"/>
        </c:dLbls>
        <c:axId val="-220168480"/>
        <c:axId val="-220189152"/>
      </c:scatterChart>
      <c:valAx>
        <c:axId val="-220168480"/>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220189152"/>
        <c:crosses val="autoZero"/>
        <c:crossBetween val="midCat"/>
      </c:valAx>
      <c:valAx>
        <c:axId val="-220189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20168480"/>
        <c:crosses val="autoZero"/>
        <c:crossBetween val="midCat"/>
      </c:valAx>
      <c:spPr>
        <a:noFill/>
        <a:ln>
          <a:noFill/>
        </a:ln>
        <a:effectLst/>
      </c:spPr>
    </c:plotArea>
    <c:legend>
      <c:legendPos val="r"/>
      <c:layout/>
      <c:overlay val="0"/>
      <c:spPr>
        <a:noFill/>
        <a:ln>
          <a:solidFill>
            <a:schemeClr val="accent3"/>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accent3"/>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A.G. SARGI DİRENCİ YÜZDE</a:t>
            </a:r>
            <a:r>
              <a:rPr lang="tr-TR" baseline="0"/>
              <a:t> HATA ORANLARI</a:t>
            </a:r>
          </a:p>
        </c:rich>
      </c:tx>
      <c:layout/>
      <c:overlay val="0"/>
      <c:spPr>
        <a:noFill/>
        <a:ln>
          <a:noFill/>
        </a:ln>
        <a:effectLst/>
      </c:spPr>
    </c:title>
    <c:autoTitleDeleted val="0"/>
    <c:plotArea>
      <c:layout/>
      <c:scatterChart>
        <c:scatterStyle val="lineMarker"/>
        <c:varyColors val="0"/>
        <c:ser>
          <c:idx val="0"/>
          <c:order val="0"/>
          <c:tx>
            <c:strRef>
              <c:f>'AG SARGI'!$T$21:$T$24</c:f>
              <c:strCache>
                <c:ptCount val="4"/>
                <c:pt idx="0">
                  <c:v>A</c:v>
                </c:pt>
                <c:pt idx="1">
                  <c:v>B</c:v>
                </c:pt>
                <c:pt idx="2">
                  <c:v>C</c:v>
                </c:pt>
                <c:pt idx="3">
                  <c:v>SINIR DEĞER</c:v>
                </c:pt>
              </c:strCache>
            </c:strRef>
          </c:tx>
          <c:spPr>
            <a:ln w="28575" cap="rnd">
              <a:noFill/>
              <a:round/>
            </a:ln>
            <a:effectLst/>
          </c:spPr>
          <c:marker>
            <c:symbol val="circle"/>
            <c:size val="5"/>
            <c:spPr>
              <a:solidFill>
                <a:schemeClr val="accent1"/>
              </a:solidFill>
              <a:ln w="9525">
                <a:solidFill>
                  <a:schemeClr val="accent1"/>
                </a:solidFill>
              </a:ln>
              <a:effectLst/>
            </c:spPr>
          </c:marker>
          <c:dPt>
            <c:idx val="0"/>
            <c:marker>
              <c:symbol val="circle"/>
              <c:size val="7"/>
            </c:marker>
            <c:bubble3D val="0"/>
          </c:dPt>
          <c:dPt>
            <c:idx val="1"/>
            <c:marker>
              <c:symbol val="circle"/>
              <c:size val="7"/>
              <c:spPr>
                <a:solidFill>
                  <a:srgbClr val="00B050"/>
                </a:solidFill>
                <a:ln w="9525">
                  <a:solidFill>
                    <a:srgbClr val="00B050"/>
                  </a:solidFill>
                </a:ln>
                <a:effectLst/>
              </c:spPr>
            </c:marker>
            <c:bubble3D val="0"/>
          </c:dPt>
          <c:dPt>
            <c:idx val="2"/>
            <c:marker>
              <c:symbol val="circle"/>
              <c:size val="7"/>
              <c:spPr>
                <a:solidFill>
                  <a:schemeClr val="accent6">
                    <a:lumMod val="75000"/>
                  </a:schemeClr>
                </a:solidFill>
                <a:ln w="9525">
                  <a:solidFill>
                    <a:schemeClr val="accent6">
                      <a:lumMod val="75000"/>
                    </a:schemeClr>
                  </a:solidFill>
                </a:ln>
                <a:effectLst/>
              </c:spPr>
            </c:marker>
            <c:bubble3D val="0"/>
          </c:dPt>
          <c:dPt>
            <c:idx val="3"/>
            <c:marker>
              <c:symbol val="triangle"/>
              <c:size val="10"/>
              <c:spPr>
                <a:solidFill>
                  <a:schemeClr val="accent2"/>
                </a:solidFill>
                <a:ln w="9525">
                  <a:solidFill>
                    <a:schemeClr val="accent2"/>
                  </a:solidFill>
                </a:ln>
                <a:effectLst/>
              </c:spPr>
            </c:marker>
            <c:bubble3D val="0"/>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'AG SARGI'!$T$21:$T$24</c:f>
              <c:strCache>
                <c:ptCount val="4"/>
                <c:pt idx="0">
                  <c:v>A</c:v>
                </c:pt>
                <c:pt idx="1">
                  <c:v>B</c:v>
                </c:pt>
                <c:pt idx="2">
                  <c:v>C</c:v>
                </c:pt>
                <c:pt idx="3">
                  <c:v>SINIR DEĞER</c:v>
                </c:pt>
              </c:strCache>
            </c:strRef>
          </c:xVal>
          <c:yVal>
            <c:numRef>
              <c:f>'AG SARGI'!$U$21:$U$24</c:f>
              <c:numCache>
                <c:formatCode>0.000%</c:formatCode>
                <c:ptCount val="4"/>
                <c:pt idx="0">
                  <c:v>3.8910505836576821E-3</c:v>
                </c:pt>
                <c:pt idx="1">
                  <c:v>3.9062500000000954E-3</c:v>
                </c:pt>
                <c:pt idx="2">
                  <c:v>1.9531250000000052E-2</c:v>
                </c:pt>
                <c:pt idx="3">
                  <c:v>0.05</c:v>
                </c:pt>
              </c:numCache>
            </c:numRef>
          </c:yVal>
          <c:smooth val="0"/>
        </c:ser>
        <c:dLbls>
          <c:dLblPos val="t"/>
          <c:showLegendKey val="0"/>
          <c:showVal val="1"/>
          <c:showCatName val="0"/>
          <c:showSerName val="0"/>
          <c:showPercent val="0"/>
          <c:showBubbleSize val="0"/>
        </c:dLbls>
        <c:axId val="-220194048"/>
        <c:axId val="-220196224"/>
      </c:scatterChart>
      <c:valAx>
        <c:axId val="-220194048"/>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220196224"/>
        <c:crosses val="autoZero"/>
        <c:crossBetween val="midCat"/>
      </c:valAx>
      <c:valAx>
        <c:axId val="-22019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20194048"/>
        <c:crosses val="autoZero"/>
        <c:crossBetween val="midCat"/>
      </c:valAx>
      <c:spPr>
        <a:noFill/>
        <a:ln>
          <a:noFill/>
        </a:ln>
        <a:effectLst/>
      </c:spPr>
    </c:plotArea>
    <c:legend>
      <c:legendPos val="r"/>
      <c:layout/>
      <c:overlay val="0"/>
      <c:spPr>
        <a:noFill/>
        <a:ln>
          <a:solidFill>
            <a:schemeClr val="accent3"/>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accent3"/>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O.G.-TANK</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'!$Y$10:$Y$12</c:f>
              <c:numCache>
                <c:formatCode>0.0</c:formatCode>
                <c:ptCount val="3"/>
                <c:pt idx="0">
                  <c:v>3110.7999999999997</c:v>
                </c:pt>
                <c:pt idx="1">
                  <c:v>6470.7999999999993</c:v>
                </c:pt>
                <c:pt idx="2">
                  <c:v>9676.7999999999993</c:v>
                </c:pt>
              </c:numCache>
            </c:numRef>
          </c:val>
          <c:smooth val="0"/>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'!$Y$9</c:f>
              <c:numCache>
                <c:formatCode>General</c:formatCode>
                <c:ptCount val="1"/>
                <c:pt idx="0">
                  <c:v>1.1000000000000001</c:v>
                </c:pt>
              </c:numCache>
            </c:numRef>
          </c:val>
          <c:smooth val="0"/>
        </c:ser>
        <c:dLbls>
          <c:dLblPos val="t"/>
          <c:showLegendKey val="0"/>
          <c:showVal val="1"/>
          <c:showCatName val="0"/>
          <c:showSerName val="0"/>
          <c:showPercent val="0"/>
          <c:showBubbleSize val="0"/>
        </c:dLbls>
        <c:marker val="1"/>
        <c:smooth val="0"/>
        <c:axId val="-220182624"/>
        <c:axId val="-220195680"/>
      </c:lineChart>
      <c:catAx>
        <c:axId val="-220182624"/>
        <c:scaling>
          <c:orientation val="minMax"/>
        </c:scaling>
        <c:delete val="1"/>
        <c:axPos val="b"/>
        <c:majorTickMark val="none"/>
        <c:minorTickMark val="none"/>
        <c:tickLblPos val="nextTo"/>
        <c:crossAx val="-220195680"/>
        <c:crosses val="autoZero"/>
        <c:auto val="1"/>
        <c:lblAlgn val="ctr"/>
        <c:lblOffset val="100"/>
        <c:noMultiLvlLbl val="0"/>
      </c:catAx>
      <c:valAx>
        <c:axId val="-220195680"/>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2018262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A.G.-TANK</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rgbClr val="00B050"/>
              </a:solidFill>
              <a:round/>
            </a:ln>
            <a:effectLst/>
          </c:spPr>
          <c:marker>
            <c:symbol val="circle"/>
            <c:size val="5"/>
            <c:spPr>
              <a:solidFill>
                <a:schemeClr val="tx1"/>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'!$Z$10:$Z$12</c:f>
              <c:numCache>
                <c:formatCode>0.0</c:formatCode>
                <c:ptCount val="3"/>
                <c:pt idx="0">
                  <c:v>3110.7999999999997</c:v>
                </c:pt>
                <c:pt idx="1">
                  <c:v>9049.5999999999985</c:v>
                </c:pt>
                <c:pt idx="2">
                  <c:v>9676.7999999999993</c:v>
                </c:pt>
              </c:numCache>
            </c:numRef>
          </c:val>
          <c:smooth val="0"/>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'!$Z$9</c:f>
              <c:numCache>
                <c:formatCode>General</c:formatCode>
                <c:ptCount val="1"/>
                <c:pt idx="0">
                  <c:v>0.2</c:v>
                </c:pt>
              </c:numCache>
            </c:numRef>
          </c:val>
          <c:smooth val="0"/>
        </c:ser>
        <c:dLbls>
          <c:dLblPos val="t"/>
          <c:showLegendKey val="0"/>
          <c:showVal val="1"/>
          <c:showCatName val="0"/>
          <c:showSerName val="0"/>
          <c:showPercent val="0"/>
          <c:showBubbleSize val="0"/>
        </c:dLbls>
        <c:marker val="1"/>
        <c:smooth val="0"/>
        <c:axId val="-220179904"/>
        <c:axId val="-220190240"/>
      </c:lineChart>
      <c:catAx>
        <c:axId val="-220179904"/>
        <c:scaling>
          <c:orientation val="minMax"/>
        </c:scaling>
        <c:delete val="1"/>
        <c:axPos val="b"/>
        <c:majorTickMark val="none"/>
        <c:minorTickMark val="none"/>
        <c:tickLblPos val="nextTo"/>
        <c:crossAx val="-220190240"/>
        <c:crosses val="autoZero"/>
        <c:auto val="1"/>
        <c:lblAlgn val="ctr"/>
        <c:lblOffset val="100"/>
        <c:noMultiLvlLbl val="0"/>
      </c:catAx>
      <c:valAx>
        <c:axId val="-220190240"/>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2017990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a:t>
            </a:r>
            <a:r>
              <a:rPr lang="tr-TR" sz="1400" b="0" i="0" u="none" strike="noStrike" baseline="0">
                <a:effectLst/>
              </a:rPr>
              <a:t>A.G.</a:t>
            </a:r>
            <a:endParaRPr lang="tr-T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chemeClr val="accent6">
                  <a:lumMod val="75000"/>
                </a:schemeClr>
              </a:solidFill>
              <a:round/>
            </a:ln>
            <a:effectLst/>
          </c:spPr>
          <c:marker>
            <c:symbol val="circle"/>
            <c:size val="5"/>
            <c:spPr>
              <a:solidFill>
                <a:schemeClr val="tx1"/>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'!$AA$10:$AA$12</c:f>
              <c:numCache>
                <c:formatCode>0.0</c:formatCode>
                <c:ptCount val="3"/>
                <c:pt idx="0">
                  <c:v>3110.7999999999997</c:v>
                </c:pt>
                <c:pt idx="1">
                  <c:v>9049.5999999999985</c:v>
                </c:pt>
                <c:pt idx="2">
                  <c:v>9366</c:v>
                </c:pt>
              </c:numCache>
            </c:numRef>
          </c:val>
          <c:smooth val="0"/>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'!$AA$9</c:f>
              <c:numCache>
                <c:formatCode>General</c:formatCode>
                <c:ptCount val="1"/>
                <c:pt idx="0">
                  <c:v>1.1000000000000001</c:v>
                </c:pt>
              </c:numCache>
            </c:numRef>
          </c:val>
          <c:smooth val="0"/>
        </c:ser>
        <c:dLbls>
          <c:dLblPos val="t"/>
          <c:showLegendKey val="0"/>
          <c:showVal val="1"/>
          <c:showCatName val="0"/>
          <c:showSerName val="0"/>
          <c:showPercent val="0"/>
          <c:showBubbleSize val="0"/>
        </c:dLbls>
        <c:marker val="1"/>
        <c:smooth val="0"/>
        <c:axId val="-220186432"/>
        <c:axId val="-220176096"/>
      </c:lineChart>
      <c:catAx>
        <c:axId val="-220186432"/>
        <c:scaling>
          <c:orientation val="minMax"/>
        </c:scaling>
        <c:delete val="1"/>
        <c:axPos val="b"/>
        <c:majorTickMark val="none"/>
        <c:minorTickMark val="none"/>
        <c:tickLblPos val="nextTo"/>
        <c:crossAx val="-220176096"/>
        <c:crosses val="autoZero"/>
        <c:auto val="1"/>
        <c:lblAlgn val="ctr"/>
        <c:lblOffset val="100"/>
        <c:noMultiLvlLbl val="0"/>
      </c:catAx>
      <c:valAx>
        <c:axId val="-22017609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2018643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ÇEVİRME ORANI HATA YÜZDESİ</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chemeClr val="accent6">
                  <a:lumMod val="75000"/>
                </a:schemeClr>
              </a:solidFill>
              <a:ln>
                <a:noFill/>
              </a:ln>
              <a:effectLst/>
            </c:spPr>
          </c:dPt>
          <c:dPt>
            <c:idx val="2"/>
            <c:invertIfNegative val="0"/>
            <c:bubble3D val="0"/>
            <c:spPr>
              <a:solidFill>
                <a:srgbClr val="00B0F0"/>
              </a:solidFill>
              <a:ln>
                <a:noFill/>
              </a:ln>
              <a:effectLst/>
            </c:spPr>
          </c:dPt>
          <c:dPt>
            <c:idx val="3"/>
            <c:invertIfNegative val="0"/>
            <c:bubble3D val="0"/>
            <c:spPr>
              <a:solidFill>
                <a:srgbClr val="FF2D2D"/>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'Ç.O 34500'!$U$15:$U$18</c:f>
              <c:strCache>
                <c:ptCount val="4"/>
                <c:pt idx="0">
                  <c:v>A</c:v>
                </c:pt>
                <c:pt idx="1">
                  <c:v>B</c:v>
                </c:pt>
                <c:pt idx="2">
                  <c:v>C</c:v>
                </c:pt>
                <c:pt idx="3">
                  <c:v>SINIR DEĞER</c:v>
                </c:pt>
              </c:strCache>
            </c:strRef>
          </c:cat>
          <c:val>
            <c:numRef>
              <c:f>'Ç.O 34500'!$V$15:$V$18</c:f>
              <c:numCache>
                <c:formatCode>0.000</c:formatCode>
                <c:ptCount val="4"/>
                <c:pt idx="0">
                  <c:v>0.104180656811592</c:v>
                </c:pt>
                <c:pt idx="1">
                  <c:v>0.2688576202898591</c:v>
                </c:pt>
                <c:pt idx="2">
                  <c:v>0.13497391014493917</c:v>
                </c:pt>
                <c:pt idx="3" formatCode="General">
                  <c:v>0.5</c:v>
                </c:pt>
              </c:numCache>
            </c:numRef>
          </c:val>
        </c:ser>
        <c:dLbls>
          <c:dLblPos val="outEnd"/>
          <c:showLegendKey val="0"/>
          <c:showVal val="1"/>
          <c:showCatName val="0"/>
          <c:showSerName val="0"/>
          <c:showPercent val="0"/>
          <c:showBubbleSize val="0"/>
        </c:dLbls>
        <c:gapWidth val="182"/>
        <c:axId val="-220174464"/>
        <c:axId val="-220178272"/>
      </c:barChart>
      <c:catAx>
        <c:axId val="-22017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20178272"/>
        <c:crosses val="autoZero"/>
        <c:auto val="1"/>
        <c:lblAlgn val="ctr"/>
        <c:lblOffset val="100"/>
        <c:noMultiLvlLbl val="0"/>
      </c:catAx>
      <c:valAx>
        <c:axId val="-220178272"/>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20174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TOPRAKLAMALAR!$B$16</c:f>
              <c:strCache>
                <c:ptCount val="1"/>
                <c:pt idx="0">
                  <c:v>Max. Ω</c:v>
                </c:pt>
              </c:strCache>
            </c:strRef>
          </c:tx>
          <c:invertIfNegative val="0"/>
          <c:val>
            <c:numRef>
              <c:f>TOPRAKLAMALAR!$D$16</c:f>
              <c:numCache>
                <c:formatCode>0.00</c:formatCode>
                <c:ptCount val="1"/>
                <c:pt idx="0">
                  <c:v>2</c:v>
                </c:pt>
              </c:numCache>
            </c:numRef>
          </c:val>
        </c:ser>
        <c:ser>
          <c:idx val="1"/>
          <c:order val="1"/>
          <c:tx>
            <c:strRef>
              <c:f>TOPRAKLAMALAR!$H$16</c:f>
              <c:strCache>
                <c:ptCount val="1"/>
                <c:pt idx="0">
                  <c:v>Ölçülen</c:v>
                </c:pt>
              </c:strCache>
            </c:strRef>
          </c:tx>
          <c:invertIfNegative val="0"/>
          <c:val>
            <c:numRef>
              <c:f>TOPRAKLAMALAR!$K$16</c:f>
              <c:numCache>
                <c:formatCode>0.000</c:formatCode>
                <c:ptCount val="1"/>
                <c:pt idx="0">
                  <c:v>0.15</c:v>
                </c:pt>
              </c:numCache>
            </c:numRef>
          </c:val>
        </c:ser>
        <c:dLbls>
          <c:showLegendKey val="0"/>
          <c:showVal val="0"/>
          <c:showCatName val="0"/>
          <c:showSerName val="0"/>
          <c:showPercent val="0"/>
          <c:showBubbleSize val="0"/>
        </c:dLbls>
        <c:gapWidth val="150"/>
        <c:axId val="-220173920"/>
        <c:axId val="-220191328"/>
      </c:barChart>
      <c:catAx>
        <c:axId val="-220173920"/>
        <c:scaling>
          <c:orientation val="minMax"/>
        </c:scaling>
        <c:delete val="0"/>
        <c:axPos val="l"/>
        <c:majorTickMark val="out"/>
        <c:minorTickMark val="none"/>
        <c:tickLblPos val="nextTo"/>
        <c:crossAx val="-220191328"/>
        <c:crosses val="autoZero"/>
        <c:auto val="1"/>
        <c:lblAlgn val="ctr"/>
        <c:lblOffset val="100"/>
        <c:noMultiLvlLbl val="0"/>
      </c:catAx>
      <c:valAx>
        <c:axId val="-220191328"/>
        <c:scaling>
          <c:orientation val="minMax"/>
        </c:scaling>
        <c:delete val="0"/>
        <c:axPos val="b"/>
        <c:majorGridlines/>
        <c:numFmt formatCode="0.00" sourceLinked="1"/>
        <c:majorTickMark val="out"/>
        <c:minorTickMark val="none"/>
        <c:tickLblPos val="nextTo"/>
        <c:crossAx val="-2201739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713337303425306E-2"/>
          <c:y val="0.10149938642640059"/>
          <c:w val="0.79209439996471032"/>
          <c:h val="0.64888913753130528"/>
        </c:manualLayout>
      </c:layout>
      <c:barChart>
        <c:barDir val="bar"/>
        <c:grouping val="clustered"/>
        <c:varyColors val="0"/>
        <c:ser>
          <c:idx val="0"/>
          <c:order val="0"/>
          <c:tx>
            <c:strRef>
              <c:f>TOPRAKLAMALAR!$D$26</c:f>
              <c:strCache>
                <c:ptCount val="1"/>
                <c:pt idx="0">
                  <c:v>Max. Ω</c:v>
                </c:pt>
              </c:strCache>
            </c:strRef>
          </c:tx>
          <c:invertIfNegative val="0"/>
          <c:val>
            <c:numRef>
              <c:f>TOPRAKLAMALAR!$F$26</c:f>
              <c:numCache>
                <c:formatCode>0.00</c:formatCode>
                <c:ptCount val="1"/>
                <c:pt idx="0">
                  <c:v>2</c:v>
                </c:pt>
              </c:numCache>
            </c:numRef>
          </c:val>
        </c:ser>
        <c:ser>
          <c:idx val="3"/>
          <c:order val="1"/>
          <c:tx>
            <c:strRef>
              <c:f>TOPRAKLAMALAR!$B$29</c:f>
              <c:strCache>
                <c:ptCount val="1"/>
                <c:pt idx="0">
                  <c:v>AG. Pano</c:v>
                </c:pt>
              </c:strCache>
            </c:strRef>
          </c:tx>
          <c:invertIfNegative val="0"/>
          <c:val>
            <c:numRef>
              <c:f>TOPRAKLAMALAR!$K$29</c:f>
              <c:numCache>
                <c:formatCode>0.00</c:formatCode>
                <c:ptCount val="1"/>
                <c:pt idx="0">
                  <c:v>0</c:v>
                </c:pt>
              </c:numCache>
            </c:numRef>
          </c:val>
        </c:ser>
        <c:ser>
          <c:idx val="4"/>
          <c:order val="2"/>
          <c:tx>
            <c:strRef>
              <c:f>TOPRAKLAMALAR!$B$28</c:f>
              <c:strCache>
                <c:ptCount val="1"/>
                <c:pt idx="0">
                  <c:v>Kapılar</c:v>
                </c:pt>
              </c:strCache>
            </c:strRef>
          </c:tx>
          <c:invertIfNegative val="0"/>
          <c:val>
            <c:numRef>
              <c:f>TOPRAKLAMALAR!$K$28</c:f>
              <c:numCache>
                <c:formatCode>0.00</c:formatCode>
                <c:ptCount val="1"/>
                <c:pt idx="0">
                  <c:v>0.16</c:v>
                </c:pt>
              </c:numCache>
            </c:numRef>
          </c:val>
        </c:ser>
        <c:ser>
          <c:idx val="2"/>
          <c:order val="3"/>
          <c:tx>
            <c:strRef>
              <c:f>TOPRAKLAMALAR!$B$27</c:f>
              <c:strCache>
                <c:ptCount val="1"/>
                <c:pt idx="0">
                  <c:v>Hücre</c:v>
                </c:pt>
              </c:strCache>
            </c:strRef>
          </c:tx>
          <c:invertIfNegative val="0"/>
          <c:val>
            <c:numRef>
              <c:f>TOPRAKLAMALAR!$K$27</c:f>
              <c:numCache>
                <c:formatCode>0.00</c:formatCode>
                <c:ptCount val="1"/>
                <c:pt idx="0">
                  <c:v>0.16</c:v>
                </c:pt>
              </c:numCache>
            </c:numRef>
          </c:val>
        </c:ser>
        <c:ser>
          <c:idx val="1"/>
          <c:order val="4"/>
          <c:tx>
            <c:strRef>
              <c:f>TOPRAKLAMALAR!$B$26</c:f>
              <c:strCache>
                <c:ptCount val="1"/>
                <c:pt idx="0">
                  <c:v>Trafo</c:v>
                </c:pt>
              </c:strCache>
            </c:strRef>
          </c:tx>
          <c:invertIfNegative val="0"/>
          <c:val>
            <c:numRef>
              <c:f>TOPRAKLAMALAR!$K$26</c:f>
              <c:numCache>
                <c:formatCode>0.00</c:formatCode>
                <c:ptCount val="1"/>
                <c:pt idx="0">
                  <c:v>0.16</c:v>
                </c:pt>
              </c:numCache>
            </c:numRef>
          </c:val>
        </c:ser>
        <c:dLbls>
          <c:showLegendKey val="0"/>
          <c:showVal val="0"/>
          <c:showCatName val="0"/>
          <c:showSerName val="0"/>
          <c:showPercent val="0"/>
          <c:showBubbleSize val="0"/>
        </c:dLbls>
        <c:gapWidth val="150"/>
        <c:axId val="-220173376"/>
        <c:axId val="-220185344"/>
      </c:barChart>
      <c:catAx>
        <c:axId val="-220173376"/>
        <c:scaling>
          <c:orientation val="minMax"/>
        </c:scaling>
        <c:delete val="0"/>
        <c:axPos val="l"/>
        <c:majorTickMark val="out"/>
        <c:minorTickMark val="none"/>
        <c:tickLblPos val="nextTo"/>
        <c:crossAx val="-220185344"/>
        <c:crosses val="autoZero"/>
        <c:auto val="1"/>
        <c:lblAlgn val="ctr"/>
        <c:lblOffset val="100"/>
        <c:noMultiLvlLbl val="0"/>
      </c:catAx>
      <c:valAx>
        <c:axId val="-220185344"/>
        <c:scaling>
          <c:orientation val="minMax"/>
          <c:min val="0"/>
        </c:scaling>
        <c:delete val="0"/>
        <c:axPos val="b"/>
        <c:majorGridlines/>
        <c:numFmt formatCode="0.00" sourceLinked="1"/>
        <c:majorTickMark val="out"/>
        <c:minorTickMark val="none"/>
        <c:tickLblPos val="nextTo"/>
        <c:crossAx val="-220173376"/>
        <c:crosses val="autoZero"/>
        <c:crossBetween val="between"/>
      </c:valAx>
    </c:plotArea>
    <c:legend>
      <c:legendPos val="r"/>
      <c:layout>
        <c:manualLayout>
          <c:xMode val="edge"/>
          <c:yMode val="edge"/>
          <c:x val="0.87902548766770006"/>
          <c:y val="7.6644537821402875E-2"/>
          <c:w val="0.12097447550599799"/>
          <c:h val="0.64123806332719047"/>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'KESİCİ İZOLASYON'!$D$31:$E$31</c:f>
              <c:strCache>
                <c:ptCount val="1"/>
                <c:pt idx="0">
                  <c:v>L-1</c:v>
                </c:pt>
              </c:strCache>
            </c:strRef>
          </c:tx>
          <c:invertIfNegative val="0"/>
          <c:cat>
            <c:strRef>
              <c:f>'KESİCİ İZOLASYON'!$K$32:$L$36</c:f>
              <c:strCache>
                <c:ptCount val="5"/>
                <c:pt idx="0">
                  <c:v>1,04</c:v>
                </c:pt>
                <c:pt idx="1">
                  <c:v>2,04</c:v>
                </c:pt>
                <c:pt idx="2">
                  <c:v>3,05</c:v>
                </c:pt>
                <c:pt idx="3">
                  <c:v>4,05</c:v>
                </c:pt>
                <c:pt idx="4">
                  <c:v>5,09</c:v>
                </c:pt>
              </c:strCache>
            </c:strRef>
          </c:cat>
          <c:val>
            <c:numRef>
              <c:f>'KESİCİ İZOLASYON'!$D$32:$D$36</c:f>
              <c:numCache>
                <c:formatCode>0.0</c:formatCode>
                <c:ptCount val="5"/>
                <c:pt idx="0">
                  <c:v>2000</c:v>
                </c:pt>
                <c:pt idx="1">
                  <c:v>4000</c:v>
                </c:pt>
                <c:pt idx="2">
                  <c:v>6000</c:v>
                </c:pt>
                <c:pt idx="3">
                  <c:v>8000</c:v>
                </c:pt>
                <c:pt idx="4">
                  <c:v>10000</c:v>
                </c:pt>
              </c:numCache>
            </c:numRef>
          </c:val>
        </c:ser>
        <c:ser>
          <c:idx val="2"/>
          <c:order val="1"/>
          <c:tx>
            <c:strRef>
              <c:f>'KESİCİ İZOLASYON'!$F$31:$G$31</c:f>
              <c:strCache>
                <c:ptCount val="1"/>
                <c:pt idx="0">
                  <c:v>L-2</c:v>
                </c:pt>
              </c:strCache>
            </c:strRef>
          </c:tx>
          <c:invertIfNegative val="0"/>
          <c:cat>
            <c:strRef>
              <c:f>'KESİCİ İZOLASYON'!$K$32:$L$36</c:f>
              <c:strCache>
                <c:ptCount val="5"/>
                <c:pt idx="0">
                  <c:v>1,04</c:v>
                </c:pt>
                <c:pt idx="1">
                  <c:v>2,04</c:v>
                </c:pt>
                <c:pt idx="2">
                  <c:v>3,05</c:v>
                </c:pt>
                <c:pt idx="3">
                  <c:v>4,05</c:v>
                </c:pt>
                <c:pt idx="4">
                  <c:v>5,09</c:v>
                </c:pt>
              </c:strCache>
            </c:strRef>
          </c:cat>
          <c:val>
            <c:numRef>
              <c:f>'KESİCİ İZOLASYON'!$F$32:$F$36</c:f>
              <c:numCache>
                <c:formatCode>0.0</c:formatCode>
                <c:ptCount val="5"/>
                <c:pt idx="0">
                  <c:v>2000</c:v>
                </c:pt>
                <c:pt idx="1">
                  <c:v>4000</c:v>
                </c:pt>
                <c:pt idx="2">
                  <c:v>6000</c:v>
                </c:pt>
                <c:pt idx="3">
                  <c:v>8000</c:v>
                </c:pt>
                <c:pt idx="4">
                  <c:v>10000</c:v>
                </c:pt>
              </c:numCache>
            </c:numRef>
          </c:val>
        </c:ser>
        <c:ser>
          <c:idx val="4"/>
          <c:order val="2"/>
          <c:tx>
            <c:strRef>
              <c:f>'KESİCİ İZOLASYON'!$H$31:$I$31</c:f>
              <c:strCache>
                <c:ptCount val="1"/>
                <c:pt idx="0">
                  <c:v>L-3</c:v>
                </c:pt>
              </c:strCache>
            </c:strRef>
          </c:tx>
          <c:invertIfNegative val="0"/>
          <c:cat>
            <c:strRef>
              <c:f>'KESİCİ İZOLASYON'!$K$32:$L$36</c:f>
              <c:strCache>
                <c:ptCount val="5"/>
                <c:pt idx="0">
                  <c:v>1,04</c:v>
                </c:pt>
                <c:pt idx="1">
                  <c:v>2,04</c:v>
                </c:pt>
                <c:pt idx="2">
                  <c:v>3,05</c:v>
                </c:pt>
                <c:pt idx="3">
                  <c:v>4,05</c:v>
                </c:pt>
                <c:pt idx="4">
                  <c:v>5,09</c:v>
                </c:pt>
              </c:strCache>
            </c:strRef>
          </c:cat>
          <c:val>
            <c:numRef>
              <c:f>'KESİCİ İZOLASYON'!$H$32:$H$36</c:f>
              <c:numCache>
                <c:formatCode>0.0</c:formatCode>
                <c:ptCount val="5"/>
                <c:pt idx="0">
                  <c:v>2000</c:v>
                </c:pt>
                <c:pt idx="1">
                  <c:v>4000</c:v>
                </c:pt>
                <c:pt idx="2">
                  <c:v>6000</c:v>
                </c:pt>
                <c:pt idx="3">
                  <c:v>8000</c:v>
                </c:pt>
                <c:pt idx="4">
                  <c:v>10000</c:v>
                </c:pt>
              </c:numCache>
            </c:numRef>
          </c:val>
        </c:ser>
        <c:dLbls>
          <c:showLegendKey val="0"/>
          <c:showVal val="0"/>
          <c:showCatName val="0"/>
          <c:showSerName val="0"/>
          <c:showPercent val="0"/>
          <c:showBubbleSize val="0"/>
        </c:dLbls>
        <c:gapWidth val="150"/>
        <c:axId val="-220185888"/>
        <c:axId val="-220172288"/>
      </c:barChart>
      <c:catAx>
        <c:axId val="-220185888"/>
        <c:scaling>
          <c:orientation val="minMax"/>
        </c:scaling>
        <c:delete val="0"/>
        <c:axPos val="l"/>
        <c:numFmt formatCode="General" sourceLinked="0"/>
        <c:majorTickMark val="out"/>
        <c:minorTickMark val="none"/>
        <c:tickLblPos val="nextTo"/>
        <c:crossAx val="-220172288"/>
        <c:crosses val="autoZero"/>
        <c:auto val="1"/>
        <c:lblAlgn val="ctr"/>
        <c:lblOffset val="100"/>
        <c:noMultiLvlLbl val="0"/>
      </c:catAx>
      <c:valAx>
        <c:axId val="-220172288"/>
        <c:scaling>
          <c:orientation val="minMax"/>
        </c:scaling>
        <c:delete val="0"/>
        <c:axPos val="b"/>
        <c:majorGridlines/>
        <c:numFmt formatCode="0.0" sourceLinked="1"/>
        <c:majorTickMark val="out"/>
        <c:minorTickMark val="none"/>
        <c:tickLblPos val="nextTo"/>
        <c:crossAx val="-220185888"/>
        <c:crosses val="autoZero"/>
        <c:crossBetween val="between"/>
      </c:valAx>
    </c:plotArea>
    <c:legend>
      <c:legendPos val="r"/>
      <c:layout/>
      <c:overlay val="0"/>
    </c:legend>
    <c:plotVisOnly val="1"/>
    <c:dispBlanksAs val="gap"/>
    <c:showDLblsOverMax val="0"/>
  </c:chart>
  <c:spPr>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invertIfNegative val="0"/>
          <c:cat>
            <c:strRef>
              <c:f>'KESİCİ İZOLASYON'!$B$16:$B$19</c:f>
              <c:strCache>
                <c:ptCount val="4"/>
                <c:pt idx="0">
                  <c:v>R min.</c:v>
                </c:pt>
                <c:pt idx="1">
                  <c:v>L-1</c:v>
                </c:pt>
                <c:pt idx="2">
                  <c:v>L-2</c:v>
                </c:pt>
                <c:pt idx="3">
                  <c:v>L-3</c:v>
                </c:pt>
              </c:strCache>
            </c:strRef>
          </c:cat>
          <c:val>
            <c:numRef>
              <c:f>'KESİCİ İZOLASYON'!$C$16:$C$19</c:f>
              <c:numCache>
                <c:formatCode>0.00</c:formatCode>
                <c:ptCount val="4"/>
              </c:numCache>
            </c:numRef>
          </c:val>
        </c:ser>
        <c:ser>
          <c:idx val="1"/>
          <c:order val="1"/>
          <c:invertIfNegative val="0"/>
          <c:dPt>
            <c:idx val="0"/>
            <c:invertIfNegative val="0"/>
            <c:bubble3D val="0"/>
            <c:spPr>
              <a:solidFill>
                <a:schemeClr val="tx1"/>
              </a:solidFill>
            </c:spPr>
          </c:dPt>
          <c:dPt>
            <c:idx val="1"/>
            <c:invertIfNegative val="0"/>
            <c:bubble3D val="0"/>
            <c:spPr>
              <a:solidFill>
                <a:schemeClr val="accent1"/>
              </a:solidFill>
            </c:spPr>
          </c:dPt>
          <c:dPt>
            <c:idx val="2"/>
            <c:invertIfNegative val="0"/>
            <c:bubble3D val="0"/>
            <c:spPr>
              <a:solidFill>
                <a:srgbClr val="92D050"/>
              </a:solidFill>
            </c:spPr>
          </c:dPt>
          <c:dPt>
            <c:idx val="3"/>
            <c:invertIfNegative val="0"/>
            <c:bubble3D val="0"/>
            <c:spPr>
              <a:solidFill>
                <a:schemeClr val="accent5"/>
              </a:solidFill>
            </c:spPr>
          </c:dPt>
          <c:cat>
            <c:strRef>
              <c:f>'KESİCİ İZOLASYON'!$B$16:$B$19</c:f>
              <c:strCache>
                <c:ptCount val="4"/>
                <c:pt idx="0">
                  <c:v>R min.</c:v>
                </c:pt>
                <c:pt idx="1">
                  <c:v>L-1</c:v>
                </c:pt>
                <c:pt idx="2">
                  <c:v>L-2</c:v>
                </c:pt>
                <c:pt idx="3">
                  <c:v>L-3</c:v>
                </c:pt>
              </c:strCache>
            </c:strRef>
          </c:cat>
          <c:val>
            <c:numRef>
              <c:f>'KESİCİ İZOLASYON'!$D$16:$D$19</c:f>
              <c:numCache>
                <c:formatCode>0.0</c:formatCode>
                <c:ptCount val="4"/>
                <c:pt idx="0" formatCode="General">
                  <c:v>50</c:v>
                </c:pt>
                <c:pt idx="1">
                  <c:v>20000</c:v>
                </c:pt>
                <c:pt idx="2">
                  <c:v>20000</c:v>
                </c:pt>
                <c:pt idx="3">
                  <c:v>20000</c:v>
                </c:pt>
              </c:numCache>
            </c:numRef>
          </c:val>
        </c:ser>
        <c:ser>
          <c:idx val="2"/>
          <c:order val="2"/>
          <c:invertIfNegative val="0"/>
          <c:cat>
            <c:strRef>
              <c:f>'KESİCİ İZOLASYON'!$B$16:$B$19</c:f>
              <c:strCache>
                <c:ptCount val="4"/>
                <c:pt idx="0">
                  <c:v>R min.</c:v>
                </c:pt>
                <c:pt idx="1">
                  <c:v>L-1</c:v>
                </c:pt>
                <c:pt idx="2">
                  <c:v>L-2</c:v>
                </c:pt>
                <c:pt idx="3">
                  <c:v>L-3</c:v>
                </c:pt>
              </c:strCache>
            </c:strRef>
          </c:cat>
          <c:val>
            <c:numRef>
              <c:f>'KESİCİ İZOLASYON'!$E$16:$E$19</c:f>
              <c:numCache>
                <c:formatCode>0.0</c:formatCode>
                <c:ptCount val="4"/>
              </c:numCache>
            </c:numRef>
          </c:val>
        </c:ser>
        <c:dLbls>
          <c:showLegendKey val="0"/>
          <c:showVal val="0"/>
          <c:showCatName val="0"/>
          <c:showSerName val="0"/>
          <c:showPercent val="0"/>
          <c:showBubbleSize val="0"/>
        </c:dLbls>
        <c:gapWidth val="150"/>
        <c:axId val="-220184800"/>
        <c:axId val="-220171744"/>
      </c:barChart>
      <c:catAx>
        <c:axId val="-220184800"/>
        <c:scaling>
          <c:orientation val="minMax"/>
        </c:scaling>
        <c:delete val="0"/>
        <c:axPos val="l"/>
        <c:numFmt formatCode="General" sourceLinked="0"/>
        <c:majorTickMark val="out"/>
        <c:minorTickMark val="none"/>
        <c:tickLblPos val="nextTo"/>
        <c:spPr>
          <a:noFill/>
        </c:spPr>
        <c:crossAx val="-220171744"/>
        <c:crosses val="autoZero"/>
        <c:auto val="1"/>
        <c:lblAlgn val="ctr"/>
        <c:lblOffset val="100"/>
        <c:noMultiLvlLbl val="0"/>
      </c:catAx>
      <c:valAx>
        <c:axId val="-220171744"/>
        <c:scaling>
          <c:orientation val="minMax"/>
        </c:scaling>
        <c:delete val="0"/>
        <c:axPos val="b"/>
        <c:majorGridlines/>
        <c:numFmt formatCode="General" sourceLinked="1"/>
        <c:majorTickMark val="out"/>
        <c:minorTickMark val="none"/>
        <c:tickLblPos val="nextTo"/>
        <c:crossAx val="-22018480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'AÇMA-KAPAMA'!$T$19</c:f>
              <c:strCache>
                <c:ptCount val="1"/>
                <c:pt idx="0">
                  <c:v>Max.</c:v>
                </c:pt>
              </c:strCache>
            </c:strRef>
          </c:tx>
          <c:marker>
            <c:symbol val="none"/>
          </c:marker>
          <c:dPt>
            <c:idx val="1"/>
            <c:bubble3D val="0"/>
          </c:dPt>
          <c:xVal>
            <c:numRef>
              <c:f>'AÇMA-KAPAMA'!$T$21:$T$22</c:f>
              <c:numCache>
                <c:formatCode>General</c:formatCode>
                <c:ptCount val="2"/>
                <c:pt idx="0" formatCode="0.00">
                  <c:v>120</c:v>
                </c:pt>
              </c:numCache>
            </c:numRef>
          </c:xVal>
          <c:yVal>
            <c:numRef>
              <c:f>'AÇMA-KAPAMA'!$S$24:$S$25</c:f>
              <c:numCache>
                <c:formatCode>General</c:formatCode>
                <c:ptCount val="2"/>
                <c:pt idx="0">
                  <c:v>40</c:v>
                </c:pt>
                <c:pt idx="1">
                  <c:v>40</c:v>
                </c:pt>
              </c:numCache>
            </c:numRef>
          </c:yVal>
          <c:smooth val="1"/>
        </c:ser>
        <c:ser>
          <c:idx val="1"/>
          <c:order val="1"/>
          <c:tx>
            <c:strRef>
              <c:f>'AÇMA-KAPAMA'!$J$25</c:f>
              <c:strCache>
                <c:ptCount val="1"/>
                <c:pt idx="0">
                  <c:v>A-1</c:v>
                </c:pt>
              </c:strCache>
            </c:strRef>
          </c:tx>
          <c:marker>
            <c:symbol val="none"/>
          </c:marker>
          <c:trendline>
            <c:trendlineType val="linear"/>
            <c:dispRSqr val="0"/>
            <c:dispEq val="0"/>
          </c:trendline>
          <c:xVal>
            <c:numRef>
              <c:f>'AÇMA-KAPAMA'!$K$25:$L$25</c:f>
              <c:numCache>
                <c:formatCode>General</c:formatCode>
                <c:ptCount val="2"/>
                <c:pt idx="0" formatCode="0.00">
                  <c:v>69.03</c:v>
                </c:pt>
              </c:numCache>
            </c:numRef>
          </c:xVal>
          <c:yVal>
            <c:numRef>
              <c:f>'AÇMA-KAPAMA'!$T$24:$T$25</c:f>
              <c:numCache>
                <c:formatCode>General</c:formatCode>
                <c:ptCount val="2"/>
                <c:pt idx="0">
                  <c:v>30</c:v>
                </c:pt>
                <c:pt idx="1">
                  <c:v>30</c:v>
                </c:pt>
              </c:numCache>
            </c:numRef>
          </c:yVal>
          <c:smooth val="1"/>
        </c:ser>
        <c:ser>
          <c:idx val="2"/>
          <c:order val="2"/>
          <c:tx>
            <c:strRef>
              <c:f>'AÇMA-KAPAMA'!$J$26</c:f>
              <c:strCache>
                <c:ptCount val="1"/>
                <c:pt idx="0">
                  <c:v>B-1</c:v>
                </c:pt>
              </c:strCache>
            </c:strRef>
          </c:tx>
          <c:marker>
            <c:symbol val="none"/>
          </c:marker>
          <c:trendline>
            <c:trendlineType val="linear"/>
            <c:dispRSqr val="0"/>
            <c:dispEq val="0"/>
          </c:trendline>
          <c:xVal>
            <c:numRef>
              <c:f>'AÇMA-KAPAMA'!$K$26:$L$26</c:f>
              <c:numCache>
                <c:formatCode>General</c:formatCode>
                <c:ptCount val="2"/>
                <c:pt idx="0" formatCode="0.00">
                  <c:v>66.569999999999993</c:v>
                </c:pt>
              </c:numCache>
            </c:numRef>
          </c:xVal>
          <c:yVal>
            <c:numRef>
              <c:f>'AÇMA-KAPAMA'!$U$24:$U$25</c:f>
              <c:numCache>
                <c:formatCode>General</c:formatCode>
                <c:ptCount val="2"/>
                <c:pt idx="0">
                  <c:v>20</c:v>
                </c:pt>
                <c:pt idx="1">
                  <c:v>20</c:v>
                </c:pt>
              </c:numCache>
            </c:numRef>
          </c:yVal>
          <c:smooth val="1"/>
        </c:ser>
        <c:ser>
          <c:idx val="3"/>
          <c:order val="3"/>
          <c:tx>
            <c:strRef>
              <c:f>'AÇMA-KAPAMA'!$J$27</c:f>
              <c:strCache>
                <c:ptCount val="1"/>
                <c:pt idx="0">
                  <c:v>C-1</c:v>
                </c:pt>
              </c:strCache>
            </c:strRef>
          </c:tx>
          <c:marker>
            <c:symbol val="none"/>
          </c:marker>
          <c:trendline>
            <c:trendlineType val="linear"/>
            <c:dispRSqr val="0"/>
            <c:dispEq val="0"/>
          </c:trendline>
          <c:xVal>
            <c:numRef>
              <c:f>'AÇMA-KAPAMA'!$K$27:$L$27</c:f>
              <c:numCache>
                <c:formatCode>General</c:formatCode>
                <c:ptCount val="2"/>
                <c:pt idx="0" formatCode="0.00">
                  <c:v>68.790000000000006</c:v>
                </c:pt>
              </c:numCache>
            </c:numRef>
          </c:xVal>
          <c:yVal>
            <c:numRef>
              <c:f>'AÇMA-KAPAMA'!$V$24:$V$25</c:f>
              <c:numCache>
                <c:formatCode>General</c:formatCode>
                <c:ptCount val="2"/>
                <c:pt idx="0">
                  <c:v>10</c:v>
                </c:pt>
                <c:pt idx="1">
                  <c:v>10</c:v>
                </c:pt>
              </c:numCache>
            </c:numRef>
          </c:yVal>
          <c:smooth val="1"/>
        </c:ser>
        <c:dLbls>
          <c:showLegendKey val="0"/>
          <c:showVal val="0"/>
          <c:showCatName val="0"/>
          <c:showSerName val="0"/>
          <c:showPercent val="0"/>
          <c:showBubbleSize val="0"/>
        </c:dLbls>
        <c:axId val="-220184256"/>
        <c:axId val="-220183712"/>
      </c:scatterChart>
      <c:valAx>
        <c:axId val="-220184256"/>
        <c:scaling>
          <c:orientation val="minMax"/>
          <c:max val="150"/>
          <c:min val="0"/>
        </c:scaling>
        <c:delete val="0"/>
        <c:axPos val="b"/>
        <c:majorGridlines/>
        <c:minorGridlines/>
        <c:title>
          <c:tx>
            <c:rich>
              <a:bodyPr/>
              <a:lstStyle/>
              <a:p>
                <a:pPr>
                  <a:defRPr/>
                </a:pPr>
                <a:r>
                  <a:rPr lang="en-US"/>
                  <a:t>Kontak Kapama Süresi (ms)</a:t>
                </a:r>
              </a:p>
            </c:rich>
          </c:tx>
          <c:layout/>
          <c:overlay val="0"/>
        </c:title>
        <c:numFmt formatCode="0.00" sourceLinked="1"/>
        <c:majorTickMark val="out"/>
        <c:minorTickMark val="none"/>
        <c:tickLblPos val="nextTo"/>
        <c:crossAx val="-220183712"/>
        <c:crossesAt val="0"/>
        <c:crossBetween val="midCat"/>
        <c:majorUnit val="20"/>
        <c:minorUnit val="5"/>
      </c:valAx>
      <c:valAx>
        <c:axId val="-220183712"/>
        <c:scaling>
          <c:orientation val="minMax"/>
        </c:scaling>
        <c:delete val="1"/>
        <c:axPos val="l"/>
        <c:majorGridlines/>
        <c:minorGridlines/>
        <c:numFmt formatCode="General" sourceLinked="1"/>
        <c:majorTickMark val="out"/>
        <c:minorTickMark val="none"/>
        <c:tickLblPos val="nextTo"/>
        <c:crossAx val="-220184256"/>
        <c:crosses val="autoZero"/>
        <c:crossBetween val="midCat"/>
      </c:valAx>
    </c:plotArea>
    <c:legend>
      <c:legendPos val="r"/>
      <c:legendEntry>
        <c:idx val="4"/>
        <c:delete val="1"/>
      </c:legendEntry>
      <c:legendEntry>
        <c:idx val="5"/>
        <c:delete val="1"/>
      </c:legendEntry>
      <c:legendEntry>
        <c:idx val="6"/>
        <c:delete val="1"/>
      </c:legendEntry>
      <c:layout/>
      <c:overlay val="0"/>
    </c:legend>
    <c:plotVisOnly val="0"/>
    <c:dispBlanksAs val="zero"/>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'AÇMA-KAPAMA'!$S$19</c:f>
              <c:strCache>
                <c:ptCount val="1"/>
                <c:pt idx="0">
                  <c:v>Max.</c:v>
                </c:pt>
              </c:strCache>
            </c:strRef>
          </c:tx>
          <c:marker>
            <c:symbol val="none"/>
          </c:marker>
          <c:xVal>
            <c:numRef>
              <c:f>'AÇMA-KAPAMA'!$S$21:$S$22</c:f>
              <c:numCache>
                <c:formatCode>General</c:formatCode>
                <c:ptCount val="2"/>
                <c:pt idx="0" formatCode="0.00">
                  <c:v>80</c:v>
                </c:pt>
              </c:numCache>
            </c:numRef>
          </c:xVal>
          <c:yVal>
            <c:numRef>
              <c:f>'AÇMA-KAPAMA'!$S$24:$S$25</c:f>
              <c:numCache>
                <c:formatCode>General</c:formatCode>
                <c:ptCount val="2"/>
                <c:pt idx="0">
                  <c:v>40</c:v>
                </c:pt>
                <c:pt idx="1">
                  <c:v>40</c:v>
                </c:pt>
              </c:numCache>
            </c:numRef>
          </c:yVal>
          <c:smooth val="1"/>
        </c:ser>
        <c:ser>
          <c:idx val="1"/>
          <c:order val="1"/>
          <c:tx>
            <c:strRef>
              <c:f>'AÇMA-KAPAMA'!$J$25</c:f>
              <c:strCache>
                <c:ptCount val="1"/>
                <c:pt idx="0">
                  <c:v>A-1</c:v>
                </c:pt>
              </c:strCache>
            </c:strRef>
          </c:tx>
          <c:marker>
            <c:symbol val="none"/>
          </c:marker>
          <c:trendline>
            <c:trendlineType val="linear"/>
            <c:dispRSqr val="0"/>
            <c:dispEq val="0"/>
          </c:trendline>
          <c:xVal>
            <c:numRef>
              <c:f>'AÇMA-KAPAMA'!$C$25:$D$25</c:f>
              <c:numCache>
                <c:formatCode>General</c:formatCode>
                <c:ptCount val="2"/>
                <c:pt idx="0" formatCode="0.00">
                  <c:v>52.63</c:v>
                </c:pt>
              </c:numCache>
            </c:numRef>
          </c:xVal>
          <c:yVal>
            <c:numRef>
              <c:f>'AÇMA-KAPAMA'!$T$24:$T$25</c:f>
              <c:numCache>
                <c:formatCode>General</c:formatCode>
                <c:ptCount val="2"/>
                <c:pt idx="0">
                  <c:v>30</c:v>
                </c:pt>
                <c:pt idx="1">
                  <c:v>30</c:v>
                </c:pt>
              </c:numCache>
            </c:numRef>
          </c:yVal>
          <c:smooth val="1"/>
        </c:ser>
        <c:ser>
          <c:idx val="2"/>
          <c:order val="2"/>
          <c:tx>
            <c:strRef>
              <c:f>'AÇMA-KAPAMA'!$J$26</c:f>
              <c:strCache>
                <c:ptCount val="1"/>
                <c:pt idx="0">
                  <c:v>B-1</c:v>
                </c:pt>
              </c:strCache>
            </c:strRef>
          </c:tx>
          <c:marker>
            <c:symbol val="none"/>
          </c:marker>
          <c:trendline>
            <c:trendlineType val="linear"/>
            <c:dispRSqr val="0"/>
            <c:dispEq val="0"/>
          </c:trendline>
          <c:xVal>
            <c:numRef>
              <c:f>'AÇMA-KAPAMA'!$C$26:$D$26</c:f>
              <c:numCache>
                <c:formatCode>General</c:formatCode>
                <c:ptCount val="2"/>
                <c:pt idx="0" formatCode="0.00">
                  <c:v>54.14</c:v>
                </c:pt>
              </c:numCache>
            </c:numRef>
          </c:xVal>
          <c:yVal>
            <c:numRef>
              <c:f>'AÇMA-KAPAMA'!$U$24:$U$25</c:f>
              <c:numCache>
                <c:formatCode>General</c:formatCode>
                <c:ptCount val="2"/>
                <c:pt idx="0">
                  <c:v>20</c:v>
                </c:pt>
                <c:pt idx="1">
                  <c:v>20</c:v>
                </c:pt>
              </c:numCache>
            </c:numRef>
          </c:yVal>
          <c:smooth val="1"/>
        </c:ser>
        <c:ser>
          <c:idx val="3"/>
          <c:order val="3"/>
          <c:tx>
            <c:strRef>
              <c:f>'AÇMA-KAPAMA'!$J$27</c:f>
              <c:strCache>
                <c:ptCount val="1"/>
                <c:pt idx="0">
                  <c:v>C-1</c:v>
                </c:pt>
              </c:strCache>
            </c:strRef>
          </c:tx>
          <c:marker>
            <c:symbol val="none"/>
          </c:marker>
          <c:trendline>
            <c:trendlineType val="linear"/>
            <c:dispRSqr val="0"/>
            <c:dispEq val="0"/>
          </c:trendline>
          <c:xVal>
            <c:numRef>
              <c:f>'AÇMA-KAPAMA'!$C$27:$D$27</c:f>
              <c:numCache>
                <c:formatCode>General</c:formatCode>
                <c:ptCount val="2"/>
                <c:pt idx="0" formatCode="0.00">
                  <c:v>50.45</c:v>
                </c:pt>
              </c:numCache>
            </c:numRef>
          </c:xVal>
          <c:yVal>
            <c:numRef>
              <c:f>'AÇMA-KAPAMA'!$V$24:$V$25</c:f>
              <c:numCache>
                <c:formatCode>General</c:formatCode>
                <c:ptCount val="2"/>
                <c:pt idx="0">
                  <c:v>10</c:v>
                </c:pt>
                <c:pt idx="1">
                  <c:v>10</c:v>
                </c:pt>
              </c:numCache>
            </c:numRef>
          </c:yVal>
          <c:smooth val="1"/>
        </c:ser>
        <c:dLbls>
          <c:showLegendKey val="0"/>
          <c:showVal val="0"/>
          <c:showCatName val="0"/>
          <c:showSerName val="0"/>
          <c:showPercent val="0"/>
          <c:showBubbleSize val="0"/>
        </c:dLbls>
        <c:axId val="-220181536"/>
        <c:axId val="-220179360"/>
      </c:scatterChart>
      <c:valAx>
        <c:axId val="-220181536"/>
        <c:scaling>
          <c:orientation val="minMax"/>
          <c:max val="100"/>
          <c:min val="0"/>
        </c:scaling>
        <c:delete val="0"/>
        <c:axPos val="b"/>
        <c:majorGridlines/>
        <c:minorGridlines/>
        <c:title>
          <c:tx>
            <c:rich>
              <a:bodyPr/>
              <a:lstStyle/>
              <a:p>
                <a:pPr>
                  <a:defRPr/>
                </a:pPr>
                <a:r>
                  <a:rPr lang="tr-TR"/>
                  <a:t>Kontak Açma Süresi (ms)</a:t>
                </a:r>
              </a:p>
            </c:rich>
          </c:tx>
          <c:layout/>
          <c:overlay val="0"/>
        </c:title>
        <c:numFmt formatCode="0.00" sourceLinked="1"/>
        <c:majorTickMark val="out"/>
        <c:minorTickMark val="none"/>
        <c:tickLblPos val="nextTo"/>
        <c:crossAx val="-220179360"/>
        <c:crosses val="autoZero"/>
        <c:crossBetween val="midCat"/>
        <c:majorUnit val="10"/>
        <c:minorUnit val="5"/>
      </c:valAx>
      <c:valAx>
        <c:axId val="-220179360"/>
        <c:scaling>
          <c:orientation val="minMax"/>
        </c:scaling>
        <c:delete val="1"/>
        <c:axPos val="l"/>
        <c:majorGridlines/>
        <c:minorGridlines/>
        <c:numFmt formatCode="General" sourceLinked="1"/>
        <c:majorTickMark val="out"/>
        <c:minorTickMark val="none"/>
        <c:tickLblPos val="nextTo"/>
        <c:crossAx val="-220181536"/>
        <c:crossesAt val="0"/>
        <c:crossBetween val="midCat"/>
      </c:valAx>
    </c:plotArea>
    <c:legend>
      <c:legendPos val="r"/>
      <c:legendEntry>
        <c:idx val="4"/>
        <c:delete val="1"/>
      </c:legendEntry>
      <c:legendEntry>
        <c:idx val="5"/>
        <c:delete val="1"/>
      </c:legendEntry>
      <c:legendEntry>
        <c:idx val="6"/>
        <c:delete val="1"/>
      </c:legendEntry>
      <c:layout/>
      <c:overlay val="0"/>
      <c:spPr>
        <a:noFill/>
      </c:spPr>
    </c:legend>
    <c:plotVisOnly val="0"/>
    <c:dispBlanksAs val="zero"/>
    <c:showDLblsOverMax val="0"/>
  </c:chart>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tr-TR"/>
              <a:t>AKIM TRAFOSU</a:t>
            </a:r>
            <a:r>
              <a:rPr lang="tr-TR" baseline="0"/>
              <a:t> İZOLASYON</a:t>
            </a:r>
            <a:endParaRPr lang="en-US"/>
          </a:p>
        </c:rich>
      </c:tx>
      <c:layout>
        <c:manualLayout>
          <c:xMode val="edge"/>
          <c:yMode val="edge"/>
          <c:x val="0.30789408149919822"/>
          <c:y val="4.5681753114609022E-2"/>
        </c:manualLayout>
      </c:layout>
      <c:overlay val="0"/>
    </c:title>
    <c:autoTitleDeleted val="0"/>
    <c:view3D>
      <c:rotX val="0"/>
      <c:rotY val="0"/>
      <c:rAngAx val="0"/>
      <c:perspective val="0"/>
    </c:view3D>
    <c:floor>
      <c:thickness val="0"/>
    </c:floor>
    <c:sideWall>
      <c:thickness val="0"/>
      <c:spPr>
        <a:ln>
          <a:noFill/>
        </a:ln>
      </c:spPr>
    </c:sideWall>
    <c:backWall>
      <c:thickness val="0"/>
      <c:spPr>
        <a:noFill/>
        <a:ln w="3175">
          <a:noFill/>
        </a:ln>
      </c:spPr>
    </c:backWall>
    <c:plotArea>
      <c:layout/>
      <c:bar3DChart>
        <c:barDir val="col"/>
        <c:grouping val="clustered"/>
        <c:varyColors val="0"/>
        <c:ser>
          <c:idx val="1"/>
          <c:order val="0"/>
          <c:invertIfNegative val="0"/>
          <c:dPt>
            <c:idx val="0"/>
            <c:invertIfNegative val="0"/>
            <c:bubble3D val="0"/>
            <c:spPr>
              <a:solidFill>
                <a:schemeClr val="tx1"/>
              </a:solidFill>
            </c:spPr>
          </c:dPt>
          <c:dPt>
            <c:idx val="1"/>
            <c:invertIfNegative val="0"/>
            <c:bubble3D val="0"/>
            <c:spPr>
              <a:solidFill>
                <a:schemeClr val="tx2">
                  <a:lumMod val="60000"/>
                  <a:lumOff val="40000"/>
                </a:schemeClr>
              </a:solidFill>
            </c:spPr>
          </c:dPt>
          <c:dPt>
            <c:idx val="3"/>
            <c:invertIfNegative val="0"/>
            <c:bubble3D val="0"/>
            <c:spPr>
              <a:solidFill>
                <a:schemeClr val="accent3">
                  <a:lumMod val="75000"/>
                </a:schemeClr>
              </a:solidFill>
            </c:spPr>
          </c:dPt>
          <c:cat>
            <c:strRef>
              <c:f>'AKIM TRAFOLARI'!$B$15:$B$18</c:f>
              <c:strCache>
                <c:ptCount val="4"/>
                <c:pt idx="0">
                  <c:v>R min.</c:v>
                </c:pt>
                <c:pt idx="1">
                  <c:v>L1</c:v>
                </c:pt>
                <c:pt idx="2">
                  <c:v>L2</c:v>
                </c:pt>
                <c:pt idx="3">
                  <c:v>L3</c:v>
                </c:pt>
              </c:strCache>
            </c:strRef>
          </c:cat>
          <c:val>
            <c:numRef>
              <c:f>'AKIM TRAFOLARI'!$D$15:$D$18</c:f>
              <c:numCache>
                <c:formatCode>0.00</c:formatCode>
                <c:ptCount val="4"/>
                <c:pt idx="0" formatCode="General">
                  <c:v>250</c:v>
                </c:pt>
                <c:pt idx="1">
                  <c:v>1500</c:v>
                </c:pt>
                <c:pt idx="2">
                  <c:v>10000</c:v>
                </c:pt>
                <c:pt idx="3">
                  <c:v>10000</c:v>
                </c:pt>
              </c:numCache>
            </c:numRef>
          </c:val>
        </c:ser>
        <c:dLbls>
          <c:showLegendKey val="0"/>
          <c:showVal val="0"/>
          <c:showCatName val="0"/>
          <c:showSerName val="0"/>
          <c:showPercent val="0"/>
          <c:showBubbleSize val="0"/>
        </c:dLbls>
        <c:gapWidth val="187"/>
        <c:gapDepth val="459"/>
        <c:shape val="cylinder"/>
        <c:axId val="-220177728"/>
        <c:axId val="-432855280"/>
        <c:axId val="0"/>
      </c:bar3DChart>
      <c:catAx>
        <c:axId val="-220177728"/>
        <c:scaling>
          <c:orientation val="minMax"/>
        </c:scaling>
        <c:delete val="0"/>
        <c:axPos val="b"/>
        <c:numFmt formatCode="General" sourceLinked="0"/>
        <c:majorTickMark val="none"/>
        <c:minorTickMark val="none"/>
        <c:tickLblPos val="nextTo"/>
        <c:txPr>
          <a:bodyPr/>
          <a:lstStyle/>
          <a:p>
            <a:pPr>
              <a:defRPr sz="1400" b="1"/>
            </a:pPr>
            <a:endParaRPr lang="tr-TR"/>
          </a:p>
        </c:txPr>
        <c:crossAx val="-432855280"/>
        <c:crosses val="autoZero"/>
        <c:auto val="1"/>
        <c:lblAlgn val="ctr"/>
        <c:lblOffset val="100"/>
        <c:noMultiLvlLbl val="0"/>
      </c:catAx>
      <c:valAx>
        <c:axId val="-432855280"/>
        <c:scaling>
          <c:orientation val="minMax"/>
        </c:scaling>
        <c:delete val="0"/>
        <c:axPos val="l"/>
        <c:majorGridlines>
          <c:spPr>
            <a:ln>
              <a:solidFill>
                <a:schemeClr val="tx1">
                  <a:tint val="75000"/>
                  <a:shade val="95000"/>
                  <a:satMod val="105000"/>
                </a:schemeClr>
              </a:solidFill>
            </a:ln>
          </c:spPr>
        </c:majorGridlines>
        <c:minorGridlines>
          <c:spPr>
            <a:ln>
              <a:noFill/>
            </a:ln>
          </c:spPr>
        </c:minorGridlines>
        <c:title>
          <c:tx>
            <c:rich>
              <a:bodyPr rot="0" vert="horz" anchor="ctr" anchorCtr="0"/>
              <a:lstStyle/>
              <a:p>
                <a:pPr>
                  <a:defRPr/>
                </a:pPr>
                <a:r>
                  <a:rPr lang="en-US" sz="1400"/>
                  <a:t>G</a:t>
                </a:r>
                <a:r>
                  <a:rPr lang="tr-TR" sz="1400"/>
                  <a:t> </a:t>
                </a:r>
                <a:r>
                  <a:rPr lang="el-GR" sz="1400"/>
                  <a:t>Ω</a:t>
                </a:r>
                <a:endParaRPr lang="en-US" sz="1400"/>
              </a:p>
            </c:rich>
          </c:tx>
          <c:layout>
            <c:manualLayout>
              <c:xMode val="edge"/>
              <c:yMode val="edge"/>
              <c:x val="1.6160454345937131E-2"/>
              <c:y val="0.41856328788476704"/>
            </c:manualLayout>
          </c:layout>
          <c:overlay val="0"/>
        </c:title>
        <c:numFmt formatCode="General" sourceLinked="1"/>
        <c:majorTickMark val="out"/>
        <c:minorTickMark val="in"/>
        <c:tickLblPos val="nextTo"/>
        <c:spPr>
          <a:ln cap="sq">
            <a:round/>
          </a:ln>
        </c:spPr>
        <c:txPr>
          <a:bodyPr/>
          <a:lstStyle/>
          <a:p>
            <a:pPr>
              <a:defRPr sz="1400" b="0"/>
            </a:pPr>
            <a:endParaRPr lang="tr-TR"/>
          </a:p>
        </c:txPr>
        <c:crossAx val="-220177728"/>
        <c:crosses val="autoZero"/>
        <c:crossBetween val="between"/>
      </c:valAx>
    </c:plotArea>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microsoft.com/office/2007/relationships/hdphoto" Target="../media/hdphoto1.wdp"/><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7.png"/><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8.png"/><Relationship Id="rId1" Type="http://schemas.openxmlformats.org/officeDocument/2006/relationships/chart" Target="../charts/chart1.xml"/><Relationship Id="rId5" Type="http://schemas.microsoft.com/office/2007/relationships/hdphoto" Target="../media/hdphoto1.wdp"/><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8.png"/><Relationship Id="rId1" Type="http://schemas.openxmlformats.org/officeDocument/2006/relationships/chart" Target="../charts/chart2.xml"/><Relationship Id="rId5" Type="http://schemas.microsoft.com/office/2007/relationships/hdphoto" Target="../media/hdphoto1.wdp"/><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7" Type="http://schemas.microsoft.com/office/2007/relationships/hdphoto" Target="../media/hdphoto1.wdp"/><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8.png"/><Relationship Id="rId1" Type="http://schemas.openxmlformats.org/officeDocument/2006/relationships/chart" Target="../charts/chart6.xml"/><Relationship Id="rId5" Type="http://schemas.microsoft.com/office/2007/relationships/hdphoto" Target="../media/hdphoto1.wdp"/><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8.xml"/><Relationship Id="rId1" Type="http://schemas.openxmlformats.org/officeDocument/2006/relationships/chart" Target="../charts/chart7.xml"/><Relationship Id="rId6" Type="http://schemas.microsoft.com/office/2007/relationships/hdphoto" Target="../media/hdphoto1.wdp"/><Relationship Id="rId5" Type="http://schemas.openxmlformats.org/officeDocument/2006/relationships/image" Target="../media/image6.pn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8.png"/><Relationship Id="rId4" Type="http://schemas.microsoft.com/office/2007/relationships/hdphoto" Target="../media/hdphoto1.wdp"/></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8.png"/><Relationship Id="rId4" Type="http://schemas.microsoft.com/office/2007/relationships/hdphoto" Target="../media/hdphoto1.wdp"/></Relationships>
</file>

<file path=xl/drawings/_rels/drawing10.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 Id="rId4" Type="http://schemas.microsoft.com/office/2007/relationships/hdphoto" Target="../media/hdphoto1.wdp"/></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0.xml"/><Relationship Id="rId1" Type="http://schemas.openxmlformats.org/officeDocument/2006/relationships/chart" Target="../charts/chart9.xml"/><Relationship Id="rId6" Type="http://schemas.microsoft.com/office/2007/relationships/hdphoto" Target="../media/hdphoto1.wdp"/><Relationship Id="rId5" Type="http://schemas.openxmlformats.org/officeDocument/2006/relationships/image" Target="../media/image6.png"/><Relationship Id="rId4" Type="http://schemas.openxmlformats.org/officeDocument/2006/relationships/image" Target="../media/image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8.png"/><Relationship Id="rId4" Type="http://schemas.microsoft.com/office/2007/relationships/hdphoto" Target="../media/hdphoto1.wdp"/></Relationships>
</file>

<file path=xl/drawings/_rels/drawing1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2.xml"/><Relationship Id="rId1" Type="http://schemas.openxmlformats.org/officeDocument/2006/relationships/chart" Target="../charts/chart11.xml"/><Relationship Id="rId6" Type="http://schemas.microsoft.com/office/2007/relationships/hdphoto" Target="../media/hdphoto1.wdp"/><Relationship Id="rId5" Type="http://schemas.openxmlformats.org/officeDocument/2006/relationships/image" Target="../media/image6.png"/><Relationship Id="rId4" Type="http://schemas.openxmlformats.org/officeDocument/2006/relationships/image" Target="../media/image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8.png"/><Relationship Id="rId4" Type="http://schemas.microsoft.com/office/2007/relationships/hdphoto" Target="../media/hdphoto1.wdp"/></Relationships>
</file>

<file path=xl/drawings/_rels/drawing1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8.png"/><Relationship Id="rId1" Type="http://schemas.openxmlformats.org/officeDocument/2006/relationships/chart" Target="../charts/chart13.xml"/><Relationship Id="rId5" Type="http://schemas.microsoft.com/office/2007/relationships/hdphoto" Target="../media/hdphoto1.wdp"/><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66675</xdr:rowOff>
    </xdr:from>
    <xdr:to>
      <xdr:col>3</xdr:col>
      <xdr:colOff>529258</xdr:colOff>
      <xdr:row>3</xdr:row>
      <xdr:rowOff>128774</xdr:rowOff>
    </xdr:to>
    <xdr:pic>
      <xdr:nvPicPr>
        <xdr:cNvPr id="9" name="Resim 8"/>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9525" y="66675"/>
          <a:ext cx="1714500" cy="633599"/>
        </a:xfrm>
        <a:prstGeom prst="rect">
          <a:avLst/>
        </a:prstGeom>
      </xdr:spPr>
    </xdr:pic>
    <xdr:clientData/>
  </xdr:twoCellAnchor>
  <xdr:twoCellAnchor editAs="oneCell">
    <xdr:from>
      <xdr:col>10</xdr:col>
      <xdr:colOff>33618</xdr:colOff>
      <xdr:row>0</xdr:row>
      <xdr:rowOff>112059</xdr:rowOff>
    </xdr:from>
    <xdr:to>
      <xdr:col>10</xdr:col>
      <xdr:colOff>573618</xdr:colOff>
      <xdr:row>3</xdr:row>
      <xdr:rowOff>80559</xdr:rowOff>
    </xdr:to>
    <xdr:pic>
      <xdr:nvPicPr>
        <xdr:cNvPr id="18" name="Resim 1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57140" y="112059"/>
          <a:ext cx="540000" cy="540000"/>
        </a:xfrm>
        <a:prstGeom prst="rect">
          <a:avLst/>
        </a:prstGeom>
      </xdr:spPr>
    </xdr:pic>
    <xdr:clientData/>
  </xdr:twoCellAnchor>
  <xdr:twoCellAnchor editAs="oneCell">
    <xdr:from>
      <xdr:col>11</xdr:col>
      <xdr:colOff>22412</xdr:colOff>
      <xdr:row>0</xdr:row>
      <xdr:rowOff>100853</xdr:rowOff>
    </xdr:from>
    <xdr:to>
      <xdr:col>11</xdr:col>
      <xdr:colOff>562412</xdr:colOff>
      <xdr:row>3</xdr:row>
      <xdr:rowOff>69353</xdr:rowOff>
    </xdr:to>
    <xdr:pic>
      <xdr:nvPicPr>
        <xdr:cNvPr id="19" name="Resim 1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18530" y="100853"/>
          <a:ext cx="540000" cy="540000"/>
        </a:xfrm>
        <a:prstGeom prst="rect">
          <a:avLst/>
        </a:prstGeom>
      </xdr:spPr>
    </xdr:pic>
    <xdr:clientData/>
  </xdr:twoCellAnchor>
  <xdr:twoCellAnchor editAs="oneCell">
    <xdr:from>
      <xdr:col>12</xdr:col>
      <xdr:colOff>11206</xdr:colOff>
      <xdr:row>0</xdr:row>
      <xdr:rowOff>112059</xdr:rowOff>
    </xdr:from>
    <xdr:to>
      <xdr:col>12</xdr:col>
      <xdr:colOff>551206</xdr:colOff>
      <xdr:row>3</xdr:row>
      <xdr:rowOff>80559</xdr:rowOff>
    </xdr:to>
    <xdr:pic>
      <xdr:nvPicPr>
        <xdr:cNvPr id="20" name="Resim 19"/>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412441" y="112059"/>
          <a:ext cx="540000" cy="540000"/>
        </a:xfrm>
        <a:prstGeom prst="rect">
          <a:avLst/>
        </a:prstGeom>
      </xdr:spPr>
    </xdr:pic>
    <xdr:clientData/>
  </xdr:twoCellAnchor>
  <xdr:twoCellAnchor editAs="oneCell">
    <xdr:from>
      <xdr:col>6</xdr:col>
      <xdr:colOff>228601</xdr:colOff>
      <xdr:row>54</xdr:row>
      <xdr:rowOff>28576</xdr:rowOff>
    </xdr:from>
    <xdr:to>
      <xdr:col>9</xdr:col>
      <xdr:colOff>115878</xdr:colOff>
      <xdr:row>57</xdr:row>
      <xdr:rowOff>161926</xdr:rowOff>
    </xdr:to>
    <xdr:pic>
      <xdr:nvPicPr>
        <xdr:cNvPr id="10" name="Resim 9"/>
        <xdr:cNvPicPr>
          <a:picLocks noChangeAspect="1"/>
        </xdr:cNvPicPr>
      </xdr:nvPicPr>
      <xdr:blipFill>
        <a:blip xmlns:r="http://schemas.openxmlformats.org/officeDocument/2006/relationships" r:embed="rId5"/>
        <a:stretch>
          <a:fillRect/>
        </a:stretch>
      </xdr:blipFill>
      <xdr:spPr>
        <a:xfrm>
          <a:off x="3238501" y="9344026"/>
          <a:ext cx="1325552" cy="704850"/>
        </a:xfrm>
        <a:prstGeom prst="rect">
          <a:avLst/>
        </a:prstGeom>
      </xdr:spPr>
    </xdr:pic>
    <xdr:clientData/>
  </xdr:twoCellAnchor>
  <xdr:twoCellAnchor editAs="oneCell">
    <xdr:from>
      <xdr:col>10</xdr:col>
      <xdr:colOff>171450</xdr:colOff>
      <xdr:row>54</xdr:row>
      <xdr:rowOff>123825</xdr:rowOff>
    </xdr:from>
    <xdr:to>
      <xdr:col>12</xdr:col>
      <xdr:colOff>230925</xdr:colOff>
      <xdr:row>57</xdr:row>
      <xdr:rowOff>40645</xdr:rowOff>
    </xdr:to>
    <xdr:pic>
      <xdr:nvPicPr>
        <xdr:cNvPr id="11" name="Resim 10"/>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914900" y="9439275"/>
          <a:ext cx="1278675" cy="488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29299</xdr:colOff>
      <xdr:row>4</xdr:row>
      <xdr:rowOff>173935</xdr:rowOff>
    </xdr:to>
    <xdr:pic>
      <xdr:nvPicPr>
        <xdr:cNvPr id="10" name="Resim 9"/>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107674" y="66261"/>
          <a:ext cx="2017125" cy="745435"/>
        </a:xfrm>
        <a:prstGeom prst="rect">
          <a:avLst/>
        </a:prstGeom>
      </xdr:spPr>
    </xdr:pic>
    <xdr:clientData/>
  </xdr:twoCellAnchor>
  <xdr:twoCellAnchor editAs="oneCell">
    <xdr:from>
      <xdr:col>10</xdr:col>
      <xdr:colOff>95250</xdr:colOff>
      <xdr:row>72</xdr:row>
      <xdr:rowOff>28574</xdr:rowOff>
    </xdr:from>
    <xdr:to>
      <xdr:col>14</xdr:col>
      <xdr:colOff>176866</xdr:colOff>
      <xdr:row>75</xdr:row>
      <xdr:rowOff>152399</xdr:rowOff>
    </xdr:to>
    <xdr:pic>
      <xdr:nvPicPr>
        <xdr:cNvPr id="7" name="Resim 6"/>
        <xdr:cNvPicPr>
          <a:picLocks noChangeAspect="1"/>
        </xdr:cNvPicPr>
      </xdr:nvPicPr>
      <xdr:blipFill>
        <a:blip xmlns:r="http://schemas.openxmlformats.org/officeDocument/2006/relationships" r:embed="rId2"/>
        <a:stretch>
          <a:fillRect/>
        </a:stretch>
      </xdr:blipFill>
      <xdr:spPr>
        <a:xfrm>
          <a:off x="3200400" y="9458324"/>
          <a:ext cx="1415116" cy="752475"/>
        </a:xfrm>
        <a:prstGeom prst="rect">
          <a:avLst/>
        </a:prstGeom>
      </xdr:spPr>
    </xdr:pic>
    <xdr:clientData/>
  </xdr:twoCellAnchor>
  <xdr:twoCellAnchor editAs="oneCell">
    <xdr:from>
      <xdr:col>14</xdr:col>
      <xdr:colOff>171450</xdr:colOff>
      <xdr:row>72</xdr:row>
      <xdr:rowOff>161925</xdr:rowOff>
    </xdr:from>
    <xdr:to>
      <xdr:col>18</xdr:col>
      <xdr:colOff>114063</xdr:colOff>
      <xdr:row>75</xdr:row>
      <xdr:rowOff>26397</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10100" y="9210675"/>
          <a:ext cx="1276113" cy="4931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361950</xdr:colOff>
      <xdr:row>26</xdr:row>
      <xdr:rowOff>38101</xdr:rowOff>
    </xdr:from>
    <xdr:to>
      <xdr:col>15</xdr:col>
      <xdr:colOff>361950</xdr:colOff>
      <xdr:row>36</xdr:row>
      <xdr:rowOff>180976</xdr:rowOff>
    </xdr:to>
    <xdr:graphicFrame macro="">
      <xdr:nvGraphicFramePr>
        <xdr:cNvPr id="6" name="Grafik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1</xdr:row>
      <xdr:rowOff>0</xdr:rowOff>
    </xdr:from>
    <xdr:to>
      <xdr:col>6</xdr:col>
      <xdr:colOff>28576</xdr:colOff>
      <xdr:row>3</xdr:row>
      <xdr:rowOff>2485</xdr:rowOff>
    </xdr:to>
    <xdr:pic>
      <xdr:nvPicPr>
        <xdr:cNvPr id="7" name="Resim 6"/>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6" y="190500"/>
          <a:ext cx="1885950" cy="745435"/>
        </a:xfrm>
        <a:prstGeom prst="rect">
          <a:avLst/>
        </a:prstGeom>
      </xdr:spPr>
    </xdr:pic>
    <xdr:clientData/>
  </xdr:twoCellAnchor>
  <xdr:twoCellAnchor editAs="oneCell">
    <xdr:from>
      <xdr:col>9</xdr:col>
      <xdr:colOff>114300</xdr:colOff>
      <xdr:row>45</xdr:row>
      <xdr:rowOff>47625</xdr:rowOff>
    </xdr:from>
    <xdr:to>
      <xdr:col>13</xdr:col>
      <xdr:colOff>43516</xdr:colOff>
      <xdr:row>47</xdr:row>
      <xdr:rowOff>228600</xdr:rowOff>
    </xdr:to>
    <xdr:pic>
      <xdr:nvPicPr>
        <xdr:cNvPr id="10" name="Resim 9"/>
        <xdr:cNvPicPr>
          <a:picLocks noChangeAspect="1"/>
        </xdr:cNvPicPr>
      </xdr:nvPicPr>
      <xdr:blipFill>
        <a:blip xmlns:r="http://schemas.openxmlformats.org/officeDocument/2006/relationships" r:embed="rId3"/>
        <a:stretch>
          <a:fillRect/>
        </a:stretch>
      </xdr:blipFill>
      <xdr:spPr>
        <a:xfrm>
          <a:off x="3324225" y="9324975"/>
          <a:ext cx="1415116" cy="752475"/>
        </a:xfrm>
        <a:prstGeom prst="rect">
          <a:avLst/>
        </a:prstGeom>
      </xdr:spPr>
    </xdr:pic>
    <xdr:clientData/>
  </xdr:twoCellAnchor>
  <xdr:twoCellAnchor editAs="oneCell">
    <xdr:from>
      <xdr:col>12</xdr:col>
      <xdr:colOff>314325</xdr:colOff>
      <xdr:row>45</xdr:row>
      <xdr:rowOff>180975</xdr:rowOff>
    </xdr:from>
    <xdr:to>
      <xdr:col>16</xdr:col>
      <xdr:colOff>104538</xdr:colOff>
      <xdr:row>47</xdr:row>
      <xdr:rowOff>102597</xdr:rowOff>
    </xdr:to>
    <xdr:pic>
      <xdr:nvPicPr>
        <xdr:cNvPr id="8" name="Resim 7"/>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38675" y="9458325"/>
          <a:ext cx="1276113" cy="4931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361950</xdr:colOff>
      <xdr:row>26</xdr:row>
      <xdr:rowOff>38100</xdr:rowOff>
    </xdr:from>
    <xdr:to>
      <xdr:col>15</xdr:col>
      <xdr:colOff>361950</xdr:colOff>
      <xdr:row>36</xdr:row>
      <xdr:rowOff>180975</xdr:rowOff>
    </xdr:to>
    <xdr:graphicFrame macro="">
      <xdr:nvGraphicFramePr>
        <xdr:cNvPr id="7" name="Grafik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28575</xdr:colOff>
      <xdr:row>3</xdr:row>
      <xdr:rowOff>2485</xdr:rowOff>
    </xdr:to>
    <xdr:pic>
      <xdr:nvPicPr>
        <xdr:cNvPr id="10" name="Resim 9"/>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5" y="190500"/>
          <a:ext cx="1885950" cy="745435"/>
        </a:xfrm>
        <a:prstGeom prst="rect">
          <a:avLst/>
        </a:prstGeom>
      </xdr:spPr>
    </xdr:pic>
    <xdr:clientData/>
  </xdr:twoCellAnchor>
  <xdr:twoCellAnchor editAs="oneCell">
    <xdr:from>
      <xdr:col>9</xdr:col>
      <xdr:colOff>133350</xdr:colOff>
      <xdr:row>45</xdr:row>
      <xdr:rowOff>47625</xdr:rowOff>
    </xdr:from>
    <xdr:to>
      <xdr:col>13</xdr:col>
      <xdr:colOff>62566</xdr:colOff>
      <xdr:row>47</xdr:row>
      <xdr:rowOff>228600</xdr:rowOff>
    </xdr:to>
    <xdr:pic>
      <xdr:nvPicPr>
        <xdr:cNvPr id="9" name="Resim 8"/>
        <xdr:cNvPicPr>
          <a:picLocks noChangeAspect="1"/>
        </xdr:cNvPicPr>
      </xdr:nvPicPr>
      <xdr:blipFill>
        <a:blip xmlns:r="http://schemas.openxmlformats.org/officeDocument/2006/relationships" r:embed="rId3"/>
        <a:stretch>
          <a:fillRect/>
        </a:stretch>
      </xdr:blipFill>
      <xdr:spPr>
        <a:xfrm>
          <a:off x="3343275" y="9324975"/>
          <a:ext cx="1415116" cy="752475"/>
        </a:xfrm>
        <a:prstGeom prst="rect">
          <a:avLst/>
        </a:prstGeom>
      </xdr:spPr>
    </xdr:pic>
    <xdr:clientData/>
  </xdr:twoCellAnchor>
  <xdr:twoCellAnchor editAs="oneCell">
    <xdr:from>
      <xdr:col>13</xdr:col>
      <xdr:colOff>0</xdr:colOff>
      <xdr:row>46</xdr:row>
      <xdr:rowOff>0</xdr:rowOff>
    </xdr:from>
    <xdr:to>
      <xdr:col>16</xdr:col>
      <xdr:colOff>161688</xdr:colOff>
      <xdr:row>47</xdr:row>
      <xdr:rowOff>207372</xdr:rowOff>
    </xdr:to>
    <xdr:pic>
      <xdr:nvPicPr>
        <xdr:cNvPr id="6" name="Resim 5"/>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95825" y="9563100"/>
          <a:ext cx="1276113" cy="4931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18317</xdr:colOff>
      <xdr:row>28</xdr:row>
      <xdr:rowOff>91586</xdr:rowOff>
    </xdr:from>
    <xdr:to>
      <xdr:col>6</xdr:col>
      <xdr:colOff>8792</xdr:colOff>
      <xdr:row>39</xdr:row>
      <xdr:rowOff>139211</xdr:rowOff>
    </xdr:to>
    <xdr:graphicFrame macro="">
      <xdr:nvGraphicFramePr>
        <xdr:cNvPr id="2" name="Grafi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40298</xdr:colOff>
      <xdr:row>28</xdr:row>
      <xdr:rowOff>91587</xdr:rowOff>
    </xdr:from>
    <xdr:to>
      <xdr:col>11</xdr:col>
      <xdr:colOff>278423</xdr:colOff>
      <xdr:row>39</xdr:row>
      <xdr:rowOff>139212</xdr:rowOff>
    </xdr:to>
    <xdr:graphicFrame macro="">
      <xdr:nvGraphicFramePr>
        <xdr:cNvPr id="9" name="Grafik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309196</xdr:colOff>
      <xdr:row>28</xdr:row>
      <xdr:rowOff>91586</xdr:rowOff>
    </xdr:from>
    <xdr:to>
      <xdr:col>16</xdr:col>
      <xdr:colOff>413971</xdr:colOff>
      <xdr:row>39</xdr:row>
      <xdr:rowOff>139211</xdr:rowOff>
    </xdr:to>
    <xdr:graphicFrame macro="">
      <xdr:nvGraphicFramePr>
        <xdr:cNvPr id="10" name="Grafik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xdr:row>
      <xdr:rowOff>0</xdr:rowOff>
    </xdr:from>
    <xdr:to>
      <xdr:col>5</xdr:col>
      <xdr:colOff>272303</xdr:colOff>
      <xdr:row>3</xdr:row>
      <xdr:rowOff>5847</xdr:rowOff>
    </xdr:to>
    <xdr:pic>
      <xdr:nvPicPr>
        <xdr:cNvPr id="12" name="Resim 11"/>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212912</xdr:colOff>
      <xdr:row>50</xdr:row>
      <xdr:rowOff>56030</xdr:rowOff>
    </xdr:from>
    <xdr:to>
      <xdr:col>12</xdr:col>
      <xdr:colOff>238499</xdr:colOff>
      <xdr:row>52</xdr:row>
      <xdr:rowOff>225799</xdr:rowOff>
    </xdr:to>
    <xdr:pic>
      <xdr:nvPicPr>
        <xdr:cNvPr id="11" name="Resim 10"/>
        <xdr:cNvPicPr>
          <a:picLocks noChangeAspect="1"/>
        </xdr:cNvPicPr>
      </xdr:nvPicPr>
      <xdr:blipFill>
        <a:blip xmlns:r="http://schemas.openxmlformats.org/officeDocument/2006/relationships" r:embed="rId5"/>
        <a:stretch>
          <a:fillRect/>
        </a:stretch>
      </xdr:blipFill>
      <xdr:spPr>
        <a:xfrm>
          <a:off x="3664324" y="10141324"/>
          <a:ext cx="1415116" cy="752475"/>
        </a:xfrm>
        <a:prstGeom prst="rect">
          <a:avLst/>
        </a:prstGeom>
      </xdr:spPr>
    </xdr:pic>
    <xdr:clientData/>
  </xdr:twoCellAnchor>
  <xdr:twoCellAnchor editAs="oneCell">
    <xdr:from>
      <xdr:col>13</xdr:col>
      <xdr:colOff>0</xdr:colOff>
      <xdr:row>51</xdr:row>
      <xdr:rowOff>0</xdr:rowOff>
    </xdr:from>
    <xdr:to>
      <xdr:col>16</xdr:col>
      <xdr:colOff>77083</xdr:colOff>
      <xdr:row>52</xdr:row>
      <xdr:rowOff>201769</xdr:rowOff>
    </xdr:to>
    <xdr:pic>
      <xdr:nvPicPr>
        <xdr:cNvPr id="8" name="Resim 7"/>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221941" y="10376647"/>
          <a:ext cx="1276113" cy="49312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134471</xdr:colOff>
      <xdr:row>28</xdr:row>
      <xdr:rowOff>163606</xdr:rowOff>
    </xdr:from>
    <xdr:to>
      <xdr:col>16</xdr:col>
      <xdr:colOff>224118</xdr:colOff>
      <xdr:row>42</xdr:row>
      <xdr:rowOff>56029</xdr:rowOff>
    </xdr:to>
    <xdr:graphicFrame macro="">
      <xdr:nvGraphicFramePr>
        <xdr:cNvPr id="3" name="Grafik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14568</xdr:colOff>
      <xdr:row>3</xdr:row>
      <xdr:rowOff>5847</xdr:rowOff>
    </xdr:to>
    <xdr:pic>
      <xdr:nvPicPr>
        <xdr:cNvPr id="7" name="Resim 6"/>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100853</xdr:colOff>
      <xdr:row>50</xdr:row>
      <xdr:rowOff>67235</xdr:rowOff>
    </xdr:from>
    <xdr:to>
      <xdr:col>12</xdr:col>
      <xdr:colOff>350558</xdr:colOff>
      <xdr:row>52</xdr:row>
      <xdr:rowOff>237004</xdr:rowOff>
    </xdr:to>
    <xdr:pic>
      <xdr:nvPicPr>
        <xdr:cNvPr id="8" name="Resim 7"/>
        <xdr:cNvPicPr>
          <a:picLocks noChangeAspect="1"/>
        </xdr:cNvPicPr>
      </xdr:nvPicPr>
      <xdr:blipFill>
        <a:blip xmlns:r="http://schemas.openxmlformats.org/officeDocument/2006/relationships" r:embed="rId3"/>
        <a:stretch>
          <a:fillRect/>
        </a:stretch>
      </xdr:blipFill>
      <xdr:spPr>
        <a:xfrm>
          <a:off x="3283324" y="10141323"/>
          <a:ext cx="1415116" cy="752475"/>
        </a:xfrm>
        <a:prstGeom prst="rect">
          <a:avLst/>
        </a:prstGeom>
      </xdr:spPr>
    </xdr:pic>
    <xdr:clientData/>
  </xdr:twoCellAnchor>
  <xdr:twoCellAnchor editAs="oneCell">
    <xdr:from>
      <xdr:col>13</xdr:col>
      <xdr:colOff>0</xdr:colOff>
      <xdr:row>51</xdr:row>
      <xdr:rowOff>0</xdr:rowOff>
    </xdr:from>
    <xdr:to>
      <xdr:col>16</xdr:col>
      <xdr:colOff>65878</xdr:colOff>
      <xdr:row>52</xdr:row>
      <xdr:rowOff>201769</xdr:rowOff>
    </xdr:to>
    <xdr:pic>
      <xdr:nvPicPr>
        <xdr:cNvPr id="6" name="Resim 5"/>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751294" y="10365441"/>
          <a:ext cx="1276113" cy="4931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57150</xdr:colOff>
      <xdr:row>16</xdr:row>
      <xdr:rowOff>100012</xdr:rowOff>
    </xdr:from>
    <xdr:to>
      <xdr:col>16</xdr:col>
      <xdr:colOff>304800</xdr:colOff>
      <xdr:row>21</xdr:row>
      <xdr:rowOff>123825</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38101</xdr:colOff>
      <xdr:row>29</xdr:row>
      <xdr:rowOff>142875</xdr:rowOff>
    </xdr:from>
    <xdr:to>
      <xdr:col>16</xdr:col>
      <xdr:colOff>276226</xdr:colOff>
      <xdr:row>38</xdr:row>
      <xdr:rowOff>76200</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xdr:colOff>
      <xdr:row>1</xdr:row>
      <xdr:rowOff>0</xdr:rowOff>
    </xdr:from>
    <xdr:to>
      <xdr:col>5</xdr:col>
      <xdr:colOff>336175</xdr:colOff>
      <xdr:row>3</xdr:row>
      <xdr:rowOff>5847</xdr:rowOff>
    </xdr:to>
    <xdr:pic>
      <xdr:nvPicPr>
        <xdr:cNvPr id="9" name="Resim 8"/>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283" t="16707" r="16943" b="17577"/>
        <a:stretch/>
      </xdr:blipFill>
      <xdr:spPr>
        <a:xfrm>
          <a:off x="235323" y="190500"/>
          <a:ext cx="1748117" cy="745435"/>
        </a:xfrm>
        <a:prstGeom prst="rect">
          <a:avLst/>
        </a:prstGeom>
      </xdr:spPr>
    </xdr:pic>
    <xdr:clientData/>
  </xdr:twoCellAnchor>
  <xdr:twoCellAnchor editAs="oneCell">
    <xdr:from>
      <xdr:col>9</xdr:col>
      <xdr:colOff>246529</xdr:colOff>
      <xdr:row>47</xdr:row>
      <xdr:rowOff>56029</xdr:rowOff>
    </xdr:from>
    <xdr:to>
      <xdr:col>13</xdr:col>
      <xdr:colOff>171262</xdr:colOff>
      <xdr:row>49</xdr:row>
      <xdr:rowOff>225798</xdr:rowOff>
    </xdr:to>
    <xdr:pic>
      <xdr:nvPicPr>
        <xdr:cNvPr id="8" name="Resim 7"/>
        <xdr:cNvPicPr>
          <a:picLocks noChangeAspect="1"/>
        </xdr:cNvPicPr>
      </xdr:nvPicPr>
      <xdr:blipFill>
        <a:blip xmlns:r="http://schemas.openxmlformats.org/officeDocument/2006/relationships" r:embed="rId4"/>
        <a:stretch>
          <a:fillRect/>
        </a:stretch>
      </xdr:blipFill>
      <xdr:spPr>
        <a:xfrm>
          <a:off x="3260911" y="9390529"/>
          <a:ext cx="1415116" cy="752475"/>
        </a:xfrm>
        <a:prstGeom prst="rect">
          <a:avLst/>
        </a:prstGeom>
      </xdr:spPr>
    </xdr:pic>
    <xdr:clientData/>
  </xdr:twoCellAnchor>
  <xdr:twoCellAnchor editAs="oneCell">
    <xdr:from>
      <xdr:col>13</xdr:col>
      <xdr:colOff>0</xdr:colOff>
      <xdr:row>48</xdr:row>
      <xdr:rowOff>0</xdr:rowOff>
    </xdr:from>
    <xdr:to>
      <xdr:col>16</xdr:col>
      <xdr:colOff>99496</xdr:colOff>
      <xdr:row>49</xdr:row>
      <xdr:rowOff>201769</xdr:rowOff>
    </xdr:to>
    <xdr:pic>
      <xdr:nvPicPr>
        <xdr:cNvPr id="7" name="Resim 6"/>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04765" y="9625853"/>
          <a:ext cx="1276113" cy="4931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14568</xdr:colOff>
      <xdr:row>3</xdr:row>
      <xdr:rowOff>5847</xdr:rowOff>
    </xdr:to>
    <xdr:pic>
      <xdr:nvPicPr>
        <xdr:cNvPr id="6" name="Resim 5"/>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56029</xdr:colOff>
      <xdr:row>44</xdr:row>
      <xdr:rowOff>56029</xdr:rowOff>
    </xdr:from>
    <xdr:to>
      <xdr:col>12</xdr:col>
      <xdr:colOff>305734</xdr:colOff>
      <xdr:row>46</xdr:row>
      <xdr:rowOff>225798</xdr:rowOff>
    </xdr:to>
    <xdr:pic>
      <xdr:nvPicPr>
        <xdr:cNvPr id="7" name="Resim 6"/>
        <xdr:cNvPicPr>
          <a:picLocks noChangeAspect="1"/>
        </xdr:cNvPicPr>
      </xdr:nvPicPr>
      <xdr:blipFill>
        <a:blip xmlns:r="http://schemas.openxmlformats.org/officeDocument/2006/relationships" r:embed="rId2"/>
        <a:stretch>
          <a:fillRect/>
        </a:stretch>
      </xdr:blipFill>
      <xdr:spPr>
        <a:xfrm>
          <a:off x="3238500" y="9468970"/>
          <a:ext cx="1415116" cy="752475"/>
        </a:xfrm>
        <a:prstGeom prst="rect">
          <a:avLst/>
        </a:prstGeom>
      </xdr:spPr>
    </xdr:pic>
    <xdr:clientData/>
  </xdr:twoCellAnchor>
  <xdr:twoCellAnchor editAs="oneCell">
    <xdr:from>
      <xdr:col>13</xdr:col>
      <xdr:colOff>0</xdr:colOff>
      <xdr:row>45</xdr:row>
      <xdr:rowOff>0</xdr:rowOff>
    </xdr:from>
    <xdr:to>
      <xdr:col>16</xdr:col>
      <xdr:colOff>65878</xdr:colOff>
      <xdr:row>46</xdr:row>
      <xdr:rowOff>201769</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751294" y="9704294"/>
          <a:ext cx="1276113" cy="49312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14568</xdr:colOff>
      <xdr:row>3</xdr:row>
      <xdr:rowOff>5847</xdr:rowOff>
    </xdr:to>
    <xdr:pic>
      <xdr:nvPicPr>
        <xdr:cNvPr id="6" name="Resim 5"/>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179295</xdr:colOff>
      <xdr:row>44</xdr:row>
      <xdr:rowOff>44824</xdr:rowOff>
    </xdr:from>
    <xdr:to>
      <xdr:col>13</xdr:col>
      <xdr:colOff>25588</xdr:colOff>
      <xdr:row>46</xdr:row>
      <xdr:rowOff>214593</xdr:rowOff>
    </xdr:to>
    <xdr:pic>
      <xdr:nvPicPr>
        <xdr:cNvPr id="8" name="Resim 7"/>
        <xdr:cNvPicPr>
          <a:picLocks noChangeAspect="1"/>
        </xdr:cNvPicPr>
      </xdr:nvPicPr>
      <xdr:blipFill>
        <a:blip xmlns:r="http://schemas.openxmlformats.org/officeDocument/2006/relationships" r:embed="rId2"/>
        <a:stretch>
          <a:fillRect/>
        </a:stretch>
      </xdr:blipFill>
      <xdr:spPr>
        <a:xfrm>
          <a:off x="3361766" y="9502589"/>
          <a:ext cx="1415116" cy="752475"/>
        </a:xfrm>
        <a:prstGeom prst="rect">
          <a:avLst/>
        </a:prstGeom>
      </xdr:spPr>
    </xdr:pic>
    <xdr:clientData/>
  </xdr:twoCellAnchor>
  <xdr:twoCellAnchor editAs="oneCell">
    <xdr:from>
      <xdr:col>13</xdr:col>
      <xdr:colOff>0</xdr:colOff>
      <xdr:row>45</xdr:row>
      <xdr:rowOff>0</xdr:rowOff>
    </xdr:from>
    <xdr:to>
      <xdr:col>16</xdr:col>
      <xdr:colOff>65878</xdr:colOff>
      <xdr:row>46</xdr:row>
      <xdr:rowOff>201769</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751294" y="9749118"/>
          <a:ext cx="1276113" cy="49312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123825</xdr:colOff>
      <xdr:row>1</xdr:row>
      <xdr:rowOff>152400</xdr:rowOff>
    </xdr:from>
    <xdr:to>
      <xdr:col>6</xdr:col>
      <xdr:colOff>171450</xdr:colOff>
      <xdr:row>5</xdr:row>
      <xdr:rowOff>62099</xdr:rowOff>
    </xdr:to>
    <xdr:pic>
      <xdr:nvPicPr>
        <xdr:cNvPr id="7" name="Resim 6"/>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28600" y="219075"/>
          <a:ext cx="1714500" cy="633599"/>
        </a:xfrm>
        <a:prstGeom prst="rect">
          <a:avLst/>
        </a:prstGeom>
      </xdr:spPr>
    </xdr:pic>
    <xdr:clientData/>
  </xdr:twoCellAnchor>
  <xdr:twoCellAnchor editAs="oneCell">
    <xdr:from>
      <xdr:col>10</xdr:col>
      <xdr:colOff>219075</xdr:colOff>
      <xdr:row>74</xdr:row>
      <xdr:rowOff>19050</xdr:rowOff>
    </xdr:from>
    <xdr:to>
      <xdr:col>14</xdr:col>
      <xdr:colOff>66675</xdr:colOff>
      <xdr:row>77</xdr:row>
      <xdr:rowOff>132739</xdr:rowOff>
    </xdr:to>
    <xdr:pic>
      <xdr:nvPicPr>
        <xdr:cNvPr id="6" name="Resim 5"/>
        <xdr:cNvPicPr>
          <a:picLocks noChangeAspect="1"/>
        </xdr:cNvPicPr>
      </xdr:nvPicPr>
      <xdr:blipFill>
        <a:blip xmlns:r="http://schemas.openxmlformats.org/officeDocument/2006/relationships" r:embed="rId2"/>
        <a:stretch>
          <a:fillRect/>
        </a:stretch>
      </xdr:blipFill>
      <xdr:spPr>
        <a:xfrm>
          <a:off x="3324225" y="9448800"/>
          <a:ext cx="1181100" cy="628039"/>
        </a:xfrm>
        <a:prstGeom prst="rect">
          <a:avLst/>
        </a:prstGeom>
      </xdr:spPr>
    </xdr:pic>
    <xdr:clientData/>
  </xdr:twoCellAnchor>
  <xdr:twoCellAnchor editAs="oneCell">
    <xdr:from>
      <xdr:col>14</xdr:col>
      <xdr:colOff>19050</xdr:colOff>
      <xdr:row>74</xdr:row>
      <xdr:rowOff>104775</xdr:rowOff>
    </xdr:from>
    <xdr:to>
      <xdr:col>17</xdr:col>
      <xdr:colOff>295038</xdr:colOff>
      <xdr:row>77</xdr:row>
      <xdr:rowOff>83547</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457700" y="9534525"/>
          <a:ext cx="1276113" cy="49312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38100</xdr:colOff>
      <xdr:row>36</xdr:row>
      <xdr:rowOff>57150</xdr:rowOff>
    </xdr:from>
    <xdr:to>
      <xdr:col>16</xdr:col>
      <xdr:colOff>266700</xdr:colOff>
      <xdr:row>45</xdr:row>
      <xdr:rowOff>152400</xdr:rowOff>
    </xdr:to>
    <xdr:graphicFrame macro="">
      <xdr:nvGraphicFramePr>
        <xdr:cNvPr id="2" name="Grafik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19</xdr:row>
      <xdr:rowOff>42862</xdr:rowOff>
    </xdr:from>
    <xdr:to>
      <xdr:col>16</xdr:col>
      <xdr:colOff>285750</xdr:colOff>
      <xdr:row>27</xdr:row>
      <xdr:rowOff>133350</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6</xdr:col>
      <xdr:colOff>9525</xdr:colOff>
      <xdr:row>3</xdr:row>
      <xdr:rowOff>2485</xdr:rowOff>
    </xdr:to>
    <xdr:pic>
      <xdr:nvPicPr>
        <xdr:cNvPr id="8" name="Resim 7"/>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123824</xdr:colOff>
      <xdr:row>50</xdr:row>
      <xdr:rowOff>66675</xdr:rowOff>
    </xdr:from>
    <xdr:to>
      <xdr:col>13</xdr:col>
      <xdr:colOff>109053</xdr:colOff>
      <xdr:row>52</xdr:row>
      <xdr:rowOff>257175</xdr:rowOff>
    </xdr:to>
    <xdr:pic>
      <xdr:nvPicPr>
        <xdr:cNvPr id="9" name="Resim 8"/>
        <xdr:cNvPicPr>
          <a:picLocks noChangeAspect="1"/>
        </xdr:cNvPicPr>
      </xdr:nvPicPr>
      <xdr:blipFill>
        <a:blip xmlns:r="http://schemas.openxmlformats.org/officeDocument/2006/relationships" r:embed="rId4"/>
        <a:stretch>
          <a:fillRect/>
        </a:stretch>
      </xdr:blipFill>
      <xdr:spPr>
        <a:xfrm>
          <a:off x="3257549" y="9344025"/>
          <a:ext cx="1433029" cy="762000"/>
        </a:xfrm>
        <a:prstGeom prst="rect">
          <a:avLst/>
        </a:prstGeom>
      </xdr:spPr>
    </xdr:pic>
    <xdr:clientData/>
  </xdr:twoCellAnchor>
  <xdr:twoCellAnchor editAs="oneCell">
    <xdr:from>
      <xdr:col>13</xdr:col>
      <xdr:colOff>0</xdr:colOff>
      <xdr:row>51</xdr:row>
      <xdr:rowOff>0</xdr:rowOff>
    </xdr:from>
    <xdr:to>
      <xdr:col>16</xdr:col>
      <xdr:colOff>228363</xdr:colOff>
      <xdr:row>52</xdr:row>
      <xdr:rowOff>207372</xdr:rowOff>
    </xdr:to>
    <xdr:pic>
      <xdr:nvPicPr>
        <xdr:cNvPr id="7" name="Resim 6"/>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81525" y="9563100"/>
          <a:ext cx="1276113" cy="49312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9525</xdr:colOff>
      <xdr:row>3</xdr:row>
      <xdr:rowOff>2485</xdr:rowOff>
    </xdr:to>
    <xdr:pic>
      <xdr:nvPicPr>
        <xdr:cNvPr id="7" name="Resim 6"/>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104775</xdr:colOff>
      <xdr:row>50</xdr:row>
      <xdr:rowOff>28575</xdr:rowOff>
    </xdr:from>
    <xdr:to>
      <xdr:col>13</xdr:col>
      <xdr:colOff>90004</xdr:colOff>
      <xdr:row>52</xdr:row>
      <xdr:rowOff>219075</xdr:rowOff>
    </xdr:to>
    <xdr:pic>
      <xdr:nvPicPr>
        <xdr:cNvPr id="6" name="Resim 5"/>
        <xdr:cNvPicPr>
          <a:picLocks noChangeAspect="1"/>
        </xdr:cNvPicPr>
      </xdr:nvPicPr>
      <xdr:blipFill>
        <a:blip xmlns:r="http://schemas.openxmlformats.org/officeDocument/2006/relationships" r:embed="rId2"/>
        <a:stretch>
          <a:fillRect/>
        </a:stretch>
      </xdr:blipFill>
      <xdr:spPr>
        <a:xfrm>
          <a:off x="3238500" y="9315450"/>
          <a:ext cx="1433029" cy="762000"/>
        </a:xfrm>
        <a:prstGeom prst="rect">
          <a:avLst/>
        </a:prstGeom>
      </xdr:spPr>
    </xdr:pic>
    <xdr:clientData/>
  </xdr:twoCellAnchor>
  <xdr:twoCellAnchor editAs="oneCell">
    <xdr:from>
      <xdr:col>12</xdr:col>
      <xdr:colOff>200025</xdr:colOff>
      <xdr:row>50</xdr:row>
      <xdr:rowOff>161925</xdr:rowOff>
    </xdr:from>
    <xdr:to>
      <xdr:col>16</xdr:col>
      <xdr:colOff>28338</xdr:colOff>
      <xdr:row>52</xdr:row>
      <xdr:rowOff>83547</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419600" y="9448800"/>
          <a:ext cx="1276113" cy="4931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104869</xdr:colOff>
      <xdr:row>36</xdr:row>
      <xdr:rowOff>64569</xdr:rowOff>
    </xdr:from>
    <xdr:to>
      <xdr:col>16</xdr:col>
      <xdr:colOff>237760</xdr:colOff>
      <xdr:row>37</xdr:row>
      <xdr:rowOff>227787</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108896</xdr:colOff>
      <xdr:row>30</xdr:row>
      <xdr:rowOff>17858</xdr:rowOff>
    </xdr:from>
    <xdr:to>
      <xdr:col>16</xdr:col>
      <xdr:colOff>241787</xdr:colOff>
      <xdr:row>35</xdr:row>
      <xdr:rowOff>145358</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6</xdr:col>
      <xdr:colOff>26334</xdr:colOff>
      <xdr:row>3</xdr:row>
      <xdr:rowOff>5847</xdr:rowOff>
    </xdr:to>
    <xdr:pic>
      <xdr:nvPicPr>
        <xdr:cNvPr id="8" name="Resim 7"/>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283" t="16707" r="16943" b="17577"/>
        <a:stretch/>
      </xdr:blipFill>
      <xdr:spPr>
        <a:xfrm>
          <a:off x="235324" y="190500"/>
          <a:ext cx="1819275" cy="745435"/>
        </a:xfrm>
        <a:prstGeom prst="rect">
          <a:avLst/>
        </a:prstGeom>
      </xdr:spPr>
    </xdr:pic>
    <xdr:clientData/>
  </xdr:twoCellAnchor>
  <xdr:twoCellAnchor editAs="oneCell">
    <xdr:from>
      <xdr:col>9</xdr:col>
      <xdr:colOff>257736</xdr:colOff>
      <xdr:row>48</xdr:row>
      <xdr:rowOff>67236</xdr:rowOff>
    </xdr:from>
    <xdr:to>
      <xdr:col>13</xdr:col>
      <xdr:colOff>256412</xdr:colOff>
      <xdr:row>50</xdr:row>
      <xdr:rowOff>246530</xdr:rowOff>
    </xdr:to>
    <xdr:pic>
      <xdr:nvPicPr>
        <xdr:cNvPr id="9" name="Resim 8"/>
        <xdr:cNvPicPr>
          <a:picLocks noChangeAspect="1"/>
        </xdr:cNvPicPr>
      </xdr:nvPicPr>
      <xdr:blipFill>
        <a:blip xmlns:r="http://schemas.openxmlformats.org/officeDocument/2006/relationships" r:embed="rId4"/>
        <a:stretch>
          <a:fillRect/>
        </a:stretch>
      </xdr:blipFill>
      <xdr:spPr>
        <a:xfrm>
          <a:off x="3361765" y="9379324"/>
          <a:ext cx="1433029" cy="762000"/>
        </a:xfrm>
        <a:prstGeom prst="rect">
          <a:avLst/>
        </a:prstGeom>
      </xdr:spPr>
    </xdr:pic>
    <xdr:clientData/>
  </xdr:twoCellAnchor>
  <xdr:twoCellAnchor editAs="oneCell">
    <xdr:from>
      <xdr:col>13</xdr:col>
      <xdr:colOff>89648</xdr:colOff>
      <xdr:row>48</xdr:row>
      <xdr:rowOff>224117</xdr:rowOff>
    </xdr:from>
    <xdr:to>
      <xdr:col>16</xdr:col>
      <xdr:colOff>289996</xdr:colOff>
      <xdr:row>50</xdr:row>
      <xdr:rowOff>134533</xdr:rowOff>
    </xdr:to>
    <xdr:pic>
      <xdr:nvPicPr>
        <xdr:cNvPr id="7" name="Resim 6"/>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28030" y="9536205"/>
          <a:ext cx="1276113" cy="49312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9525</xdr:colOff>
      <xdr:row>3</xdr:row>
      <xdr:rowOff>2485</xdr:rowOff>
    </xdr:to>
    <xdr:pic>
      <xdr:nvPicPr>
        <xdr:cNvPr id="6" name="Resim 5"/>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266700</xdr:colOff>
      <xdr:row>44</xdr:row>
      <xdr:rowOff>57150</xdr:rowOff>
    </xdr:from>
    <xdr:to>
      <xdr:col>13</xdr:col>
      <xdr:colOff>251929</xdr:colOff>
      <xdr:row>46</xdr:row>
      <xdr:rowOff>247650</xdr:rowOff>
    </xdr:to>
    <xdr:pic>
      <xdr:nvPicPr>
        <xdr:cNvPr id="7" name="Resim 6"/>
        <xdr:cNvPicPr>
          <a:picLocks noChangeAspect="1"/>
        </xdr:cNvPicPr>
      </xdr:nvPicPr>
      <xdr:blipFill>
        <a:blip xmlns:r="http://schemas.openxmlformats.org/officeDocument/2006/relationships" r:embed="rId2"/>
        <a:stretch>
          <a:fillRect/>
        </a:stretch>
      </xdr:blipFill>
      <xdr:spPr>
        <a:xfrm>
          <a:off x="3400425" y="8848725"/>
          <a:ext cx="1433029" cy="762000"/>
        </a:xfrm>
        <a:prstGeom prst="rect">
          <a:avLst/>
        </a:prstGeom>
      </xdr:spPr>
    </xdr:pic>
    <xdr:clientData/>
  </xdr:twoCellAnchor>
  <xdr:twoCellAnchor editAs="oneCell">
    <xdr:from>
      <xdr:col>13</xdr:col>
      <xdr:colOff>0</xdr:colOff>
      <xdr:row>45</xdr:row>
      <xdr:rowOff>0</xdr:rowOff>
    </xdr:from>
    <xdr:to>
      <xdr:col>16</xdr:col>
      <xdr:colOff>190263</xdr:colOff>
      <xdr:row>46</xdr:row>
      <xdr:rowOff>207372</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81525" y="9077325"/>
          <a:ext cx="1276113" cy="49312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104776</xdr:colOff>
      <xdr:row>19</xdr:row>
      <xdr:rowOff>33336</xdr:rowOff>
    </xdr:from>
    <xdr:to>
      <xdr:col>16</xdr:col>
      <xdr:colOff>257176</xdr:colOff>
      <xdr:row>29</xdr:row>
      <xdr:rowOff>200025</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9525</xdr:colOff>
      <xdr:row>3</xdr:row>
      <xdr:rowOff>2485</xdr:rowOff>
    </xdr:to>
    <xdr:pic>
      <xdr:nvPicPr>
        <xdr:cNvPr id="7" name="Resim 6"/>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285750</xdr:colOff>
      <xdr:row>44</xdr:row>
      <xdr:rowOff>47625</xdr:rowOff>
    </xdr:from>
    <xdr:to>
      <xdr:col>13</xdr:col>
      <xdr:colOff>270979</xdr:colOff>
      <xdr:row>46</xdr:row>
      <xdr:rowOff>238125</xdr:rowOff>
    </xdr:to>
    <xdr:pic>
      <xdr:nvPicPr>
        <xdr:cNvPr id="8" name="Resim 7"/>
        <xdr:cNvPicPr>
          <a:picLocks noChangeAspect="1"/>
        </xdr:cNvPicPr>
      </xdr:nvPicPr>
      <xdr:blipFill>
        <a:blip xmlns:r="http://schemas.openxmlformats.org/officeDocument/2006/relationships" r:embed="rId3"/>
        <a:stretch>
          <a:fillRect/>
        </a:stretch>
      </xdr:blipFill>
      <xdr:spPr>
        <a:xfrm>
          <a:off x="3419475" y="9363075"/>
          <a:ext cx="1433029" cy="762000"/>
        </a:xfrm>
        <a:prstGeom prst="rect">
          <a:avLst/>
        </a:prstGeom>
      </xdr:spPr>
    </xdr:pic>
    <xdr:clientData/>
  </xdr:twoCellAnchor>
  <xdr:twoCellAnchor editAs="oneCell">
    <xdr:from>
      <xdr:col>13</xdr:col>
      <xdr:colOff>64575</xdr:colOff>
      <xdr:row>44</xdr:row>
      <xdr:rowOff>209874</xdr:rowOff>
    </xdr:from>
    <xdr:to>
      <xdr:col>16</xdr:col>
      <xdr:colOff>275180</xdr:colOff>
      <xdr:row>46</xdr:row>
      <xdr:rowOff>121809</xdr:rowOff>
    </xdr:to>
    <xdr:pic>
      <xdr:nvPicPr>
        <xdr:cNvPr id="6" name="Resim 5"/>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61039" y1="53390" x2="61039" y2="53390"/>
                      <a14:backgroundMark x1="49675" y1="54237" x2="49675" y2="54237"/>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68770" y="9605721"/>
          <a:ext cx="1276113" cy="493122"/>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topLeftCell="F51" zoomScale="238" zoomScaleNormal="238" workbookViewId="0">
      <selection activeCell="R54" sqref="R54"/>
    </sheetView>
  </sheetViews>
  <sheetFormatPr defaultRowHeight="15" x14ac:dyDescent="0.25"/>
  <cols>
    <col min="1" max="1" width="3.140625" style="306" customWidth="1"/>
    <col min="2" max="2" width="13.28515625" style="306" customWidth="1"/>
    <col min="3" max="3" width="1.42578125" style="354" customWidth="1"/>
    <col min="4" max="4" width="10.140625" style="306" bestFit="1" customWidth="1"/>
    <col min="5" max="8" width="8.5703125" style="306" customWidth="1"/>
    <col min="9" max="10" width="4.42578125" style="354" customWidth="1"/>
    <col min="11" max="16384" width="9.140625" style="306"/>
  </cols>
  <sheetData>
    <row r="1" spans="1:14" ht="15" customHeight="1" x14ac:dyDescent="0.25">
      <c r="A1" s="385"/>
      <c r="B1" s="385"/>
      <c r="C1" s="385"/>
      <c r="D1" s="385"/>
      <c r="E1" s="379" t="s">
        <v>392</v>
      </c>
      <c r="F1" s="379"/>
      <c r="G1" s="379"/>
      <c r="H1" s="379"/>
      <c r="I1" s="379"/>
      <c r="J1" s="379"/>
      <c r="K1" s="355"/>
      <c r="L1" s="354"/>
      <c r="M1" s="354"/>
    </row>
    <row r="2" spans="1:14" ht="15" customHeight="1" x14ac:dyDescent="0.25">
      <c r="A2" s="385"/>
      <c r="B2" s="385"/>
      <c r="C2" s="385"/>
      <c r="D2" s="385"/>
      <c r="E2" s="379"/>
      <c r="F2" s="379"/>
      <c r="G2" s="379"/>
      <c r="H2" s="379"/>
      <c r="I2" s="379"/>
      <c r="J2" s="379"/>
      <c r="K2" s="355"/>
      <c r="L2" s="340"/>
      <c r="M2" s="340"/>
    </row>
    <row r="3" spans="1:14" ht="15" customHeight="1" x14ac:dyDescent="0.25">
      <c r="A3" s="385"/>
      <c r="B3" s="385"/>
      <c r="C3" s="385"/>
      <c r="D3" s="385"/>
      <c r="E3" s="380" t="s">
        <v>393</v>
      </c>
      <c r="F3" s="380"/>
      <c r="G3" s="380"/>
      <c r="H3" s="380"/>
      <c r="I3" s="380"/>
      <c r="J3" s="380"/>
      <c r="K3" s="356"/>
      <c r="L3" s="340"/>
      <c r="M3" s="340"/>
    </row>
    <row r="4" spans="1:14" ht="15" customHeight="1" x14ac:dyDescent="0.25">
      <c r="A4" s="385"/>
      <c r="B4" s="385"/>
      <c r="C4" s="385"/>
      <c r="D4" s="385"/>
      <c r="E4" s="380"/>
      <c r="F4" s="380"/>
      <c r="G4" s="380"/>
      <c r="H4" s="380"/>
      <c r="I4" s="380"/>
      <c r="J4" s="380"/>
      <c r="K4" s="356"/>
      <c r="L4" s="341"/>
      <c r="M4" s="341"/>
      <c r="N4" s="361"/>
    </row>
    <row r="5" spans="1:14" ht="1.5" customHeight="1" x14ac:dyDescent="0.25">
      <c r="A5" s="381"/>
      <c r="B5" s="381"/>
      <c r="C5" s="381"/>
      <c r="D5" s="381"/>
      <c r="E5" s="381"/>
      <c r="F5" s="381"/>
      <c r="G5" s="381"/>
      <c r="H5" s="381"/>
      <c r="I5" s="381"/>
      <c r="J5" s="381"/>
      <c r="K5" s="381"/>
      <c r="L5" s="381"/>
      <c r="M5" s="381"/>
      <c r="N5" s="359"/>
    </row>
    <row r="6" spans="1:14" ht="7.5" customHeight="1" x14ac:dyDescent="0.25">
      <c r="N6" s="361"/>
    </row>
    <row r="7" spans="1:14" ht="18.75" x14ac:dyDescent="0.3">
      <c r="A7" s="372" t="s">
        <v>330</v>
      </c>
      <c r="B7" s="372"/>
      <c r="C7" s="372"/>
      <c r="D7" s="372"/>
      <c r="E7" s="372"/>
      <c r="F7" s="372"/>
      <c r="G7" s="372"/>
      <c r="H7" s="372"/>
      <c r="I7" s="372"/>
      <c r="J7" s="372"/>
      <c r="K7" s="372"/>
      <c r="L7" s="372"/>
      <c r="M7" s="372"/>
      <c r="N7" s="361"/>
    </row>
    <row r="8" spans="1:14" ht="9" customHeight="1" x14ac:dyDescent="0.25">
      <c r="N8" s="361"/>
    </row>
    <row r="9" spans="1:14" x14ac:dyDescent="0.25">
      <c r="A9" s="378" t="s">
        <v>337</v>
      </c>
      <c r="B9" s="378"/>
      <c r="C9" s="353"/>
      <c r="D9" s="378" t="s">
        <v>389</v>
      </c>
      <c r="E9" s="378"/>
      <c r="F9" s="378"/>
      <c r="G9" s="378"/>
      <c r="H9" s="378"/>
      <c r="I9" s="378"/>
      <c r="J9" s="378"/>
      <c r="K9" s="378"/>
      <c r="L9" s="378"/>
      <c r="M9" s="378"/>
    </row>
    <row r="10" spans="1:14" s="346" customFormat="1" x14ac:dyDescent="0.25">
      <c r="A10" s="378" t="s">
        <v>388</v>
      </c>
      <c r="B10" s="378"/>
      <c r="C10" s="353"/>
      <c r="D10" s="378" t="s">
        <v>391</v>
      </c>
      <c r="E10" s="378"/>
      <c r="F10" s="378"/>
      <c r="G10" s="378"/>
      <c r="H10" s="378"/>
      <c r="I10" s="378"/>
      <c r="J10" s="378"/>
      <c r="K10" s="378"/>
      <c r="L10" s="378"/>
      <c r="M10" s="378"/>
    </row>
    <row r="11" spans="1:14" x14ac:dyDescent="0.25">
      <c r="A11" s="378" t="s">
        <v>338</v>
      </c>
      <c r="B11" s="378"/>
      <c r="C11" s="353"/>
      <c r="D11" s="378" t="s">
        <v>390</v>
      </c>
      <c r="E11" s="378"/>
      <c r="F11" s="378"/>
      <c r="G11" s="378"/>
      <c r="H11" s="378"/>
      <c r="I11" s="378"/>
      <c r="J11" s="378"/>
      <c r="K11" s="378"/>
      <c r="L11" s="378"/>
      <c r="M11" s="378"/>
    </row>
    <row r="12" spans="1:14" x14ac:dyDescent="0.25">
      <c r="A12" s="378" t="s">
        <v>383</v>
      </c>
      <c r="B12" s="378"/>
      <c r="C12" s="353"/>
      <c r="D12" s="309">
        <v>45310</v>
      </c>
      <c r="E12" s="173"/>
      <c r="F12" s="173"/>
      <c r="G12" s="173"/>
      <c r="H12" s="173"/>
      <c r="I12" s="173"/>
      <c r="J12" s="173"/>
      <c r="K12" s="173"/>
      <c r="L12" s="173"/>
    </row>
    <row r="13" spans="1:14" x14ac:dyDescent="0.25">
      <c r="A13" s="378" t="s">
        <v>351</v>
      </c>
      <c r="B13" s="378"/>
      <c r="C13" s="353"/>
      <c r="D13" s="307" t="s">
        <v>352</v>
      </c>
      <c r="E13" s="173"/>
      <c r="F13" s="173"/>
      <c r="G13" s="173"/>
      <c r="H13" s="173"/>
      <c r="I13" s="173"/>
      <c r="J13" s="173"/>
      <c r="K13" s="173"/>
      <c r="L13" s="173"/>
    </row>
    <row r="14" spans="1:14" x14ac:dyDescent="0.25">
      <c r="A14" s="378" t="s">
        <v>331</v>
      </c>
      <c r="B14" s="378"/>
      <c r="C14" s="353"/>
      <c r="D14" s="342">
        <v>45307</v>
      </c>
      <c r="E14" s="378" t="s">
        <v>381</v>
      </c>
      <c r="F14" s="378"/>
      <c r="G14" s="378"/>
      <c r="H14" s="378"/>
      <c r="I14" s="378"/>
      <c r="J14" s="378"/>
      <c r="K14" s="378"/>
      <c r="L14" s="378"/>
      <c r="M14" s="378"/>
    </row>
    <row r="15" spans="1:14" ht="9" customHeight="1" x14ac:dyDescent="0.25"/>
    <row r="16" spans="1:14" x14ac:dyDescent="0.25">
      <c r="B16" s="308" t="s">
        <v>332</v>
      </c>
      <c r="C16" s="308"/>
    </row>
    <row r="17" spans="1:13" ht="9" customHeight="1" x14ac:dyDescent="0.25"/>
    <row r="18" spans="1:13" s="325" customFormat="1" x14ac:dyDescent="0.25">
      <c r="A18" s="326" t="s">
        <v>353</v>
      </c>
      <c r="B18" s="328" t="s">
        <v>354</v>
      </c>
      <c r="C18" s="328"/>
      <c r="D18" s="327"/>
      <c r="E18" s="327"/>
      <c r="F18" s="327"/>
      <c r="G18" s="327"/>
      <c r="H18" s="327"/>
      <c r="I18" s="327"/>
      <c r="J18" s="327"/>
      <c r="K18" s="327"/>
      <c r="L18" s="327"/>
      <c r="M18" s="327"/>
    </row>
    <row r="19" spans="1:13" s="325" customFormat="1" ht="9" customHeight="1" x14ac:dyDescent="0.25">
      <c r="A19" s="326"/>
      <c r="B19" s="328"/>
      <c r="C19" s="328"/>
      <c r="D19" s="327"/>
      <c r="E19" s="327"/>
      <c r="F19" s="327"/>
      <c r="G19" s="327"/>
      <c r="H19" s="327"/>
      <c r="I19" s="327"/>
      <c r="J19" s="327"/>
      <c r="K19" s="327"/>
      <c r="L19" s="327"/>
      <c r="M19" s="327"/>
    </row>
    <row r="20" spans="1:13" s="325" customFormat="1" x14ac:dyDescent="0.25">
      <c r="A20" s="326" t="s">
        <v>353</v>
      </c>
      <c r="B20" s="373" t="s">
        <v>355</v>
      </c>
      <c r="C20" s="373"/>
      <c r="D20" s="373"/>
      <c r="E20" s="373"/>
      <c r="F20" s="373"/>
      <c r="G20" s="373"/>
      <c r="H20" s="373"/>
      <c r="I20" s="373"/>
      <c r="J20" s="373"/>
      <c r="K20" s="373"/>
      <c r="L20" s="373"/>
      <c r="M20" s="373"/>
    </row>
    <row r="21" spans="1:13" s="325" customFormat="1" x14ac:dyDescent="0.25">
      <c r="A21" s="316"/>
      <c r="B21" s="373"/>
      <c r="C21" s="373"/>
      <c r="D21" s="373"/>
      <c r="E21" s="373"/>
      <c r="F21" s="373"/>
      <c r="G21" s="373"/>
      <c r="H21" s="373"/>
      <c r="I21" s="373"/>
      <c r="J21" s="373"/>
      <c r="K21" s="373"/>
      <c r="L21" s="373"/>
      <c r="M21" s="373"/>
    </row>
    <row r="22" spans="1:13" s="325" customFormat="1" ht="9" customHeight="1" x14ac:dyDescent="0.25">
      <c r="A22" s="316"/>
      <c r="B22" s="317"/>
      <c r="C22" s="349"/>
      <c r="D22" s="317"/>
      <c r="E22" s="317"/>
      <c r="F22" s="317"/>
      <c r="G22" s="317"/>
      <c r="H22" s="317"/>
      <c r="I22" s="349"/>
      <c r="J22" s="349"/>
      <c r="K22" s="317"/>
      <c r="L22" s="317"/>
      <c r="M22" s="317"/>
    </row>
    <row r="23" spans="1:13" s="325" customFormat="1" x14ac:dyDescent="0.25">
      <c r="A23" s="325" t="s">
        <v>353</v>
      </c>
      <c r="B23" s="374" t="s">
        <v>359</v>
      </c>
      <c r="C23" s="374"/>
      <c r="D23" s="374"/>
      <c r="E23" s="374"/>
      <c r="F23" s="374"/>
      <c r="G23" s="374"/>
      <c r="H23" s="374"/>
      <c r="I23" s="374"/>
      <c r="J23" s="374"/>
      <c r="K23" s="374"/>
      <c r="L23" s="374"/>
      <c r="M23" s="374"/>
    </row>
    <row r="24" spans="1:13" s="325" customFormat="1" x14ac:dyDescent="0.25">
      <c r="B24" s="374"/>
      <c r="C24" s="374"/>
      <c r="D24" s="374"/>
      <c r="E24" s="374"/>
      <c r="F24" s="374"/>
      <c r="G24" s="374"/>
      <c r="H24" s="374"/>
      <c r="I24" s="374"/>
      <c r="J24" s="374"/>
      <c r="K24" s="374"/>
      <c r="L24" s="374"/>
      <c r="M24" s="374"/>
    </row>
    <row r="25" spans="1:13" s="325" customFormat="1" x14ac:dyDescent="0.25">
      <c r="A25" s="316"/>
      <c r="B25" s="374"/>
      <c r="C25" s="374"/>
      <c r="D25" s="374"/>
      <c r="E25" s="374"/>
      <c r="F25" s="374"/>
      <c r="G25" s="374"/>
      <c r="H25" s="374"/>
      <c r="I25" s="374"/>
      <c r="J25" s="374"/>
      <c r="K25" s="374"/>
      <c r="L25" s="374"/>
      <c r="M25" s="374"/>
    </row>
    <row r="26" spans="1:13" s="325" customFormat="1" ht="9" customHeight="1" x14ac:dyDescent="0.25">
      <c r="A26" s="316"/>
      <c r="B26" s="329"/>
      <c r="C26" s="350"/>
      <c r="D26" s="329"/>
      <c r="E26" s="329"/>
      <c r="F26" s="329"/>
      <c r="G26" s="329"/>
      <c r="H26" s="329"/>
      <c r="I26" s="350"/>
      <c r="J26" s="350"/>
      <c r="K26" s="329"/>
      <c r="L26" s="329"/>
      <c r="M26" s="329"/>
    </row>
    <row r="27" spans="1:13" s="325" customFormat="1" x14ac:dyDescent="0.25">
      <c r="A27" s="325" t="s">
        <v>353</v>
      </c>
      <c r="B27" s="328" t="s">
        <v>356</v>
      </c>
      <c r="C27" s="328"/>
      <c r="D27" s="327"/>
      <c r="E27" s="327"/>
      <c r="F27" s="327"/>
      <c r="G27" s="327"/>
      <c r="H27" s="327"/>
      <c r="I27" s="327"/>
      <c r="J27" s="327"/>
      <c r="K27" s="327"/>
      <c r="L27" s="327"/>
      <c r="M27" s="327"/>
    </row>
    <row r="28" spans="1:13" s="325" customFormat="1" ht="9" customHeight="1" x14ac:dyDescent="0.25">
      <c r="A28" s="316"/>
      <c r="B28" s="317"/>
      <c r="C28" s="349"/>
      <c r="D28" s="317"/>
      <c r="E28" s="317"/>
      <c r="F28" s="317"/>
      <c r="G28" s="317"/>
      <c r="H28" s="317"/>
      <c r="I28" s="349"/>
      <c r="J28" s="349"/>
      <c r="K28" s="317"/>
      <c r="L28" s="317"/>
    </row>
    <row r="29" spans="1:13" s="325" customFormat="1" x14ac:dyDescent="0.25">
      <c r="A29" s="377" t="s">
        <v>226</v>
      </c>
      <c r="B29" s="377"/>
      <c r="C29" s="352"/>
      <c r="D29" s="332"/>
      <c r="E29" s="332"/>
      <c r="F29" s="332"/>
      <c r="G29" s="332"/>
      <c r="H29" s="332"/>
      <c r="I29" s="332"/>
      <c r="J29" s="332"/>
      <c r="K29" s="332"/>
      <c r="L29" s="332"/>
      <c r="M29" s="332"/>
    </row>
    <row r="30" spans="1:13" s="325" customFormat="1" ht="9" customHeight="1" x14ac:dyDescent="0.25">
      <c r="B30" s="173"/>
      <c r="C30" s="173"/>
      <c r="D30" s="173"/>
      <c r="E30" s="173"/>
      <c r="F30" s="173"/>
      <c r="G30" s="173"/>
      <c r="H30" s="173"/>
      <c r="I30" s="173"/>
      <c r="J30" s="173"/>
      <c r="K30" s="173"/>
      <c r="L30" s="173"/>
      <c r="M30" s="173"/>
    </row>
    <row r="31" spans="1:13" s="325" customFormat="1" ht="15" customHeight="1" x14ac:dyDescent="0.25">
      <c r="A31" s="373" t="s">
        <v>382</v>
      </c>
      <c r="B31" s="373"/>
      <c r="C31" s="373"/>
      <c r="D31" s="373"/>
      <c r="E31" s="373"/>
      <c r="F31" s="373"/>
      <c r="G31" s="373"/>
      <c r="H31" s="373"/>
      <c r="I31" s="373"/>
      <c r="J31" s="373"/>
      <c r="K31" s="373"/>
      <c r="L31" s="373"/>
      <c r="M31" s="373"/>
    </row>
    <row r="32" spans="1:13" s="325" customFormat="1" x14ac:dyDescent="0.25">
      <c r="A32" s="373"/>
      <c r="B32" s="373"/>
      <c r="C32" s="373"/>
      <c r="D32" s="373"/>
      <c r="E32" s="373"/>
      <c r="F32" s="373"/>
      <c r="G32" s="373"/>
      <c r="H32" s="373"/>
      <c r="I32" s="373"/>
      <c r="J32" s="373"/>
      <c r="K32" s="373"/>
      <c r="L32" s="373"/>
      <c r="M32" s="373"/>
    </row>
    <row r="33" spans="1:13" x14ac:dyDescent="0.25">
      <c r="A33" s="373"/>
      <c r="B33" s="373"/>
      <c r="C33" s="373"/>
      <c r="D33" s="373"/>
      <c r="E33" s="373"/>
      <c r="F33" s="373"/>
      <c r="G33" s="373"/>
      <c r="H33" s="373"/>
      <c r="I33" s="373"/>
      <c r="J33" s="373"/>
      <c r="K33" s="373"/>
      <c r="L33" s="373"/>
      <c r="M33" s="373"/>
    </row>
    <row r="34" spans="1:13" s="325" customFormat="1" ht="11.25" customHeight="1" x14ac:dyDescent="0.25">
      <c r="C34" s="354"/>
      <c r="I34" s="354"/>
      <c r="J34" s="354"/>
    </row>
    <row r="35" spans="1:13" x14ac:dyDescent="0.25">
      <c r="A35" s="325"/>
      <c r="B35" s="325"/>
      <c r="D35" s="325"/>
      <c r="E35" s="325"/>
      <c r="F35" s="325"/>
      <c r="G35" s="325"/>
      <c r="H35" s="325"/>
      <c r="K35" s="325"/>
      <c r="L35" s="325"/>
      <c r="M35" s="325"/>
    </row>
    <row r="36" spans="1:13" x14ac:dyDescent="0.25">
      <c r="A36" s="325"/>
      <c r="B36" s="325"/>
      <c r="D36" s="325"/>
      <c r="E36" s="325"/>
      <c r="F36" s="325"/>
      <c r="G36" s="325"/>
      <c r="H36" s="325"/>
      <c r="K36" s="325"/>
      <c r="L36" s="325"/>
      <c r="M36" s="325"/>
    </row>
    <row r="37" spans="1:13" x14ac:dyDescent="0.25">
      <c r="A37" s="325"/>
      <c r="B37" s="325"/>
      <c r="D37" s="325"/>
      <c r="E37" s="325"/>
      <c r="F37" s="325"/>
      <c r="G37" s="325"/>
      <c r="H37" s="325"/>
      <c r="K37" s="325"/>
      <c r="L37" s="325"/>
      <c r="M37" s="325"/>
    </row>
    <row r="38" spans="1:13" x14ac:dyDescent="0.25">
      <c r="A38" s="325"/>
      <c r="B38" s="325"/>
      <c r="D38" s="325"/>
      <c r="E38" s="325"/>
      <c r="F38" s="325"/>
      <c r="G38" s="325"/>
      <c r="H38" s="325"/>
      <c r="K38" s="325"/>
      <c r="L38" s="325"/>
      <c r="M38" s="325"/>
    </row>
    <row r="39" spans="1:13" x14ac:dyDescent="0.25">
      <c r="A39" s="325"/>
      <c r="B39" s="325"/>
      <c r="D39" s="325"/>
      <c r="E39" s="325"/>
      <c r="F39" s="325"/>
      <c r="G39" s="325"/>
      <c r="H39" s="325"/>
      <c r="K39" s="325"/>
      <c r="L39" s="325"/>
      <c r="M39" s="325"/>
    </row>
    <row r="40" spans="1:13" x14ac:dyDescent="0.25">
      <c r="A40" s="325"/>
      <c r="B40" s="325"/>
      <c r="D40" s="325"/>
      <c r="E40" s="325"/>
      <c r="F40" s="325"/>
      <c r="G40" s="325"/>
      <c r="H40" s="325"/>
      <c r="K40" s="325"/>
      <c r="L40" s="325"/>
      <c r="M40" s="325"/>
    </row>
    <row r="41" spans="1:13" x14ac:dyDescent="0.25">
      <c r="A41" s="325"/>
      <c r="B41" s="325"/>
      <c r="D41" s="325"/>
      <c r="E41" s="325"/>
      <c r="F41" s="325"/>
      <c r="G41" s="325"/>
      <c r="H41" s="325"/>
      <c r="K41" s="325"/>
      <c r="L41" s="325"/>
      <c r="M41" s="325"/>
    </row>
    <row r="42" spans="1:13" s="339" customFormat="1" x14ac:dyDescent="0.25">
      <c r="C42" s="354"/>
      <c r="I42" s="354"/>
      <c r="J42" s="354"/>
    </row>
    <row r="43" spans="1:13" s="339" customFormat="1" x14ac:dyDescent="0.25">
      <c r="C43" s="354"/>
      <c r="I43" s="354"/>
      <c r="J43" s="354"/>
    </row>
    <row r="44" spans="1:13" s="339" customFormat="1" x14ac:dyDescent="0.25">
      <c r="C44" s="354"/>
      <c r="I44" s="354"/>
      <c r="J44" s="354"/>
    </row>
    <row r="45" spans="1:13" x14ac:dyDescent="0.25">
      <c r="A45" s="325"/>
      <c r="B45" s="325"/>
      <c r="D45" s="325"/>
      <c r="E45" s="325"/>
      <c r="F45" s="325"/>
      <c r="G45" s="325"/>
      <c r="H45" s="325"/>
      <c r="K45" s="325"/>
      <c r="L45" s="325"/>
      <c r="M45" s="325"/>
    </row>
    <row r="46" spans="1:13" s="339" customFormat="1" x14ac:dyDescent="0.25">
      <c r="C46" s="354"/>
      <c r="I46" s="354"/>
      <c r="J46" s="354"/>
    </row>
    <row r="47" spans="1:13" x14ac:dyDescent="0.25">
      <c r="A47" s="325"/>
      <c r="B47" s="325"/>
      <c r="D47" s="325"/>
      <c r="E47" s="325"/>
      <c r="F47" s="325"/>
      <c r="G47" s="325"/>
      <c r="H47" s="325"/>
      <c r="K47" s="325"/>
      <c r="L47" s="325"/>
      <c r="M47" s="325"/>
    </row>
    <row r="48" spans="1:13" x14ac:dyDescent="0.25">
      <c r="A48" s="325"/>
      <c r="B48" s="325"/>
      <c r="D48" s="325"/>
      <c r="E48" s="325"/>
      <c r="F48" s="325"/>
      <c r="G48" s="325"/>
      <c r="H48" s="325"/>
      <c r="K48" s="325"/>
      <c r="L48" s="325"/>
      <c r="M48" s="325"/>
    </row>
    <row r="49" spans="1:14" x14ac:dyDescent="0.25">
      <c r="A49" s="325"/>
      <c r="B49" s="325"/>
      <c r="D49" s="325"/>
      <c r="E49" s="325"/>
      <c r="F49" s="325"/>
      <c r="G49" s="173"/>
      <c r="H49" s="173"/>
      <c r="I49" s="173"/>
      <c r="J49" s="173"/>
      <c r="K49" s="86"/>
      <c r="L49" s="1"/>
      <c r="M49" s="1"/>
      <c r="N49" s="1"/>
    </row>
    <row r="50" spans="1:14" s="354" customFormat="1" ht="7.5" customHeight="1" x14ac:dyDescent="0.25">
      <c r="G50" s="173"/>
      <c r="H50" s="173"/>
      <c r="I50" s="173"/>
      <c r="J50" s="173"/>
      <c r="K50" s="86"/>
      <c r="L50" s="1"/>
      <c r="M50" s="1"/>
      <c r="N50" s="1"/>
    </row>
    <row r="51" spans="1:14" x14ac:dyDescent="0.25">
      <c r="A51" s="325"/>
      <c r="B51" s="325"/>
      <c r="D51" s="325"/>
      <c r="E51" s="325"/>
      <c r="F51" s="325"/>
      <c r="G51" s="173"/>
      <c r="H51" s="173"/>
      <c r="I51" s="173"/>
      <c r="J51" s="173"/>
      <c r="K51" s="86"/>
      <c r="L51" s="1"/>
      <c r="M51" s="1"/>
      <c r="N51" s="1"/>
    </row>
    <row r="52" spans="1:14" x14ac:dyDescent="0.25">
      <c r="G52" s="173"/>
      <c r="H52" s="173"/>
      <c r="I52" s="173"/>
      <c r="J52" s="173"/>
      <c r="K52" s="86"/>
      <c r="L52" s="1"/>
      <c r="M52" s="1"/>
      <c r="N52" s="1"/>
    </row>
    <row r="53" spans="1:14" x14ac:dyDescent="0.25">
      <c r="G53" s="86"/>
      <c r="H53" s="86"/>
      <c r="I53" s="86"/>
      <c r="J53" s="86"/>
      <c r="K53" s="86"/>
      <c r="L53" s="1"/>
      <c r="M53" s="1"/>
      <c r="N53" s="1"/>
    </row>
    <row r="54" spans="1:14" x14ac:dyDescent="0.25">
      <c r="A54" s="375" t="s">
        <v>333</v>
      </c>
      <c r="B54" s="376"/>
      <c r="C54" s="351" t="s">
        <v>24</v>
      </c>
      <c r="D54" s="366">
        <f>D14</f>
        <v>45307</v>
      </c>
      <c r="E54" s="366"/>
      <c r="F54" s="366"/>
      <c r="G54" s="364" t="s">
        <v>322</v>
      </c>
      <c r="H54" s="364"/>
      <c r="I54" s="364"/>
      <c r="J54" s="364"/>
      <c r="K54" s="364"/>
      <c r="L54" s="364"/>
      <c r="M54" s="364"/>
    </row>
    <row r="55" spans="1:14" x14ac:dyDescent="0.25">
      <c r="A55" s="370" t="s">
        <v>334</v>
      </c>
      <c r="B55" s="371"/>
      <c r="C55" s="347" t="s">
        <v>24</v>
      </c>
      <c r="D55" s="367">
        <f>D12</f>
        <v>45310</v>
      </c>
      <c r="E55" s="367"/>
      <c r="F55" s="367"/>
      <c r="G55" s="365"/>
      <c r="H55" s="365"/>
      <c r="I55" s="365"/>
      <c r="J55" s="365"/>
      <c r="K55" s="365"/>
      <c r="L55" s="365"/>
      <c r="M55" s="365"/>
    </row>
    <row r="56" spans="1:14" x14ac:dyDescent="0.25">
      <c r="A56" s="370" t="s">
        <v>350</v>
      </c>
      <c r="B56" s="371"/>
      <c r="C56" s="347" t="s">
        <v>24</v>
      </c>
      <c r="D56" s="368" t="s">
        <v>395</v>
      </c>
      <c r="E56" s="368"/>
      <c r="F56" s="368"/>
      <c r="G56" s="365"/>
      <c r="H56" s="365"/>
      <c r="I56" s="365"/>
      <c r="J56" s="365"/>
      <c r="K56" s="365"/>
      <c r="L56" s="365"/>
      <c r="M56" s="365"/>
    </row>
    <row r="57" spans="1:14" x14ac:dyDescent="0.25">
      <c r="A57" s="370" t="s">
        <v>323</v>
      </c>
      <c r="B57" s="371"/>
      <c r="C57" s="347" t="s">
        <v>24</v>
      </c>
      <c r="D57" s="368">
        <v>88258</v>
      </c>
      <c r="E57" s="368"/>
      <c r="F57" s="368"/>
      <c r="G57" s="365"/>
      <c r="H57" s="365"/>
      <c r="I57" s="365"/>
      <c r="J57" s="365"/>
      <c r="K57" s="365"/>
      <c r="L57" s="365"/>
      <c r="M57" s="365"/>
    </row>
    <row r="58" spans="1:14" x14ac:dyDescent="0.25">
      <c r="A58" s="383" t="s">
        <v>324</v>
      </c>
      <c r="B58" s="384"/>
      <c r="C58" s="348" t="s">
        <v>24</v>
      </c>
      <c r="D58" s="369" t="s">
        <v>396</v>
      </c>
      <c r="E58" s="369"/>
      <c r="F58" s="369"/>
      <c r="G58" s="365"/>
      <c r="H58" s="365"/>
      <c r="I58" s="365"/>
      <c r="J58" s="365"/>
      <c r="K58" s="365"/>
      <c r="L58" s="365"/>
      <c r="M58" s="365"/>
    </row>
    <row r="59" spans="1:14" ht="3.75" customHeight="1" x14ac:dyDescent="0.25"/>
    <row r="60" spans="1:14" ht="11.25" customHeight="1" x14ac:dyDescent="0.25">
      <c r="A60" s="382" t="s">
        <v>335</v>
      </c>
      <c r="B60" s="382"/>
      <c r="C60" s="382"/>
      <c r="D60" s="382"/>
      <c r="E60" s="382"/>
      <c r="F60" s="382"/>
      <c r="G60" s="382"/>
      <c r="H60" s="382"/>
      <c r="I60" s="382"/>
      <c r="J60" s="382"/>
      <c r="K60" s="382"/>
      <c r="L60" s="382"/>
      <c r="M60" s="382"/>
      <c r="N60" s="358"/>
    </row>
    <row r="61" spans="1:14" ht="1.5" customHeight="1" x14ac:dyDescent="0.25">
      <c r="A61" s="381"/>
      <c r="B61" s="381"/>
      <c r="C61" s="381"/>
      <c r="D61" s="381"/>
      <c r="E61" s="381"/>
      <c r="F61" s="381"/>
      <c r="G61" s="381"/>
      <c r="H61" s="381"/>
      <c r="I61" s="381"/>
      <c r="J61" s="381"/>
      <c r="K61" s="381"/>
      <c r="L61" s="381"/>
      <c r="M61" s="381"/>
      <c r="N61" s="359"/>
    </row>
    <row r="62" spans="1:14" ht="11.25" customHeight="1" x14ac:dyDescent="0.25">
      <c r="A62" s="363" t="s">
        <v>336</v>
      </c>
      <c r="B62" s="363"/>
      <c r="C62" s="363"/>
      <c r="D62" s="363"/>
      <c r="E62" s="363"/>
      <c r="F62" s="363"/>
      <c r="G62" s="363"/>
      <c r="H62" s="363"/>
      <c r="I62" s="363"/>
      <c r="J62" s="363"/>
      <c r="K62" s="363"/>
      <c r="L62" s="363"/>
      <c r="M62" s="363"/>
      <c r="N62" s="360"/>
    </row>
    <row r="63" spans="1:14" ht="11.25" customHeight="1" x14ac:dyDescent="0.25">
      <c r="A63" s="363" t="s">
        <v>384</v>
      </c>
      <c r="B63" s="363"/>
      <c r="C63" s="363"/>
      <c r="D63" s="363"/>
      <c r="E63" s="363"/>
      <c r="F63" s="363"/>
      <c r="G63" s="363"/>
      <c r="H63" s="363"/>
      <c r="I63" s="363"/>
      <c r="J63" s="363"/>
      <c r="K63" s="363"/>
      <c r="L63" s="363"/>
      <c r="M63" s="363"/>
      <c r="N63" s="357"/>
    </row>
    <row r="64" spans="1:14" ht="11.25" customHeight="1" x14ac:dyDescent="0.25">
      <c r="A64" s="363" t="s">
        <v>404</v>
      </c>
      <c r="B64" s="363"/>
      <c r="C64" s="363"/>
      <c r="D64" s="363"/>
      <c r="E64" s="363"/>
      <c r="F64" s="363"/>
      <c r="G64" s="363"/>
      <c r="H64" s="363"/>
      <c r="I64" s="363"/>
      <c r="J64" s="363"/>
      <c r="K64" s="363"/>
      <c r="L64" s="363"/>
      <c r="M64" s="363"/>
      <c r="N64" s="357"/>
    </row>
  </sheetData>
  <mergeCells count="36">
    <mergeCell ref="E1:J2"/>
    <mergeCell ref="E3:J4"/>
    <mergeCell ref="A61:M61"/>
    <mergeCell ref="A60:M60"/>
    <mergeCell ref="A5:M5"/>
    <mergeCell ref="A57:B57"/>
    <mergeCell ref="A58:B58"/>
    <mergeCell ref="A1:D4"/>
    <mergeCell ref="A13:B13"/>
    <mergeCell ref="D10:M10"/>
    <mergeCell ref="D11:M11"/>
    <mergeCell ref="A64:M64"/>
    <mergeCell ref="A56:B56"/>
    <mergeCell ref="A7:M7"/>
    <mergeCell ref="B20:M21"/>
    <mergeCell ref="B23:M25"/>
    <mergeCell ref="A54:B54"/>
    <mergeCell ref="A55:B55"/>
    <mergeCell ref="A29:B29"/>
    <mergeCell ref="E14:M14"/>
    <mergeCell ref="A31:M33"/>
    <mergeCell ref="A9:B9"/>
    <mergeCell ref="A10:B10"/>
    <mergeCell ref="A11:B11"/>
    <mergeCell ref="A12:B12"/>
    <mergeCell ref="A14:B14"/>
    <mergeCell ref="D9:M9"/>
    <mergeCell ref="A62:M62"/>
    <mergeCell ref="A63:M63"/>
    <mergeCell ref="G54:M54"/>
    <mergeCell ref="G55:M58"/>
    <mergeCell ref="D54:F54"/>
    <mergeCell ref="D55:F55"/>
    <mergeCell ref="D56:F56"/>
    <mergeCell ref="D57:F57"/>
    <mergeCell ref="D58:F58"/>
  </mergeCells>
  <printOptions horizontalCentered="1" verticalCentered="1"/>
  <pageMargins left="0.19685039370078741" right="0.19685039370078741"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77"/>
  <sheetViews>
    <sheetView topLeftCell="A7" zoomScaleNormal="100" workbookViewId="0">
      <selection activeCell="G17" sqref="G17:J17"/>
    </sheetView>
  </sheetViews>
  <sheetFormatPr defaultRowHeight="15" x14ac:dyDescent="0.25"/>
  <cols>
    <col min="1" max="1" width="1.5703125" customWidth="1"/>
    <col min="2" max="19" width="5" customWidth="1"/>
    <col min="20" max="20" width="1.5703125" customWidth="1"/>
    <col min="22" max="49" width="5" customWidth="1"/>
  </cols>
  <sheetData>
    <row r="1" spans="1:25" ht="5.25" customHeight="1" x14ac:dyDescent="0.25">
      <c r="A1" s="12"/>
      <c r="B1" s="13"/>
      <c r="C1" s="13"/>
      <c r="D1" s="13"/>
      <c r="E1" s="13"/>
      <c r="F1" s="13"/>
      <c r="G1" s="13"/>
      <c r="H1" s="13"/>
      <c r="I1" s="13"/>
      <c r="J1" s="13"/>
      <c r="K1" s="13"/>
      <c r="L1" s="13"/>
      <c r="M1" s="13"/>
      <c r="N1" s="13"/>
      <c r="O1" s="13"/>
      <c r="P1" s="13"/>
      <c r="Q1" s="13"/>
      <c r="R1" s="13"/>
      <c r="S1" s="13"/>
      <c r="T1" s="14"/>
    </row>
    <row r="2" spans="1:25" ht="18.75" customHeight="1" x14ac:dyDescent="0.25">
      <c r="A2" s="10"/>
      <c r="B2" s="59"/>
      <c r="C2" s="60"/>
      <c r="D2" s="60"/>
      <c r="E2" s="60"/>
      <c r="F2" s="60"/>
      <c r="G2" s="343"/>
      <c r="H2" s="449" t="s">
        <v>329</v>
      </c>
      <c r="I2" s="450"/>
      <c r="J2" s="450"/>
      <c r="K2" s="447" t="str">
        <f>'KAPAK SAYFASI'!D9</f>
        <v>BARMAK MAKİNA (ÇAĞLA ELK.)</v>
      </c>
      <c r="L2" s="447"/>
      <c r="M2" s="447"/>
      <c r="N2" s="447"/>
      <c r="O2" s="447"/>
      <c r="P2" s="447"/>
      <c r="Q2" s="447"/>
      <c r="R2" s="447"/>
      <c r="S2" s="448"/>
      <c r="T2" s="11"/>
    </row>
    <row r="3" spans="1:25" ht="22.5" customHeight="1" x14ac:dyDescent="0.25">
      <c r="A3" s="10"/>
      <c r="B3" s="85"/>
      <c r="C3" s="86"/>
      <c r="D3" s="86"/>
      <c r="E3" s="86"/>
      <c r="F3" s="86"/>
      <c r="G3" s="344"/>
      <c r="H3" s="451"/>
      <c r="I3" s="452"/>
      <c r="J3" s="452"/>
      <c r="K3" s="445"/>
      <c r="L3" s="445"/>
      <c r="M3" s="445"/>
      <c r="N3" s="445"/>
      <c r="O3" s="445"/>
      <c r="P3" s="445"/>
      <c r="Q3" s="445"/>
      <c r="R3" s="445"/>
      <c r="S3" s="446"/>
      <c r="T3" s="11"/>
    </row>
    <row r="4" spans="1:25" ht="3" customHeight="1" x14ac:dyDescent="0.25">
      <c r="A4" s="10"/>
      <c r="B4" s="85"/>
      <c r="C4" s="86"/>
      <c r="D4" s="86"/>
      <c r="E4" s="86"/>
      <c r="F4" s="86"/>
      <c r="G4" s="344"/>
      <c r="H4" s="310"/>
      <c r="I4" s="311"/>
      <c r="J4" s="311"/>
      <c r="K4" s="311"/>
      <c r="L4" s="311"/>
      <c r="M4" s="311"/>
      <c r="N4" s="311"/>
      <c r="O4" s="311"/>
      <c r="P4" s="311"/>
      <c r="Q4" s="311"/>
      <c r="R4" s="311"/>
      <c r="S4" s="312"/>
      <c r="T4" s="11"/>
    </row>
    <row r="5" spans="1:25" ht="15" customHeight="1" x14ac:dyDescent="0.25">
      <c r="A5" s="10"/>
      <c r="B5" s="85"/>
      <c r="C5" s="86"/>
      <c r="D5" s="86"/>
      <c r="E5" s="86"/>
      <c r="F5" s="86"/>
      <c r="G5" s="344"/>
      <c r="H5" s="443" t="s">
        <v>387</v>
      </c>
      <c r="I5" s="444"/>
      <c r="J5" s="444"/>
      <c r="K5" s="445" t="str">
        <f>'KAPAK SAYFASI'!D10</f>
        <v>TRAFO 1</v>
      </c>
      <c r="L5" s="445"/>
      <c r="M5" s="445"/>
      <c r="N5" s="445"/>
      <c r="O5" s="445"/>
      <c r="P5" s="445"/>
      <c r="Q5" s="445"/>
      <c r="R5" s="445"/>
      <c r="S5" s="446"/>
      <c r="T5" s="11"/>
    </row>
    <row r="6" spans="1:25" ht="22.5" customHeight="1" x14ac:dyDescent="0.25">
      <c r="A6" s="10"/>
      <c r="B6" s="440" t="s">
        <v>160</v>
      </c>
      <c r="C6" s="441"/>
      <c r="D6" s="441"/>
      <c r="E6" s="441"/>
      <c r="F6" s="441"/>
      <c r="G6" s="442"/>
      <c r="H6" s="443"/>
      <c r="I6" s="444"/>
      <c r="J6" s="444"/>
      <c r="K6" s="445"/>
      <c r="L6" s="445"/>
      <c r="M6" s="445"/>
      <c r="N6" s="445"/>
      <c r="O6" s="445"/>
      <c r="P6" s="445"/>
      <c r="Q6" s="445"/>
      <c r="R6" s="445"/>
      <c r="S6" s="446"/>
      <c r="T6" s="11"/>
    </row>
    <row r="7" spans="1:25" ht="3" customHeight="1" x14ac:dyDescent="0.25">
      <c r="A7" s="10"/>
      <c r="B7" s="62"/>
      <c r="C7" s="63"/>
      <c r="D7" s="63"/>
      <c r="E7" s="63"/>
      <c r="F7" s="63"/>
      <c r="G7" s="90"/>
      <c r="H7" s="156"/>
      <c r="I7" s="64"/>
      <c r="J7" s="64"/>
      <c r="K7" s="64"/>
      <c r="L7" s="64"/>
      <c r="M7" s="64"/>
      <c r="N7" s="64"/>
      <c r="O7" s="64"/>
      <c r="P7" s="64"/>
      <c r="Q7" s="64"/>
      <c r="R7" s="64"/>
      <c r="S7" s="90"/>
      <c r="T7" s="11"/>
    </row>
    <row r="8" spans="1:25" ht="3" customHeight="1" x14ac:dyDescent="0.25">
      <c r="A8" s="10"/>
      <c r="B8" s="3"/>
      <c r="C8" s="4"/>
      <c r="D8" s="4"/>
      <c r="E8" s="4"/>
      <c r="F8" s="4"/>
      <c r="G8" s="48"/>
      <c r="H8" s="48"/>
      <c r="I8" s="4"/>
      <c r="J8" s="4"/>
      <c r="K8" s="48"/>
      <c r="L8" s="4"/>
      <c r="M8" s="4"/>
      <c r="N8" s="4"/>
      <c r="O8" s="4"/>
      <c r="P8" s="4"/>
      <c r="Q8" s="4"/>
      <c r="R8" s="4"/>
      <c r="S8" s="5"/>
      <c r="T8" s="11"/>
    </row>
    <row r="9" spans="1:25" ht="15.75" customHeight="1" x14ac:dyDescent="0.25">
      <c r="A9" s="10"/>
      <c r="B9" s="403" t="s">
        <v>157</v>
      </c>
      <c r="C9" s="404"/>
      <c r="D9" s="404"/>
      <c r="E9" s="404"/>
      <c r="F9" s="404"/>
      <c r="G9" s="404"/>
      <c r="H9" s="404"/>
      <c r="I9" s="404"/>
      <c r="J9" s="404"/>
      <c r="K9" s="404"/>
      <c r="L9" s="404"/>
      <c r="M9" s="404"/>
      <c r="N9" s="404"/>
      <c r="O9" s="404"/>
      <c r="P9" s="404"/>
      <c r="Q9" s="404"/>
      <c r="R9" s="404"/>
      <c r="S9" s="405"/>
      <c r="T9" s="11"/>
      <c r="Y9" s="124"/>
    </row>
    <row r="10" spans="1:25" ht="3" customHeight="1" x14ac:dyDescent="0.25">
      <c r="A10" s="10"/>
      <c r="B10" s="44"/>
      <c r="C10" s="45"/>
      <c r="D10" s="45"/>
      <c r="E10" s="45"/>
      <c r="F10" s="45"/>
      <c r="G10" s="45"/>
      <c r="H10" s="45"/>
      <c r="I10" s="45"/>
      <c r="J10" s="45"/>
      <c r="K10" s="103"/>
      <c r="L10" s="103"/>
      <c r="M10" s="104"/>
      <c r="N10" s="45"/>
      <c r="O10" s="45"/>
      <c r="P10" s="45"/>
      <c r="Q10" s="45"/>
      <c r="R10" s="45"/>
      <c r="S10" s="46"/>
      <c r="T10" s="11"/>
    </row>
    <row r="11" spans="1:25" x14ac:dyDescent="0.25">
      <c r="A11" s="10"/>
      <c r="B11" s="429" t="s">
        <v>81</v>
      </c>
      <c r="C11" s="430"/>
      <c r="D11" s="430"/>
      <c r="E11" s="430"/>
      <c r="F11" s="113" t="s">
        <v>24</v>
      </c>
      <c r="G11" s="434" t="s">
        <v>159</v>
      </c>
      <c r="H11" s="434"/>
      <c r="I11" s="434"/>
      <c r="J11" s="434"/>
      <c r="K11" s="430" t="s">
        <v>82</v>
      </c>
      <c r="L11" s="430"/>
      <c r="M11" s="430"/>
      <c r="N11" s="117" t="s">
        <v>128</v>
      </c>
      <c r="O11" s="118">
        <v>6</v>
      </c>
      <c r="P11" s="118" t="s">
        <v>123</v>
      </c>
      <c r="Q11" s="118">
        <v>4</v>
      </c>
      <c r="R11" s="118" t="s">
        <v>123</v>
      </c>
      <c r="S11" s="126">
        <v>3</v>
      </c>
      <c r="T11" s="11"/>
    </row>
    <row r="12" spans="1:25" ht="3" customHeight="1" x14ac:dyDescent="0.25">
      <c r="A12" s="10"/>
      <c r="B12" s="91"/>
      <c r="C12" s="92"/>
      <c r="D12" s="92"/>
      <c r="E12" s="92"/>
      <c r="F12" s="93"/>
      <c r="G12" s="4"/>
      <c r="H12" s="4"/>
      <c r="I12" s="4"/>
      <c r="J12" s="4"/>
      <c r="K12" s="94"/>
      <c r="L12" s="94"/>
      <c r="M12" s="80"/>
      <c r="N12" s="4"/>
      <c r="O12" s="4"/>
      <c r="P12" s="4"/>
      <c r="Q12" s="4"/>
      <c r="R12" s="4"/>
      <c r="S12" s="5"/>
      <c r="T12" s="11"/>
    </row>
    <row r="13" spans="1:25" x14ac:dyDescent="0.25">
      <c r="A13" s="10"/>
      <c r="B13" s="370" t="s">
        <v>83</v>
      </c>
      <c r="C13" s="371"/>
      <c r="D13" s="371"/>
      <c r="E13" s="371"/>
      <c r="F13" s="113" t="s">
        <v>24</v>
      </c>
      <c r="G13" s="434">
        <v>2000</v>
      </c>
      <c r="H13" s="434"/>
      <c r="I13" s="434"/>
      <c r="J13" s="434"/>
      <c r="K13" s="435" t="s">
        <v>126</v>
      </c>
      <c r="L13" s="435"/>
      <c r="M13" s="435"/>
      <c r="N13" s="113" t="s">
        <v>24</v>
      </c>
      <c r="O13" s="436" t="s">
        <v>194</v>
      </c>
      <c r="P13" s="436"/>
      <c r="Q13" s="436"/>
      <c r="R13" s="436"/>
      <c r="S13" s="437"/>
      <c r="T13" s="11"/>
      <c r="X13" s="1"/>
    </row>
    <row r="14" spans="1:25" ht="3" customHeight="1" x14ac:dyDescent="0.25">
      <c r="A14" s="10"/>
      <c r="B14" s="91"/>
      <c r="C14" s="92"/>
      <c r="D14" s="92"/>
      <c r="E14" s="92"/>
      <c r="F14" s="93"/>
      <c r="G14" s="4"/>
      <c r="H14" s="4"/>
      <c r="I14" s="4"/>
      <c r="J14" s="4"/>
      <c r="K14" s="94"/>
      <c r="L14" s="94"/>
      <c r="M14" s="80"/>
      <c r="N14" s="4"/>
      <c r="O14" s="4"/>
      <c r="P14" s="4"/>
      <c r="Q14" s="4"/>
      <c r="R14" s="4"/>
      <c r="S14" s="5"/>
      <c r="T14" s="11"/>
    </row>
    <row r="15" spans="1:25" x14ac:dyDescent="0.25">
      <c r="A15" s="10"/>
      <c r="B15" s="429" t="s">
        <v>84</v>
      </c>
      <c r="C15" s="430"/>
      <c r="D15" s="430"/>
      <c r="E15" s="430"/>
      <c r="F15" s="113" t="s">
        <v>129</v>
      </c>
      <c r="G15" s="438" t="s">
        <v>124</v>
      </c>
      <c r="H15" s="438"/>
      <c r="I15" s="438"/>
      <c r="J15" s="438"/>
      <c r="K15" s="435" t="s">
        <v>127</v>
      </c>
      <c r="L15" s="435"/>
      <c r="M15" s="435"/>
      <c r="N15" s="113" t="s">
        <v>24</v>
      </c>
      <c r="O15" s="436">
        <v>1330</v>
      </c>
      <c r="P15" s="436"/>
      <c r="Q15" s="436"/>
      <c r="R15" s="436"/>
      <c r="S15" s="437"/>
      <c r="T15" s="11"/>
    </row>
    <row r="16" spans="1:25" ht="3" customHeight="1" x14ac:dyDescent="0.25">
      <c r="A16" s="10"/>
      <c r="B16" s="91"/>
      <c r="C16" s="92"/>
      <c r="D16" s="92"/>
      <c r="E16" s="92"/>
      <c r="F16" s="93"/>
      <c r="G16" s="4"/>
      <c r="H16" s="4"/>
      <c r="I16" s="4"/>
      <c r="J16" s="4"/>
      <c r="K16" s="94"/>
      <c r="L16" s="94"/>
      <c r="M16" s="80"/>
      <c r="N16" s="4"/>
      <c r="O16" s="4"/>
      <c r="P16" s="4"/>
      <c r="Q16" s="4"/>
      <c r="R16" s="4"/>
      <c r="S16" s="5"/>
      <c r="T16" s="11"/>
    </row>
    <row r="17" spans="1:23" ht="15" customHeight="1" x14ac:dyDescent="0.25">
      <c r="A17" s="10"/>
      <c r="B17" s="429" t="s">
        <v>85</v>
      </c>
      <c r="C17" s="430"/>
      <c r="D17" s="430"/>
      <c r="E17" s="430"/>
      <c r="F17" s="113" t="s">
        <v>24</v>
      </c>
      <c r="G17" s="434" t="s">
        <v>125</v>
      </c>
      <c r="H17" s="434"/>
      <c r="I17" s="434"/>
      <c r="J17" s="434"/>
      <c r="K17" s="435" t="s">
        <v>86</v>
      </c>
      <c r="L17" s="435"/>
      <c r="M17" s="435"/>
      <c r="N17" s="113" t="s">
        <v>24</v>
      </c>
      <c r="O17" s="421">
        <v>6.42</v>
      </c>
      <c r="P17" s="421"/>
      <c r="Q17" s="421"/>
      <c r="R17" s="421"/>
      <c r="S17" s="439"/>
      <c r="T17" s="11"/>
    </row>
    <row r="18" spans="1:23" ht="3" customHeight="1" x14ac:dyDescent="0.25">
      <c r="A18" s="10"/>
      <c r="B18" s="91"/>
      <c r="C18" s="92"/>
      <c r="D18" s="92"/>
      <c r="E18" s="92"/>
      <c r="F18" s="93"/>
      <c r="G18" s="4"/>
      <c r="H18" s="4"/>
      <c r="I18" s="4"/>
      <c r="J18" s="4"/>
      <c r="K18" s="94"/>
      <c r="L18" s="94"/>
      <c r="M18" s="80"/>
      <c r="N18" s="4"/>
      <c r="O18" s="4"/>
      <c r="P18" s="4"/>
      <c r="Q18" s="4"/>
      <c r="R18" s="4"/>
      <c r="S18" s="5"/>
      <c r="T18" s="11"/>
    </row>
    <row r="19" spans="1:23" ht="15" customHeight="1" x14ac:dyDescent="0.25">
      <c r="A19" s="10"/>
      <c r="B19" s="431" t="s">
        <v>87</v>
      </c>
      <c r="C19" s="368"/>
      <c r="D19" s="368"/>
      <c r="E19" s="368"/>
      <c r="F19" s="93" t="s">
        <v>129</v>
      </c>
      <c r="G19" s="1" t="s">
        <v>88</v>
      </c>
      <c r="H19" s="9"/>
      <c r="I19" s="119"/>
      <c r="J19" s="1"/>
      <c r="K19" s="432" t="s">
        <v>89</v>
      </c>
      <c r="L19" s="432"/>
      <c r="M19" s="433"/>
      <c r="N19" s="119"/>
      <c r="O19" s="1"/>
      <c r="P19" s="1" t="s">
        <v>90</v>
      </c>
      <c r="Q19" s="9"/>
      <c r="R19" s="119" t="s">
        <v>130</v>
      </c>
      <c r="S19" s="9"/>
      <c r="T19" s="11"/>
    </row>
    <row r="20" spans="1:23" ht="3.75" customHeight="1" x14ac:dyDescent="0.25">
      <c r="A20" s="10"/>
      <c r="B20" s="91"/>
      <c r="C20" s="92"/>
      <c r="D20" s="92"/>
      <c r="E20" s="92"/>
      <c r="F20" s="93"/>
      <c r="G20" s="4"/>
      <c r="H20" s="4"/>
      <c r="I20" s="4"/>
      <c r="J20" s="4"/>
      <c r="K20" s="94"/>
      <c r="L20" s="94"/>
      <c r="M20" s="80"/>
      <c r="N20" s="4"/>
      <c r="O20" s="4"/>
      <c r="P20" s="4"/>
      <c r="Q20" s="4"/>
      <c r="R20" s="4"/>
      <c r="S20" s="5"/>
      <c r="T20" s="11"/>
    </row>
    <row r="21" spans="1:23" ht="3" customHeight="1" x14ac:dyDescent="0.25">
      <c r="A21" s="10"/>
      <c r="B21" s="105"/>
      <c r="C21" s="106"/>
      <c r="D21" s="106"/>
      <c r="E21" s="106"/>
      <c r="F21" s="22"/>
      <c r="G21" s="22"/>
      <c r="H21" s="22"/>
      <c r="I21" s="22"/>
      <c r="J21" s="22"/>
      <c r="K21" s="79"/>
      <c r="L21" s="79"/>
      <c r="M21" s="79"/>
      <c r="N21" s="63"/>
      <c r="O21" s="22"/>
      <c r="P21" s="22"/>
      <c r="Q21" s="22"/>
      <c r="R21" s="22"/>
      <c r="S21" s="23"/>
      <c r="T21" s="11"/>
    </row>
    <row r="22" spans="1:23" ht="3" customHeight="1" x14ac:dyDescent="0.25">
      <c r="A22" s="10"/>
      <c r="B22" s="91"/>
      <c r="C22" s="92"/>
      <c r="D22" s="92"/>
      <c r="E22" s="92"/>
      <c r="F22" s="93"/>
      <c r="G22" s="4"/>
      <c r="H22" s="4"/>
      <c r="I22" s="4"/>
      <c r="J22" s="4"/>
      <c r="K22" s="94"/>
      <c r="L22" s="94"/>
      <c r="M22" s="80"/>
      <c r="N22" s="4"/>
      <c r="O22" s="4"/>
      <c r="P22" s="4"/>
      <c r="Q22" s="4"/>
      <c r="R22" s="4"/>
      <c r="S22" s="5"/>
      <c r="T22" s="11"/>
      <c r="W22" s="1"/>
    </row>
    <row r="23" spans="1:23" ht="15.75" customHeight="1" x14ac:dyDescent="0.25">
      <c r="A23" s="10"/>
      <c r="B23" s="403" t="s">
        <v>91</v>
      </c>
      <c r="C23" s="404"/>
      <c r="D23" s="404"/>
      <c r="E23" s="404"/>
      <c r="F23" s="404"/>
      <c r="G23" s="404"/>
      <c r="H23" s="404"/>
      <c r="I23" s="404"/>
      <c r="J23" s="404"/>
      <c r="K23" s="404"/>
      <c r="L23" s="404"/>
      <c r="M23" s="404"/>
      <c r="N23" s="404"/>
      <c r="O23" s="404"/>
      <c r="P23" s="404"/>
      <c r="Q23" s="404"/>
      <c r="R23" s="404"/>
      <c r="S23" s="405"/>
      <c r="T23" s="11"/>
      <c r="W23" s="1"/>
    </row>
    <row r="24" spans="1:23" ht="15" customHeight="1" x14ac:dyDescent="0.25">
      <c r="A24" s="10"/>
      <c r="B24" s="3"/>
      <c r="C24" s="4"/>
      <c r="D24" s="4"/>
      <c r="E24" s="4"/>
      <c r="F24" s="4"/>
      <c r="G24" s="4"/>
      <c r="H24" s="4"/>
      <c r="I24" s="55" t="s">
        <v>71</v>
      </c>
      <c r="J24" s="55" t="s">
        <v>13</v>
      </c>
      <c r="K24" s="4"/>
      <c r="L24" s="4"/>
      <c r="M24" s="4"/>
      <c r="N24" s="4"/>
      <c r="O24" s="4"/>
      <c r="P24" s="4"/>
      <c r="Q24" s="4"/>
      <c r="R24" s="55" t="s">
        <v>71</v>
      </c>
      <c r="S24" s="55" t="s">
        <v>13</v>
      </c>
      <c r="T24" s="11"/>
      <c r="W24" s="1"/>
    </row>
    <row r="25" spans="1:23" ht="3.75" customHeight="1" x14ac:dyDescent="0.25">
      <c r="A25" s="10"/>
      <c r="B25" s="3"/>
      <c r="C25" s="4"/>
      <c r="D25" s="4"/>
      <c r="E25" s="4"/>
      <c r="F25" s="4"/>
      <c r="G25" s="4"/>
      <c r="H25" s="4"/>
      <c r="I25" s="4"/>
      <c r="J25" s="4"/>
      <c r="K25" s="4"/>
      <c r="L25" s="4"/>
      <c r="M25" s="4"/>
      <c r="N25" s="4"/>
      <c r="O25" s="4"/>
      <c r="P25" s="4"/>
      <c r="Q25" s="4"/>
      <c r="R25" s="4"/>
      <c r="S25" s="5"/>
      <c r="T25" s="11"/>
    </row>
    <row r="26" spans="1:23" x14ac:dyDescent="0.25">
      <c r="A26" s="10"/>
      <c r="B26" s="429" t="s">
        <v>92</v>
      </c>
      <c r="C26" s="430"/>
      <c r="D26" s="430"/>
      <c r="E26" s="430"/>
      <c r="F26" s="113" t="s">
        <v>24</v>
      </c>
      <c r="G26" s="113">
        <v>35</v>
      </c>
      <c r="H26" s="362" t="s">
        <v>165</v>
      </c>
      <c r="I26" s="119" t="s">
        <v>130</v>
      </c>
      <c r="J26" s="119"/>
      <c r="K26" s="430" t="s">
        <v>93</v>
      </c>
      <c r="L26" s="430"/>
      <c r="M26" s="430"/>
      <c r="N26" s="430"/>
      <c r="O26" s="113" t="s">
        <v>24</v>
      </c>
      <c r="P26" s="412" t="s">
        <v>131</v>
      </c>
      <c r="Q26" s="413"/>
      <c r="R26" s="119" t="s">
        <v>130</v>
      </c>
      <c r="S26" s="119"/>
      <c r="T26" s="11"/>
      <c r="W26" s="1"/>
    </row>
    <row r="27" spans="1:23" ht="3.75" customHeight="1" x14ac:dyDescent="0.25">
      <c r="A27" s="10"/>
      <c r="B27" s="96"/>
      <c r="C27" s="93"/>
      <c r="D27" s="93"/>
      <c r="E27" s="93"/>
      <c r="F27" s="93"/>
      <c r="G27" s="93"/>
      <c r="H27" s="93"/>
      <c r="I27" s="120"/>
      <c r="J27" s="120"/>
      <c r="K27" s="93"/>
      <c r="L27" s="93"/>
      <c r="M27" s="93"/>
      <c r="N27" s="93"/>
      <c r="O27" s="93"/>
      <c r="P27" s="120"/>
      <c r="Q27" s="120"/>
      <c r="R27" s="120"/>
      <c r="S27" s="152"/>
      <c r="T27" s="11"/>
    </row>
    <row r="28" spans="1:23" x14ac:dyDescent="0.25">
      <c r="A28" s="10"/>
      <c r="B28" s="429" t="s">
        <v>399</v>
      </c>
      <c r="C28" s="430"/>
      <c r="D28" s="430"/>
      <c r="E28" s="430"/>
      <c r="F28" s="113" t="s">
        <v>24</v>
      </c>
      <c r="G28" s="412" t="s">
        <v>47</v>
      </c>
      <c r="H28" s="413"/>
      <c r="I28" s="119" t="s">
        <v>130</v>
      </c>
      <c r="J28" s="119"/>
      <c r="K28" s="430" t="s">
        <v>94</v>
      </c>
      <c r="L28" s="430"/>
      <c r="M28" s="430"/>
      <c r="N28" s="430"/>
      <c r="O28" s="113" t="s">
        <v>24</v>
      </c>
      <c r="P28" s="412" t="s">
        <v>47</v>
      </c>
      <c r="Q28" s="413"/>
      <c r="R28" s="119" t="s">
        <v>130</v>
      </c>
      <c r="S28" s="119"/>
      <c r="T28" s="11"/>
    </row>
    <row r="29" spans="1:23" ht="3.75" customHeight="1" x14ac:dyDescent="0.25">
      <c r="A29" s="10"/>
      <c r="B29" s="96"/>
      <c r="C29" s="93"/>
      <c r="D29" s="93"/>
      <c r="E29" s="93"/>
      <c r="F29" s="93"/>
      <c r="G29" s="93"/>
      <c r="H29" s="93"/>
      <c r="I29" s="120"/>
      <c r="J29" s="120"/>
      <c r="K29" s="93"/>
      <c r="L29" s="93"/>
      <c r="M29" s="93"/>
      <c r="N29" s="93"/>
      <c r="O29" s="93"/>
      <c r="P29" s="93"/>
      <c r="Q29" s="93"/>
      <c r="R29" s="120"/>
      <c r="S29" s="152"/>
      <c r="T29" s="11"/>
    </row>
    <row r="30" spans="1:23" x14ac:dyDescent="0.25">
      <c r="A30" s="10"/>
      <c r="B30" s="429" t="s">
        <v>95</v>
      </c>
      <c r="C30" s="430"/>
      <c r="D30" s="430"/>
      <c r="E30" s="430"/>
      <c r="F30" s="113" t="s">
        <v>24</v>
      </c>
      <c r="G30" s="113">
        <v>24</v>
      </c>
      <c r="H30" s="362" t="s">
        <v>96</v>
      </c>
      <c r="I30" s="119" t="s">
        <v>130</v>
      </c>
      <c r="J30" s="119"/>
      <c r="K30" s="430" t="s">
        <v>97</v>
      </c>
      <c r="L30" s="430"/>
      <c r="M30" s="430"/>
      <c r="N30" s="430"/>
      <c r="O30" s="113" t="s">
        <v>24</v>
      </c>
      <c r="P30" s="412" t="s">
        <v>47</v>
      </c>
      <c r="Q30" s="413"/>
      <c r="R30" s="119" t="s">
        <v>130</v>
      </c>
      <c r="S30" s="119"/>
      <c r="T30" s="11"/>
    </row>
    <row r="31" spans="1:23" ht="3.75" customHeight="1" x14ac:dyDescent="0.25">
      <c r="A31" s="10"/>
      <c r="B31" s="96"/>
      <c r="C31" s="93"/>
      <c r="D31" s="93"/>
      <c r="E31" s="93"/>
      <c r="F31" s="93"/>
      <c r="G31" s="93"/>
      <c r="H31" s="93"/>
      <c r="I31" s="120"/>
      <c r="J31" s="120"/>
      <c r="K31" s="93"/>
      <c r="L31" s="93"/>
      <c r="M31" s="93"/>
      <c r="N31" s="93"/>
      <c r="O31" s="93"/>
      <c r="P31" s="93"/>
      <c r="Q31" s="93"/>
      <c r="R31" s="120"/>
      <c r="S31" s="152"/>
      <c r="T31" s="11"/>
    </row>
    <row r="32" spans="1:23" x14ac:dyDescent="0.25">
      <c r="A32" s="10"/>
      <c r="B32" s="429" t="s">
        <v>397</v>
      </c>
      <c r="C32" s="430"/>
      <c r="D32" s="430"/>
      <c r="E32" s="430"/>
      <c r="F32" s="113" t="s">
        <v>24</v>
      </c>
      <c r="G32" s="412" t="s">
        <v>47</v>
      </c>
      <c r="H32" s="413"/>
      <c r="I32" s="119" t="s">
        <v>130</v>
      </c>
      <c r="J32" s="119"/>
      <c r="K32" s="429" t="s">
        <v>401</v>
      </c>
      <c r="L32" s="430"/>
      <c r="M32" s="430"/>
      <c r="N32" s="430"/>
      <c r="O32" s="146" t="s">
        <v>128</v>
      </c>
      <c r="P32" s="412" t="s">
        <v>47</v>
      </c>
      <c r="Q32" s="413"/>
      <c r="R32" s="119" t="s">
        <v>130</v>
      </c>
      <c r="S32" s="119"/>
      <c r="T32" s="11"/>
    </row>
    <row r="33" spans="1:40" ht="3.75" customHeight="1" x14ac:dyDescent="0.25">
      <c r="A33" s="10"/>
      <c r="B33" s="96"/>
      <c r="C33" s="93"/>
      <c r="D33" s="93"/>
      <c r="E33" s="93"/>
      <c r="F33" s="93"/>
      <c r="G33" s="93"/>
      <c r="H33" s="93"/>
      <c r="I33" s="120"/>
      <c r="J33" s="120"/>
      <c r="K33" s="96"/>
      <c r="L33" s="93"/>
      <c r="M33" s="93"/>
      <c r="N33" s="93"/>
      <c r="O33" s="93"/>
      <c r="P33" s="93"/>
      <c r="Q33" s="93"/>
      <c r="R33" s="120"/>
      <c r="S33" s="152"/>
      <c r="T33" s="11"/>
    </row>
    <row r="34" spans="1:40" x14ac:dyDescent="0.25">
      <c r="A34" s="10"/>
      <c r="B34" s="429" t="s">
        <v>398</v>
      </c>
      <c r="C34" s="430"/>
      <c r="D34" s="430"/>
      <c r="E34" s="430"/>
      <c r="F34" s="113" t="s">
        <v>24</v>
      </c>
      <c r="G34" s="412" t="s">
        <v>47</v>
      </c>
      <c r="H34" s="413"/>
      <c r="I34" s="119" t="s">
        <v>130</v>
      </c>
      <c r="J34" s="119"/>
      <c r="K34" s="429" t="s">
        <v>402</v>
      </c>
      <c r="L34" s="430"/>
      <c r="M34" s="430"/>
      <c r="N34" s="430"/>
      <c r="O34" s="113" t="s">
        <v>24</v>
      </c>
      <c r="P34" s="412" t="s">
        <v>47</v>
      </c>
      <c r="Q34" s="413"/>
      <c r="R34" s="119" t="s">
        <v>130</v>
      </c>
      <c r="S34" s="119"/>
      <c r="T34" s="11"/>
    </row>
    <row r="35" spans="1:40" ht="3.75" customHeight="1" x14ac:dyDescent="0.25">
      <c r="A35" s="10"/>
      <c r="B35" s="96"/>
      <c r="C35" s="93"/>
      <c r="D35" s="93"/>
      <c r="E35" s="93"/>
      <c r="F35" s="93"/>
      <c r="G35" s="93"/>
      <c r="H35" s="93"/>
      <c r="I35" s="120"/>
      <c r="J35" s="120"/>
      <c r="K35" s="96"/>
      <c r="L35" s="93"/>
      <c r="M35" s="93"/>
      <c r="N35" s="93"/>
      <c r="O35" s="93"/>
      <c r="P35" s="93"/>
      <c r="Q35" s="93"/>
      <c r="R35" s="120"/>
      <c r="S35" s="152"/>
      <c r="T35" s="11"/>
    </row>
    <row r="36" spans="1:40" x14ac:dyDescent="0.25">
      <c r="A36" s="10"/>
      <c r="B36" s="429" t="s">
        <v>400</v>
      </c>
      <c r="C36" s="430"/>
      <c r="D36" s="430"/>
      <c r="E36" s="430"/>
      <c r="F36" s="140" t="s">
        <v>24</v>
      </c>
      <c r="G36" s="412" t="s">
        <v>47</v>
      </c>
      <c r="H36" s="413"/>
      <c r="I36" s="119" t="s">
        <v>130</v>
      </c>
      <c r="J36" s="119"/>
      <c r="K36" s="370" t="s">
        <v>403</v>
      </c>
      <c r="L36" s="371"/>
      <c r="M36" s="371"/>
      <c r="N36" s="371"/>
      <c r="O36" s="141" t="s">
        <v>24</v>
      </c>
      <c r="P36" s="412" t="s">
        <v>47</v>
      </c>
      <c r="Q36" s="413"/>
      <c r="R36" s="119" t="s">
        <v>130</v>
      </c>
      <c r="S36" s="119"/>
      <c r="T36" s="11"/>
    </row>
    <row r="37" spans="1:40" ht="3" customHeight="1" x14ac:dyDescent="0.25">
      <c r="A37" s="10"/>
      <c r="B37" s="96"/>
      <c r="C37" s="93"/>
      <c r="D37" s="93"/>
      <c r="E37" s="93"/>
      <c r="F37" s="93"/>
      <c r="G37" s="93"/>
      <c r="H37" s="93"/>
      <c r="I37" s="93"/>
      <c r="J37" s="93"/>
      <c r="K37" s="93"/>
      <c r="L37" s="93"/>
      <c r="M37" s="93"/>
      <c r="N37" s="93"/>
      <c r="O37" s="93"/>
      <c r="P37" s="93"/>
      <c r="Q37" s="93"/>
      <c r="R37" s="93"/>
      <c r="S37" s="97"/>
      <c r="T37" s="11"/>
    </row>
    <row r="38" spans="1:40" ht="15.75" customHeight="1" x14ac:dyDescent="0.25">
      <c r="A38" s="10"/>
      <c r="B38" s="403" t="s">
        <v>98</v>
      </c>
      <c r="C38" s="404"/>
      <c r="D38" s="404"/>
      <c r="E38" s="404"/>
      <c r="F38" s="404"/>
      <c r="G38" s="404"/>
      <c r="H38" s="404"/>
      <c r="I38" s="404"/>
      <c r="J38" s="404"/>
      <c r="K38" s="404"/>
      <c r="L38" s="404"/>
      <c r="M38" s="404"/>
      <c r="N38" s="404"/>
      <c r="O38" s="404"/>
      <c r="P38" s="404"/>
      <c r="Q38" s="404"/>
      <c r="R38" s="404"/>
      <c r="S38" s="405"/>
      <c r="T38" s="11"/>
      <c r="V38" s="403" t="s">
        <v>106</v>
      </c>
      <c r="W38" s="404"/>
      <c r="X38" s="404"/>
      <c r="Y38" s="404"/>
      <c r="Z38" s="404"/>
      <c r="AA38" s="404"/>
      <c r="AB38" s="404"/>
      <c r="AC38" s="404"/>
      <c r="AD38" s="405"/>
      <c r="AF38" s="403" t="s">
        <v>106</v>
      </c>
      <c r="AG38" s="404"/>
      <c r="AH38" s="404"/>
      <c r="AI38" s="404"/>
      <c r="AJ38" s="404"/>
      <c r="AK38" s="404"/>
      <c r="AL38" s="404"/>
      <c r="AM38" s="404"/>
      <c r="AN38" s="405"/>
    </row>
    <row r="39" spans="1:40" ht="3" customHeight="1" x14ac:dyDescent="0.25">
      <c r="A39" s="10"/>
      <c r="B39" s="3"/>
      <c r="C39" s="4"/>
      <c r="D39" s="4"/>
      <c r="E39" s="4"/>
      <c r="F39" s="4"/>
      <c r="G39" s="4"/>
      <c r="H39" s="4"/>
      <c r="I39" s="4"/>
      <c r="J39" s="4"/>
      <c r="K39" s="4"/>
      <c r="L39" s="4"/>
      <c r="M39" s="4"/>
      <c r="N39" s="4"/>
      <c r="O39" s="4"/>
      <c r="P39" s="4"/>
      <c r="Q39" s="4"/>
      <c r="R39" s="4"/>
      <c r="S39" s="5"/>
      <c r="T39" s="11"/>
      <c r="V39" s="3"/>
      <c r="W39" s="4"/>
      <c r="X39" s="4"/>
      <c r="Y39" s="44"/>
      <c r="Z39" s="4"/>
      <c r="AA39" s="4"/>
      <c r="AB39" s="44"/>
      <c r="AC39" s="4"/>
      <c r="AD39" s="5"/>
      <c r="AF39" s="3"/>
      <c r="AG39" s="4"/>
      <c r="AH39" s="4"/>
      <c r="AI39" s="44"/>
      <c r="AJ39" s="4"/>
      <c r="AK39" s="4"/>
      <c r="AL39" s="44"/>
      <c r="AM39" s="4"/>
      <c r="AN39" s="5"/>
    </row>
    <row r="40" spans="1:40" x14ac:dyDescent="0.25">
      <c r="A40" s="10"/>
      <c r="B40" s="426" t="s">
        <v>99</v>
      </c>
      <c r="C40" s="419"/>
      <c r="D40" s="419"/>
      <c r="E40" s="419"/>
      <c r="F40" s="419"/>
      <c r="G40" s="112" t="s">
        <v>24</v>
      </c>
      <c r="H40" s="421">
        <v>0.16</v>
      </c>
      <c r="I40" s="421"/>
      <c r="J40" s="114" t="s">
        <v>34</v>
      </c>
      <c r="K40" s="419" t="s">
        <v>100</v>
      </c>
      <c r="L40" s="419"/>
      <c r="M40" s="419"/>
      <c r="N40" s="419"/>
      <c r="O40" s="419"/>
      <c r="P40" s="112" t="s">
        <v>24</v>
      </c>
      <c r="Q40" s="421">
        <v>0</v>
      </c>
      <c r="R40" s="421"/>
      <c r="S40" s="115" t="s">
        <v>34</v>
      </c>
      <c r="T40" s="11"/>
      <c r="V40" s="406" t="s">
        <v>109</v>
      </c>
      <c r="W40" s="407"/>
      <c r="X40" s="408"/>
      <c r="Y40" s="407" t="s">
        <v>110</v>
      </c>
      <c r="Z40" s="407"/>
      <c r="AA40" s="408"/>
      <c r="AB40" s="406" t="s">
        <v>111</v>
      </c>
      <c r="AC40" s="407"/>
      <c r="AD40" s="408"/>
      <c r="AF40" s="406" t="s">
        <v>109</v>
      </c>
      <c r="AG40" s="407"/>
      <c r="AH40" s="408"/>
      <c r="AI40" s="407" t="s">
        <v>110</v>
      </c>
      <c r="AJ40" s="407"/>
      <c r="AK40" s="408"/>
      <c r="AL40" s="406" t="s">
        <v>111</v>
      </c>
      <c r="AM40" s="407"/>
      <c r="AN40" s="408"/>
    </row>
    <row r="41" spans="1:40" ht="3" customHeight="1" x14ac:dyDescent="0.25">
      <c r="A41" s="10"/>
      <c r="B41" s="3"/>
      <c r="C41" s="4"/>
      <c r="D41" s="4"/>
      <c r="E41" s="4"/>
      <c r="F41" s="4"/>
      <c r="G41" s="4"/>
      <c r="H41" s="4"/>
      <c r="I41" s="4"/>
      <c r="J41" s="4"/>
      <c r="K41" s="4"/>
      <c r="L41" s="4"/>
      <c r="M41" s="4"/>
      <c r="N41" s="4"/>
      <c r="O41" s="4"/>
      <c r="P41" s="4"/>
      <c r="Q41" s="4"/>
      <c r="R41" s="4"/>
      <c r="S41" s="5"/>
      <c r="T41" s="11"/>
      <c r="V41" s="3"/>
      <c r="W41" s="4"/>
      <c r="X41" s="5"/>
      <c r="Y41" s="4"/>
      <c r="Z41" s="4"/>
      <c r="AA41" s="5"/>
      <c r="AB41" s="4"/>
      <c r="AC41" s="4"/>
      <c r="AD41" s="5"/>
      <c r="AF41" s="3"/>
      <c r="AG41" s="4"/>
      <c r="AH41" s="5"/>
      <c r="AI41" s="4"/>
      <c r="AJ41" s="4"/>
      <c r="AK41" s="5"/>
      <c r="AL41" s="4"/>
      <c r="AM41" s="4"/>
      <c r="AN41" s="5"/>
    </row>
    <row r="42" spans="1:40" x14ac:dyDescent="0.25">
      <c r="A42" s="10"/>
      <c r="B42" s="426" t="s">
        <v>101</v>
      </c>
      <c r="C42" s="419"/>
      <c r="D42" s="419"/>
      <c r="E42" s="419"/>
      <c r="F42" s="419"/>
      <c r="G42" s="112" t="s">
        <v>24</v>
      </c>
      <c r="H42" s="421">
        <v>0.15</v>
      </c>
      <c r="I42" s="421"/>
      <c r="J42" s="114" t="s">
        <v>34</v>
      </c>
      <c r="K42" s="419" t="s">
        <v>102</v>
      </c>
      <c r="L42" s="419"/>
      <c r="M42" s="419"/>
      <c r="N42" s="419"/>
      <c r="O42" s="419"/>
      <c r="P42" s="112" t="s">
        <v>24</v>
      </c>
      <c r="Q42" s="421">
        <v>0.16</v>
      </c>
      <c r="R42" s="421"/>
      <c r="S42" s="115" t="s">
        <v>34</v>
      </c>
      <c r="T42" s="11"/>
      <c r="V42" s="409">
        <f>V51/1.0525889</f>
        <v>123.533288845705</v>
      </c>
      <c r="W42" s="410"/>
      <c r="X42" s="411"/>
      <c r="Y42" s="409">
        <f>Y51/1.0525889</f>
        <v>123.73650799961165</v>
      </c>
      <c r="Z42" s="410"/>
      <c r="AA42" s="411"/>
      <c r="AB42" s="409">
        <f>AB51/1.0525889</f>
        <v>123.57128917529731</v>
      </c>
      <c r="AC42" s="410"/>
      <c r="AD42" s="411"/>
      <c r="AF42" s="409">
        <f>AF51/1.045489</f>
        <v>143.03259049114817</v>
      </c>
      <c r="AG42" s="410"/>
      <c r="AH42" s="411"/>
      <c r="AI42" s="409">
        <f>AI51/1.045489</f>
        <v>143.26788708441697</v>
      </c>
      <c r="AJ42" s="410"/>
      <c r="AK42" s="411"/>
      <c r="AL42" s="409">
        <f>AL51/1.045489</f>
        <v>143.076589041109</v>
      </c>
      <c r="AM42" s="410"/>
      <c r="AN42" s="411"/>
    </row>
    <row r="43" spans="1:40" ht="3" customHeight="1" x14ac:dyDescent="0.25">
      <c r="A43" s="10"/>
      <c r="B43" s="3"/>
      <c r="C43" s="4"/>
      <c r="D43" s="4"/>
      <c r="E43" s="4"/>
      <c r="F43" s="4"/>
      <c r="G43" s="4"/>
      <c r="H43" s="4"/>
      <c r="I43" s="4"/>
      <c r="J43" s="4"/>
      <c r="K43" s="4"/>
      <c r="L43" s="4"/>
      <c r="M43" s="4"/>
      <c r="N43" s="4"/>
      <c r="O43" s="4"/>
      <c r="P43" s="4"/>
      <c r="Q43" s="4"/>
      <c r="R43" s="4"/>
      <c r="S43" s="5"/>
      <c r="T43" s="11"/>
      <c r="V43" s="47"/>
      <c r="W43" s="48"/>
      <c r="X43" s="98"/>
      <c r="Y43" s="47"/>
      <c r="Z43" s="48"/>
      <c r="AA43" s="98"/>
      <c r="AB43" s="48"/>
      <c r="AC43" s="48"/>
      <c r="AD43" s="98"/>
      <c r="AF43" s="47"/>
      <c r="AG43" s="48"/>
      <c r="AH43" s="98"/>
      <c r="AI43" s="47"/>
      <c r="AJ43" s="48"/>
      <c r="AK43" s="98"/>
      <c r="AL43" s="48"/>
      <c r="AM43" s="48"/>
      <c r="AN43" s="98"/>
    </row>
    <row r="44" spans="1:40" x14ac:dyDescent="0.25">
      <c r="A44" s="10"/>
      <c r="B44" s="426" t="s">
        <v>103</v>
      </c>
      <c r="C44" s="419"/>
      <c r="D44" s="419"/>
      <c r="E44" s="419"/>
      <c r="F44" s="419"/>
      <c r="G44" s="112" t="s">
        <v>24</v>
      </c>
      <c r="H44" s="421">
        <v>0.16</v>
      </c>
      <c r="I44" s="421"/>
      <c r="J44" s="114" t="s">
        <v>34</v>
      </c>
      <c r="K44" s="419" t="s">
        <v>104</v>
      </c>
      <c r="L44" s="419"/>
      <c r="M44" s="419"/>
      <c r="N44" s="419"/>
      <c r="O44" s="419"/>
      <c r="P44" s="112" t="s">
        <v>24</v>
      </c>
      <c r="Q44" s="421" t="s">
        <v>156</v>
      </c>
      <c r="R44" s="421"/>
      <c r="S44" s="115" t="s">
        <v>34</v>
      </c>
      <c r="T44" s="11"/>
      <c r="V44" s="386" t="s">
        <v>116</v>
      </c>
      <c r="W44" s="387"/>
      <c r="X44" s="387"/>
      <c r="Y44" s="125" t="s">
        <v>24</v>
      </c>
      <c r="Z44" s="388" t="s">
        <v>133</v>
      </c>
      <c r="AA44" s="388"/>
      <c r="AB44" s="388"/>
      <c r="AC44" s="388"/>
      <c r="AD44" s="389"/>
      <c r="AF44" s="386" t="s">
        <v>116</v>
      </c>
      <c r="AG44" s="387"/>
      <c r="AH44" s="387"/>
      <c r="AI44" s="125" t="s">
        <v>24</v>
      </c>
      <c r="AJ44" s="388" t="s">
        <v>136</v>
      </c>
      <c r="AK44" s="388"/>
      <c r="AL44" s="388"/>
      <c r="AM44" s="388"/>
      <c r="AN44" s="389"/>
    </row>
    <row r="45" spans="1:40" ht="3" customHeight="1" x14ac:dyDescent="0.25">
      <c r="A45" s="10"/>
      <c r="B45" s="47"/>
      <c r="C45" s="48"/>
      <c r="D45" s="48"/>
      <c r="E45" s="48"/>
      <c r="F45" s="48"/>
      <c r="G45" s="48"/>
      <c r="H45" s="48"/>
      <c r="I45" s="48"/>
      <c r="J45" s="48"/>
      <c r="K45" s="48"/>
      <c r="L45" s="48"/>
      <c r="M45" s="48"/>
      <c r="N45" s="48"/>
      <c r="O45" s="48"/>
      <c r="P45" s="48"/>
      <c r="Q45" s="48"/>
      <c r="R45" s="48"/>
      <c r="S45" s="98"/>
      <c r="T45" s="11"/>
    </row>
    <row r="46" spans="1:40" ht="3" customHeight="1" x14ac:dyDescent="0.25">
      <c r="A46" s="10"/>
      <c r="B46" s="3"/>
      <c r="C46" s="4"/>
      <c r="D46" s="4"/>
      <c r="E46" s="4"/>
      <c r="F46" s="4"/>
      <c r="G46" s="4"/>
      <c r="H46" s="4"/>
      <c r="I46" s="4"/>
      <c r="J46" s="4"/>
      <c r="K46" s="4"/>
      <c r="L46" s="4"/>
      <c r="M46" s="4"/>
      <c r="N46" s="4"/>
      <c r="O46" s="4"/>
      <c r="P46" s="4"/>
      <c r="Q46" s="4"/>
      <c r="R46" s="4"/>
      <c r="S46" s="5"/>
      <c r="T46" s="11"/>
    </row>
    <row r="47" spans="1:40" ht="15.75" customHeight="1" x14ac:dyDescent="0.25">
      <c r="A47" s="10"/>
      <c r="B47" s="283">
        <v>2</v>
      </c>
      <c r="C47" s="284" t="s">
        <v>25</v>
      </c>
      <c r="D47" s="423" t="s">
        <v>105</v>
      </c>
      <c r="E47" s="423"/>
      <c r="F47" s="423"/>
      <c r="G47" s="423"/>
      <c r="H47" s="423"/>
      <c r="I47" s="284">
        <v>100</v>
      </c>
      <c r="J47" s="285" t="s">
        <v>25</v>
      </c>
      <c r="K47" s="403" t="s">
        <v>106</v>
      </c>
      <c r="L47" s="404"/>
      <c r="M47" s="404"/>
      <c r="N47" s="404"/>
      <c r="O47" s="404"/>
      <c r="P47" s="404"/>
      <c r="Q47" s="404"/>
      <c r="R47" s="404"/>
      <c r="S47" s="405"/>
      <c r="T47" s="11"/>
      <c r="V47" s="403" t="s">
        <v>106</v>
      </c>
      <c r="W47" s="404"/>
      <c r="X47" s="404"/>
      <c r="Y47" s="404"/>
      <c r="Z47" s="404"/>
      <c r="AA47" s="404"/>
      <c r="AB47" s="404"/>
      <c r="AC47" s="404"/>
      <c r="AD47" s="405"/>
      <c r="AF47" s="403" t="s">
        <v>106</v>
      </c>
      <c r="AG47" s="404"/>
      <c r="AH47" s="404"/>
      <c r="AI47" s="404"/>
      <c r="AJ47" s="404"/>
      <c r="AK47" s="404"/>
      <c r="AL47" s="404"/>
      <c r="AM47" s="404"/>
      <c r="AN47" s="405"/>
    </row>
    <row r="48" spans="1:40" ht="3" customHeight="1" x14ac:dyDescent="0.25">
      <c r="A48" s="10"/>
      <c r="B48" s="3"/>
      <c r="C48" s="4"/>
      <c r="D48" s="4"/>
      <c r="E48" s="4"/>
      <c r="F48" s="4"/>
      <c r="G48" s="4"/>
      <c r="H48" s="4"/>
      <c r="I48" s="4"/>
      <c r="J48" s="5"/>
      <c r="K48" s="3"/>
      <c r="L48" s="4"/>
      <c r="M48" s="4"/>
      <c r="N48" s="44"/>
      <c r="O48" s="4"/>
      <c r="P48" s="4"/>
      <c r="Q48" s="44"/>
      <c r="R48" s="4"/>
      <c r="S48" s="5"/>
      <c r="T48" s="11"/>
      <c r="V48" s="3"/>
      <c r="W48" s="4"/>
      <c r="X48" s="4"/>
      <c r="Y48" s="44"/>
      <c r="Z48" s="4"/>
      <c r="AA48" s="4"/>
      <c r="AB48" s="44"/>
      <c r="AC48" s="4"/>
      <c r="AD48" s="5"/>
      <c r="AF48" s="3"/>
      <c r="AG48" s="4"/>
      <c r="AH48" s="4"/>
      <c r="AI48" s="44"/>
      <c r="AJ48" s="4"/>
      <c r="AK48" s="4"/>
      <c r="AL48" s="44"/>
      <c r="AM48" s="4"/>
      <c r="AN48" s="5"/>
    </row>
    <row r="49" spans="1:40" ht="15" customHeight="1" x14ac:dyDescent="0.25">
      <c r="A49" s="10"/>
      <c r="B49" s="99" t="s">
        <v>107</v>
      </c>
      <c r="C49" s="422">
        <v>3.2629999999999999</v>
      </c>
      <c r="D49" s="422"/>
      <c r="E49" s="422"/>
      <c r="F49" s="100" t="s">
        <v>108</v>
      </c>
      <c r="G49" s="424">
        <v>2.5599999999999999E-4</v>
      </c>
      <c r="H49" s="424"/>
      <c r="I49" s="424"/>
      <c r="J49" s="425"/>
      <c r="K49" s="406" t="s">
        <v>109</v>
      </c>
      <c r="L49" s="407"/>
      <c r="M49" s="408"/>
      <c r="N49" s="407" t="s">
        <v>110</v>
      </c>
      <c r="O49" s="407"/>
      <c r="P49" s="408"/>
      <c r="Q49" s="406" t="s">
        <v>111</v>
      </c>
      <c r="R49" s="407"/>
      <c r="S49" s="408"/>
      <c r="T49" s="95"/>
      <c r="V49" s="406" t="s">
        <v>109</v>
      </c>
      <c r="W49" s="407"/>
      <c r="X49" s="408"/>
      <c r="Y49" s="407" t="s">
        <v>110</v>
      </c>
      <c r="Z49" s="407"/>
      <c r="AA49" s="408"/>
      <c r="AB49" s="406" t="s">
        <v>111</v>
      </c>
      <c r="AC49" s="407"/>
      <c r="AD49" s="408"/>
      <c r="AF49" s="406" t="s">
        <v>109</v>
      </c>
      <c r="AG49" s="407"/>
      <c r="AH49" s="408"/>
      <c r="AI49" s="407" t="s">
        <v>110</v>
      </c>
      <c r="AJ49" s="407"/>
      <c r="AK49" s="408"/>
      <c r="AL49" s="406" t="s">
        <v>111</v>
      </c>
      <c r="AM49" s="407"/>
      <c r="AN49" s="408"/>
    </row>
    <row r="50" spans="1:40" ht="3" customHeight="1" x14ac:dyDescent="0.25">
      <c r="A50" s="10"/>
      <c r="B50" s="8"/>
      <c r="C50" s="24"/>
      <c r="D50" s="24"/>
      <c r="E50" s="24"/>
      <c r="F50" s="1"/>
      <c r="G50" s="32"/>
      <c r="H50" s="32"/>
      <c r="I50" s="32"/>
      <c r="J50" s="153"/>
      <c r="K50" s="3"/>
      <c r="L50" s="4"/>
      <c r="M50" s="5"/>
      <c r="N50" s="4"/>
      <c r="O50" s="4"/>
      <c r="P50" s="5"/>
      <c r="Q50" s="4"/>
      <c r="R50" s="4"/>
      <c r="S50" s="5"/>
      <c r="T50" s="11"/>
      <c r="V50" s="3"/>
      <c r="W50" s="4"/>
      <c r="X50" s="5"/>
      <c r="Y50" s="4"/>
      <c r="Z50" s="4"/>
      <c r="AA50" s="5"/>
      <c r="AB50" s="4"/>
      <c r="AC50" s="4"/>
      <c r="AD50" s="5"/>
      <c r="AF50" s="3"/>
      <c r="AG50" s="4"/>
      <c r="AH50" s="5"/>
      <c r="AI50" s="4"/>
      <c r="AJ50" s="4"/>
      <c r="AK50" s="5"/>
      <c r="AL50" s="4"/>
      <c r="AM50" s="4"/>
      <c r="AN50" s="5"/>
    </row>
    <row r="51" spans="1:40" ht="15" customHeight="1" x14ac:dyDescent="0.25">
      <c r="A51" s="10"/>
      <c r="B51" s="99" t="s">
        <v>112</v>
      </c>
      <c r="C51" s="422">
        <v>3.258</v>
      </c>
      <c r="D51" s="422"/>
      <c r="E51" s="422"/>
      <c r="F51" s="100" t="s">
        <v>113</v>
      </c>
      <c r="G51" s="424">
        <v>2.5700000000000001E-4</v>
      </c>
      <c r="H51" s="424"/>
      <c r="I51" s="424"/>
      <c r="J51" s="425"/>
      <c r="K51" s="409">
        <v>149.53899999999999</v>
      </c>
      <c r="L51" s="410"/>
      <c r="M51" s="411"/>
      <c r="N51" s="409">
        <v>149.785</v>
      </c>
      <c r="O51" s="410"/>
      <c r="P51" s="411"/>
      <c r="Q51" s="409">
        <v>149.58500000000001</v>
      </c>
      <c r="R51" s="410"/>
      <c r="S51" s="411"/>
      <c r="T51" s="11"/>
      <c r="V51" s="409">
        <f>V60/1.050038</f>
        <v>130.02976861948289</v>
      </c>
      <c r="W51" s="410"/>
      <c r="X51" s="411"/>
      <c r="Y51" s="409">
        <f>Y60/1.050038</f>
        <v>130.24367484515241</v>
      </c>
      <c r="Z51" s="410"/>
      <c r="AA51" s="411"/>
      <c r="AB51" s="409">
        <f>AB60/1.050038</f>
        <v>130.0697673446081</v>
      </c>
      <c r="AC51" s="410"/>
      <c r="AD51" s="411"/>
      <c r="AF51" s="409">
        <f>K51</f>
        <v>149.53899999999999</v>
      </c>
      <c r="AG51" s="410"/>
      <c r="AH51" s="411"/>
      <c r="AI51" s="409">
        <f>N51</f>
        <v>149.785</v>
      </c>
      <c r="AJ51" s="410"/>
      <c r="AK51" s="411"/>
      <c r="AL51" s="409">
        <f>Q51</f>
        <v>149.58500000000001</v>
      </c>
      <c r="AM51" s="410"/>
      <c r="AN51" s="411"/>
    </row>
    <row r="52" spans="1:40" ht="3" customHeight="1" x14ac:dyDescent="0.25">
      <c r="A52" s="10"/>
      <c r="B52" s="8"/>
      <c r="C52" s="24"/>
      <c r="D52" s="24"/>
      <c r="E52" s="24"/>
      <c r="F52" s="1"/>
      <c r="G52" s="32"/>
      <c r="H52" s="32"/>
      <c r="I52" s="32"/>
      <c r="J52" s="153"/>
      <c r="K52" s="47"/>
      <c r="L52" s="48"/>
      <c r="M52" s="98"/>
      <c r="N52" s="47"/>
      <c r="O52" s="48"/>
      <c r="P52" s="98"/>
      <c r="Q52" s="48"/>
      <c r="R52" s="48"/>
      <c r="S52" s="98"/>
      <c r="T52" s="11"/>
      <c r="V52" s="47"/>
      <c r="W52" s="48"/>
      <c r="X52" s="98"/>
      <c r="Y52" s="47"/>
      <c r="Z52" s="48"/>
      <c r="AA52" s="98"/>
      <c r="AB52" s="48"/>
      <c r="AC52" s="48"/>
      <c r="AD52" s="98"/>
      <c r="AF52" s="47"/>
      <c r="AG52" s="48"/>
      <c r="AH52" s="98"/>
      <c r="AI52" s="47"/>
      <c r="AJ52" s="48"/>
      <c r="AK52" s="98"/>
      <c r="AL52" s="48"/>
      <c r="AM52" s="48"/>
      <c r="AN52" s="98"/>
    </row>
    <row r="53" spans="1:40" ht="17.25" x14ac:dyDescent="0.25">
      <c r="A53" s="10"/>
      <c r="B53" s="99" t="s">
        <v>114</v>
      </c>
      <c r="C53" s="422">
        <v>3.35</v>
      </c>
      <c r="D53" s="422"/>
      <c r="E53" s="422"/>
      <c r="F53" s="100" t="s">
        <v>115</v>
      </c>
      <c r="G53" s="424">
        <v>2.5099999999999998E-4</v>
      </c>
      <c r="H53" s="424"/>
      <c r="I53" s="424"/>
      <c r="J53" s="425"/>
      <c r="K53" s="427" t="s">
        <v>116</v>
      </c>
      <c r="L53" s="428"/>
      <c r="M53" s="428"/>
      <c r="N53" s="116" t="s">
        <v>24</v>
      </c>
      <c r="O53" s="463">
        <v>34500</v>
      </c>
      <c r="P53" s="463"/>
      <c r="Q53" s="175" t="s">
        <v>123</v>
      </c>
      <c r="R53" s="181">
        <v>230.9494</v>
      </c>
      <c r="S53" s="180"/>
      <c r="T53" s="95"/>
      <c r="V53" s="386" t="s">
        <v>116</v>
      </c>
      <c r="W53" s="387"/>
      <c r="X53" s="387"/>
      <c r="Y53" s="125" t="s">
        <v>24</v>
      </c>
      <c r="Z53" s="388" t="s">
        <v>134</v>
      </c>
      <c r="AA53" s="388"/>
      <c r="AB53" s="388"/>
      <c r="AC53" s="388"/>
      <c r="AD53" s="389"/>
      <c r="AF53" s="386" t="s">
        <v>116</v>
      </c>
      <c r="AG53" s="387"/>
      <c r="AH53" s="387"/>
      <c r="AI53" s="125" t="s">
        <v>24</v>
      </c>
      <c r="AJ53" s="388" t="s">
        <v>124</v>
      </c>
      <c r="AK53" s="388"/>
      <c r="AL53" s="388"/>
      <c r="AM53" s="388"/>
      <c r="AN53" s="389"/>
    </row>
    <row r="54" spans="1:40" ht="3" customHeight="1" x14ac:dyDescent="0.25">
      <c r="A54" s="10"/>
      <c r="B54" s="47"/>
      <c r="C54" s="48"/>
      <c r="D54" s="48"/>
      <c r="E54" s="48"/>
      <c r="F54" s="48"/>
      <c r="G54" s="48"/>
      <c r="H54" s="48"/>
      <c r="I54" s="48"/>
      <c r="J54" s="98"/>
      <c r="K54" s="414"/>
      <c r="L54" s="415"/>
      <c r="M54" s="415"/>
      <c r="N54" s="415"/>
      <c r="O54" s="415"/>
      <c r="P54" s="415"/>
      <c r="Q54" s="415"/>
      <c r="R54" s="415"/>
      <c r="S54" s="416"/>
      <c r="T54" s="11"/>
    </row>
    <row r="55" spans="1:40" ht="3" customHeight="1" x14ac:dyDescent="0.25">
      <c r="A55" s="10"/>
      <c r="B55" s="3"/>
      <c r="C55" s="4"/>
      <c r="D55" s="4"/>
      <c r="E55" s="4"/>
      <c r="F55" s="4"/>
      <c r="G55" s="4"/>
      <c r="H55" s="4"/>
      <c r="I55" s="4"/>
      <c r="J55" s="4"/>
      <c r="K55" s="4"/>
      <c r="L55" s="4"/>
      <c r="M55" s="4"/>
      <c r="N55" s="4"/>
      <c r="O55" s="4"/>
      <c r="P55" s="4"/>
      <c r="Q55" s="4"/>
      <c r="R55" s="4"/>
      <c r="S55" s="5"/>
      <c r="T55" s="11"/>
    </row>
    <row r="56" spans="1:40" ht="15.75" customHeight="1" x14ac:dyDescent="0.25">
      <c r="A56" s="10"/>
      <c r="B56" s="403" t="s">
        <v>117</v>
      </c>
      <c r="C56" s="404"/>
      <c r="D56" s="404"/>
      <c r="E56" s="404"/>
      <c r="F56" s="404"/>
      <c r="G56" s="404"/>
      <c r="H56" s="404"/>
      <c r="I56" s="404"/>
      <c r="J56" s="404"/>
      <c r="K56" s="404"/>
      <c r="L56" s="404"/>
      <c r="M56" s="404"/>
      <c r="N56" s="404"/>
      <c r="O56" s="404"/>
      <c r="P56" s="404"/>
      <c r="Q56" s="404"/>
      <c r="R56" s="404"/>
      <c r="S56" s="405"/>
      <c r="T56" s="11"/>
      <c r="V56" s="403" t="s">
        <v>106</v>
      </c>
      <c r="W56" s="404"/>
      <c r="X56" s="404"/>
      <c r="Y56" s="404"/>
      <c r="Z56" s="404"/>
      <c r="AA56" s="404"/>
      <c r="AB56" s="404"/>
      <c r="AC56" s="404"/>
      <c r="AD56" s="405"/>
      <c r="AF56" s="403" t="s">
        <v>106</v>
      </c>
      <c r="AG56" s="404"/>
      <c r="AH56" s="404"/>
      <c r="AI56" s="404"/>
      <c r="AJ56" s="404"/>
      <c r="AK56" s="404"/>
      <c r="AL56" s="404"/>
      <c r="AM56" s="404"/>
      <c r="AN56" s="405"/>
    </row>
    <row r="57" spans="1:40" ht="3" customHeight="1" x14ac:dyDescent="0.25">
      <c r="A57" s="10"/>
      <c r="B57" s="3"/>
      <c r="C57" s="4"/>
      <c r="D57" s="4"/>
      <c r="E57" s="4"/>
      <c r="F57" s="4"/>
      <c r="G57" s="24"/>
      <c r="H57" s="4"/>
      <c r="I57" s="4"/>
      <c r="J57" s="4"/>
      <c r="K57" s="4"/>
      <c r="L57" s="4"/>
      <c r="M57" s="4"/>
      <c r="N57" s="4"/>
      <c r="O57" s="4"/>
      <c r="P57" s="4"/>
      <c r="Q57" s="4"/>
      <c r="R57" s="4"/>
      <c r="S57" s="5"/>
      <c r="T57" s="11"/>
      <c r="V57" s="3"/>
      <c r="W57" s="4"/>
      <c r="X57" s="4"/>
      <c r="Y57" s="44"/>
      <c r="Z57" s="4"/>
      <c r="AA57" s="4"/>
      <c r="AB57" s="44"/>
      <c r="AC57" s="4"/>
      <c r="AD57" s="5"/>
      <c r="AF57" s="3"/>
      <c r="AG57" s="4"/>
      <c r="AH57" s="4"/>
      <c r="AI57" s="44"/>
      <c r="AJ57" s="4"/>
      <c r="AK57" s="4"/>
      <c r="AL57" s="44"/>
      <c r="AM57" s="4"/>
      <c r="AN57" s="5"/>
    </row>
    <row r="58" spans="1:40" x14ac:dyDescent="0.25">
      <c r="A58" s="10"/>
      <c r="B58" s="3"/>
      <c r="C58" s="4"/>
      <c r="D58" s="4"/>
      <c r="E58" s="4"/>
      <c r="F58" s="417" t="s">
        <v>37</v>
      </c>
      <c r="G58" s="417"/>
      <c r="H58" s="4"/>
      <c r="I58" s="417" t="s">
        <v>38</v>
      </c>
      <c r="J58" s="417"/>
      <c r="K58" s="4"/>
      <c r="L58" s="417" t="s">
        <v>39</v>
      </c>
      <c r="M58" s="417"/>
      <c r="N58" s="1"/>
      <c r="O58" s="418" t="s">
        <v>118</v>
      </c>
      <c r="P58" s="418"/>
      <c r="Q58" s="419" t="s">
        <v>191</v>
      </c>
      <c r="R58" s="419"/>
      <c r="S58" s="420"/>
      <c r="T58" s="11"/>
      <c r="V58" s="406" t="s">
        <v>109</v>
      </c>
      <c r="W58" s="407"/>
      <c r="X58" s="408"/>
      <c r="Y58" s="407" t="s">
        <v>110</v>
      </c>
      <c r="Z58" s="407"/>
      <c r="AA58" s="408"/>
      <c r="AB58" s="406" t="s">
        <v>111</v>
      </c>
      <c r="AC58" s="407"/>
      <c r="AD58" s="408"/>
      <c r="AF58" s="406" t="s">
        <v>109</v>
      </c>
      <c r="AG58" s="407"/>
      <c r="AH58" s="408"/>
      <c r="AI58" s="407" t="s">
        <v>110</v>
      </c>
      <c r="AJ58" s="407"/>
      <c r="AK58" s="408"/>
      <c r="AL58" s="406" t="s">
        <v>111</v>
      </c>
      <c r="AM58" s="407"/>
      <c r="AN58" s="408"/>
    </row>
    <row r="59" spans="1:40" ht="3" customHeight="1" x14ac:dyDescent="0.25">
      <c r="A59" s="10"/>
      <c r="B59" s="75"/>
      <c r="C59" s="76"/>
      <c r="D59" s="76"/>
      <c r="E59" s="76"/>
      <c r="F59" s="76"/>
      <c r="G59" s="76"/>
      <c r="H59" s="76"/>
      <c r="I59" s="76"/>
      <c r="J59" s="76"/>
      <c r="K59" s="76"/>
      <c r="L59" s="76"/>
      <c r="M59" s="76"/>
      <c r="N59" s="76"/>
      <c r="O59" s="76"/>
      <c r="P59" s="76"/>
      <c r="Q59" s="76"/>
      <c r="R59" s="76"/>
      <c r="S59" s="77"/>
      <c r="T59" s="11"/>
      <c r="V59" s="3"/>
      <c r="W59" s="4"/>
      <c r="X59" s="5"/>
      <c r="Y59" s="4"/>
      <c r="Z59" s="4"/>
      <c r="AA59" s="5"/>
      <c r="AB59" s="4"/>
      <c r="AC59" s="4"/>
      <c r="AD59" s="5"/>
      <c r="AF59" s="3"/>
      <c r="AG59" s="4"/>
      <c r="AH59" s="5"/>
      <c r="AI59" s="4"/>
      <c r="AJ59" s="4"/>
      <c r="AK59" s="5"/>
      <c r="AL59" s="4"/>
      <c r="AM59" s="4"/>
      <c r="AN59" s="5"/>
    </row>
    <row r="60" spans="1:40" ht="15" customHeight="1" x14ac:dyDescent="0.25">
      <c r="A60" s="10"/>
      <c r="B60" s="390" t="s">
        <v>119</v>
      </c>
      <c r="C60" s="391"/>
      <c r="D60" s="391"/>
      <c r="E60" s="78"/>
      <c r="F60" s="396">
        <v>1111</v>
      </c>
      <c r="G60" s="396"/>
      <c r="H60" s="142"/>
      <c r="I60" s="396">
        <v>2311</v>
      </c>
      <c r="J60" s="396"/>
      <c r="K60" s="142"/>
      <c r="L60" s="396">
        <v>3456</v>
      </c>
      <c r="M60" s="396"/>
      <c r="N60" s="78"/>
      <c r="O60" s="81" t="s">
        <v>132</v>
      </c>
      <c r="P60" s="121" t="s">
        <v>34</v>
      </c>
      <c r="Q60" s="464">
        <f>L60/F60</f>
        <v>3.1107110711071106</v>
      </c>
      <c r="R60" s="464"/>
      <c r="S60" s="139"/>
      <c r="T60" s="11"/>
      <c r="V60" s="409">
        <f>AF42/1.04758</f>
        <v>136.53619818166459</v>
      </c>
      <c r="W60" s="410"/>
      <c r="X60" s="411"/>
      <c r="Y60" s="409">
        <f>AI42/1.04758</f>
        <v>136.76080784705414</v>
      </c>
      <c r="Z60" s="410"/>
      <c r="AA60" s="411"/>
      <c r="AB60" s="409">
        <f>AL42/1.04758</f>
        <v>136.5781983629976</v>
      </c>
      <c r="AC60" s="410"/>
      <c r="AD60" s="411"/>
      <c r="AF60" s="409">
        <f>AF51*1.043443</f>
        <v>156.03542277699998</v>
      </c>
      <c r="AG60" s="410"/>
      <c r="AH60" s="411"/>
      <c r="AI60" s="409">
        <f>AI51*1.043443</f>
        <v>156.29210975499998</v>
      </c>
      <c r="AJ60" s="410"/>
      <c r="AK60" s="411"/>
      <c r="AL60" s="409">
        <f>AL51*1.043443</f>
        <v>156.083421155</v>
      </c>
      <c r="AM60" s="410"/>
      <c r="AN60" s="411"/>
    </row>
    <row r="61" spans="1:40" ht="3" customHeight="1" x14ac:dyDescent="0.25">
      <c r="A61" s="10"/>
      <c r="B61" s="107"/>
      <c r="C61" s="108"/>
      <c r="D61" s="108"/>
      <c r="E61" s="4"/>
      <c r="F61" s="143"/>
      <c r="G61" s="143"/>
      <c r="H61" s="143"/>
      <c r="I61" s="143"/>
      <c r="J61" s="143"/>
      <c r="K61" s="143"/>
      <c r="L61" s="143"/>
      <c r="M61" s="143"/>
      <c r="N61" s="4"/>
      <c r="O61" s="81"/>
      <c r="P61" s="122"/>
      <c r="Q61" s="137"/>
      <c r="R61" s="137"/>
      <c r="S61" s="138"/>
      <c r="T61" s="11"/>
      <c r="V61" s="47"/>
      <c r="W61" s="48"/>
      <c r="X61" s="98"/>
      <c r="Y61" s="47"/>
      <c r="Z61" s="48"/>
      <c r="AA61" s="98"/>
      <c r="AB61" s="48"/>
      <c r="AC61" s="48"/>
      <c r="AD61" s="98"/>
      <c r="AF61" s="47"/>
      <c r="AG61" s="48"/>
      <c r="AH61" s="98"/>
      <c r="AI61" s="47"/>
      <c r="AJ61" s="48"/>
      <c r="AK61" s="98"/>
      <c r="AL61" s="48"/>
      <c r="AM61" s="48"/>
      <c r="AN61" s="98"/>
    </row>
    <row r="62" spans="1:40" ht="15.75" x14ac:dyDescent="0.25">
      <c r="A62" s="10"/>
      <c r="B62" s="390" t="s">
        <v>120</v>
      </c>
      <c r="C62" s="391"/>
      <c r="D62" s="391"/>
      <c r="E62" s="4"/>
      <c r="F62" s="396">
        <v>1111</v>
      </c>
      <c r="G62" s="396"/>
      <c r="H62" s="143"/>
      <c r="I62" s="396">
        <v>3232</v>
      </c>
      <c r="J62" s="396"/>
      <c r="K62" s="143"/>
      <c r="L62" s="396">
        <v>3456</v>
      </c>
      <c r="M62" s="396"/>
      <c r="N62" s="57"/>
      <c r="O62" s="81" t="s">
        <v>132</v>
      </c>
      <c r="P62" s="121" t="s">
        <v>34</v>
      </c>
      <c r="Q62" s="464">
        <f>L62/F62</f>
        <v>3.1107110711071106</v>
      </c>
      <c r="R62" s="464"/>
      <c r="S62" s="139"/>
      <c r="T62" s="11"/>
      <c r="V62" s="386" t="s">
        <v>116</v>
      </c>
      <c r="W62" s="387"/>
      <c r="X62" s="387"/>
      <c r="Y62" s="125" t="s">
        <v>24</v>
      </c>
      <c r="Z62" s="388" t="s">
        <v>135</v>
      </c>
      <c r="AA62" s="388"/>
      <c r="AB62" s="388"/>
      <c r="AC62" s="388"/>
      <c r="AD62" s="389"/>
      <c r="AF62" s="386" t="s">
        <v>116</v>
      </c>
      <c r="AG62" s="387"/>
      <c r="AH62" s="387"/>
      <c r="AI62" s="125" t="s">
        <v>24</v>
      </c>
      <c r="AJ62" s="388" t="s">
        <v>137</v>
      </c>
      <c r="AK62" s="388"/>
      <c r="AL62" s="388"/>
      <c r="AM62" s="388"/>
      <c r="AN62" s="389"/>
    </row>
    <row r="63" spans="1:40" ht="3" customHeight="1" x14ac:dyDescent="0.25">
      <c r="A63" s="10"/>
      <c r="B63" s="109"/>
      <c r="C63" s="108"/>
      <c r="D63" s="108"/>
      <c r="E63" s="4"/>
      <c r="F63" s="143"/>
      <c r="G63" s="143"/>
      <c r="H63" s="143"/>
      <c r="I63" s="143"/>
      <c r="J63" s="143"/>
      <c r="K63" s="143"/>
      <c r="L63" s="143"/>
      <c r="M63" s="143"/>
      <c r="N63" s="57"/>
      <c r="O63" s="81"/>
      <c r="P63" s="123"/>
      <c r="Q63" s="137"/>
      <c r="R63" s="137"/>
      <c r="S63" s="138"/>
      <c r="T63" s="11"/>
    </row>
    <row r="64" spans="1:40" ht="15.75" x14ac:dyDescent="0.25">
      <c r="A64" s="10"/>
      <c r="B64" s="390" t="s">
        <v>121</v>
      </c>
      <c r="C64" s="391"/>
      <c r="D64" s="391"/>
      <c r="E64" s="4"/>
      <c r="F64" s="396">
        <v>1111</v>
      </c>
      <c r="G64" s="396"/>
      <c r="H64" s="143"/>
      <c r="I64" s="396">
        <v>3232</v>
      </c>
      <c r="J64" s="396"/>
      <c r="K64" s="143"/>
      <c r="L64" s="396">
        <v>3345</v>
      </c>
      <c r="M64" s="396"/>
      <c r="N64" s="4"/>
      <c r="O64" s="81" t="s">
        <v>132</v>
      </c>
      <c r="P64" s="121" t="s">
        <v>34</v>
      </c>
      <c r="Q64" s="464">
        <f>L64/F64</f>
        <v>3.0108010801080107</v>
      </c>
      <c r="R64" s="464"/>
      <c r="S64" s="139"/>
      <c r="T64" s="11"/>
    </row>
    <row r="65" spans="1:21" ht="3" customHeight="1" x14ac:dyDescent="0.25">
      <c r="A65" s="10"/>
      <c r="B65" s="110"/>
      <c r="C65" s="111"/>
      <c r="D65" s="111"/>
      <c r="E65" s="48"/>
      <c r="F65" s="48"/>
      <c r="G65" s="48"/>
      <c r="H65" s="48"/>
      <c r="I65" s="48"/>
      <c r="J65" s="48"/>
      <c r="K65" s="48"/>
      <c r="L65" s="48"/>
      <c r="M65" s="48"/>
      <c r="N65" s="48"/>
      <c r="O65" s="22"/>
      <c r="P65" s="101"/>
      <c r="Q65" s="82"/>
      <c r="R65" s="82"/>
      <c r="S65" s="83"/>
      <c r="T65" s="11"/>
    </row>
    <row r="66" spans="1:21" ht="3" customHeight="1" x14ac:dyDescent="0.25">
      <c r="A66" s="10"/>
      <c r="B66" s="145"/>
      <c r="C66" s="68"/>
      <c r="D66" s="68"/>
      <c r="E66" s="68"/>
      <c r="F66" s="68"/>
      <c r="G66" s="68"/>
      <c r="H66" s="68"/>
      <c r="I66" s="68"/>
      <c r="J66" s="68"/>
      <c r="K66" s="68"/>
      <c r="L66" s="68"/>
      <c r="M66" s="68"/>
      <c r="N66" s="68"/>
      <c r="O66" s="68"/>
      <c r="P66" s="68"/>
      <c r="Q66" s="68"/>
      <c r="R66" s="68"/>
      <c r="S66" s="169"/>
      <c r="T66" s="11"/>
    </row>
    <row r="67" spans="1:21" ht="15.75" customHeight="1" x14ac:dyDescent="0.25">
      <c r="A67" s="10"/>
      <c r="B67" s="400" t="s">
        <v>380</v>
      </c>
      <c r="C67" s="401"/>
      <c r="D67" s="401"/>
      <c r="E67" s="401"/>
      <c r="F67" s="401"/>
      <c r="G67" s="401"/>
      <c r="H67" s="401"/>
      <c r="I67" s="401"/>
      <c r="J67" s="401"/>
      <c r="K67" s="401"/>
      <c r="L67" s="401"/>
      <c r="M67" s="401"/>
      <c r="N67" s="401"/>
      <c r="O67" s="401"/>
      <c r="P67" s="401"/>
      <c r="Q67" s="401"/>
      <c r="R67" s="401"/>
      <c r="S67" s="402"/>
      <c r="T67" s="11"/>
    </row>
    <row r="68" spans="1:21" ht="15" customHeight="1" x14ac:dyDescent="0.25">
      <c r="A68" s="10"/>
      <c r="B68" s="400"/>
      <c r="C68" s="401"/>
      <c r="D68" s="401"/>
      <c r="E68" s="401"/>
      <c r="F68" s="401"/>
      <c r="G68" s="401"/>
      <c r="H68" s="401"/>
      <c r="I68" s="401"/>
      <c r="J68" s="401"/>
      <c r="K68" s="401"/>
      <c r="L68" s="401"/>
      <c r="M68" s="401"/>
      <c r="N68" s="401"/>
      <c r="O68" s="401"/>
      <c r="P68" s="401"/>
      <c r="Q68" s="401"/>
      <c r="R68" s="401"/>
      <c r="S68" s="402"/>
      <c r="T68" s="11"/>
    </row>
    <row r="69" spans="1:21" ht="15.75" customHeight="1" x14ac:dyDescent="0.25">
      <c r="A69" s="10"/>
      <c r="B69" s="400"/>
      <c r="C69" s="401"/>
      <c r="D69" s="401"/>
      <c r="E69" s="401"/>
      <c r="F69" s="401"/>
      <c r="G69" s="401"/>
      <c r="H69" s="401"/>
      <c r="I69" s="401"/>
      <c r="J69" s="401"/>
      <c r="K69" s="401"/>
      <c r="L69" s="401"/>
      <c r="M69" s="401"/>
      <c r="N69" s="401"/>
      <c r="O69" s="401"/>
      <c r="P69" s="401"/>
      <c r="Q69" s="401"/>
      <c r="R69" s="401"/>
      <c r="S69" s="402"/>
      <c r="T69" s="11"/>
    </row>
    <row r="70" spans="1:21" ht="15.75" customHeight="1" x14ac:dyDescent="0.25">
      <c r="A70" s="10"/>
      <c r="B70" s="400"/>
      <c r="C70" s="401"/>
      <c r="D70" s="401"/>
      <c r="E70" s="401"/>
      <c r="F70" s="401"/>
      <c r="G70" s="401"/>
      <c r="H70" s="401"/>
      <c r="I70" s="401"/>
      <c r="J70" s="401"/>
      <c r="K70" s="401"/>
      <c r="L70" s="401"/>
      <c r="M70" s="401"/>
      <c r="N70" s="401"/>
      <c r="O70" s="401"/>
      <c r="P70" s="401"/>
      <c r="Q70" s="401"/>
      <c r="R70" s="401"/>
      <c r="S70" s="402"/>
      <c r="T70" s="11"/>
      <c r="U70" s="10"/>
    </row>
    <row r="71" spans="1:21" ht="4.5" customHeight="1" x14ac:dyDescent="0.25">
      <c r="A71" s="10"/>
      <c r="B71" s="313"/>
      <c r="C71" s="314"/>
      <c r="D71" s="314"/>
      <c r="E71" s="314"/>
      <c r="F71" s="314"/>
      <c r="G71" s="314"/>
      <c r="H71" s="314"/>
      <c r="I71" s="314"/>
      <c r="J71" s="314"/>
      <c r="K71" s="314"/>
      <c r="L71" s="314"/>
      <c r="M71" s="314"/>
      <c r="N71" s="314"/>
      <c r="O71" s="314"/>
      <c r="P71" s="314"/>
      <c r="Q71" s="314"/>
      <c r="R71" s="314"/>
      <c r="S71" s="315"/>
      <c r="T71" s="11"/>
    </row>
    <row r="72" spans="1:21" ht="16.5" customHeight="1" x14ac:dyDescent="0.25">
      <c r="A72" s="10"/>
      <c r="B72" s="392" t="s">
        <v>195</v>
      </c>
      <c r="C72" s="393"/>
      <c r="D72" s="393"/>
      <c r="E72" s="333" t="s">
        <v>24</v>
      </c>
      <c r="F72" s="394">
        <f>'KAPAK SAYFASI'!D55</f>
        <v>45310</v>
      </c>
      <c r="G72" s="394"/>
      <c r="H72" s="394"/>
      <c r="I72" s="394"/>
      <c r="J72" s="395"/>
      <c r="K72" s="397" t="s">
        <v>322</v>
      </c>
      <c r="L72" s="398"/>
      <c r="M72" s="398"/>
      <c r="N72" s="398"/>
      <c r="O72" s="398"/>
      <c r="P72" s="398"/>
      <c r="Q72" s="398"/>
      <c r="R72" s="398"/>
      <c r="S72" s="399"/>
      <c r="T72" s="11"/>
    </row>
    <row r="73" spans="1:21" ht="16.5" customHeight="1" x14ac:dyDescent="0.25">
      <c r="A73" s="10"/>
      <c r="B73" s="459" t="s">
        <v>385</v>
      </c>
      <c r="C73" s="435"/>
      <c r="D73" s="435"/>
      <c r="E73" s="291" t="s">
        <v>24</v>
      </c>
      <c r="F73" s="460">
        <f>'KAPAK SAYFASI'!D54</f>
        <v>45307</v>
      </c>
      <c r="G73" s="461"/>
      <c r="H73" s="461"/>
      <c r="I73" s="461"/>
      <c r="J73" s="462"/>
      <c r="K73" s="292"/>
      <c r="L73" s="293"/>
      <c r="M73" s="291"/>
      <c r="N73" s="299"/>
      <c r="O73" s="299"/>
      <c r="P73" s="299"/>
      <c r="Q73" s="299"/>
      <c r="R73" s="299"/>
      <c r="S73" s="300"/>
      <c r="T73" s="11"/>
    </row>
    <row r="74" spans="1:21" ht="16.5" customHeight="1" x14ac:dyDescent="0.25">
      <c r="A74" s="10"/>
      <c r="B74" s="459" t="s">
        <v>350</v>
      </c>
      <c r="C74" s="435"/>
      <c r="D74" s="435"/>
      <c r="E74" s="291" t="s">
        <v>24</v>
      </c>
      <c r="F74" s="453" t="str">
        <f>'KAPAK SAYFASI'!D56</f>
        <v>Elektrik Mühendisi</v>
      </c>
      <c r="G74" s="454"/>
      <c r="H74" s="454"/>
      <c r="I74" s="454"/>
      <c r="J74" s="455"/>
      <c r="K74" s="292"/>
      <c r="L74" s="293"/>
      <c r="M74" s="291"/>
      <c r="N74" s="291"/>
      <c r="O74" s="291"/>
      <c r="P74" s="291"/>
      <c r="Q74" s="291"/>
      <c r="R74" s="291"/>
      <c r="S74" s="301"/>
      <c r="T74" s="11"/>
    </row>
    <row r="75" spans="1:21" s="290" customFormat="1" ht="16.5" customHeight="1" x14ac:dyDescent="0.25">
      <c r="A75" s="10"/>
      <c r="B75" s="459" t="s">
        <v>323</v>
      </c>
      <c r="C75" s="435"/>
      <c r="D75" s="435"/>
      <c r="E75" s="291" t="s">
        <v>24</v>
      </c>
      <c r="F75" s="465">
        <f>'KAPAK SAYFASI'!D57</f>
        <v>88258</v>
      </c>
      <c r="G75" s="465"/>
      <c r="H75" s="465"/>
      <c r="I75" s="465"/>
      <c r="J75" s="466"/>
      <c r="K75" s="286"/>
      <c r="L75" s="287"/>
      <c r="M75" s="291"/>
      <c r="N75" s="288"/>
      <c r="O75" s="288"/>
      <c r="P75" s="288"/>
      <c r="Q75" s="288"/>
      <c r="R75" s="288"/>
      <c r="S75" s="289"/>
      <c r="T75" s="11"/>
    </row>
    <row r="76" spans="1:21" ht="16.5" customHeight="1" x14ac:dyDescent="0.25">
      <c r="A76" s="10"/>
      <c r="B76" s="467" t="s">
        <v>324</v>
      </c>
      <c r="C76" s="468"/>
      <c r="D76" s="468"/>
      <c r="E76" s="296" t="s">
        <v>24</v>
      </c>
      <c r="F76" s="456" t="str">
        <f>'KAPAK SAYFASI'!D58</f>
        <v>K202439698</v>
      </c>
      <c r="G76" s="457"/>
      <c r="H76" s="457"/>
      <c r="I76" s="457"/>
      <c r="J76" s="458"/>
      <c r="K76" s="294"/>
      <c r="L76" s="295"/>
      <c r="M76" s="296"/>
      <c r="N76" s="297"/>
      <c r="O76" s="297"/>
      <c r="P76" s="297"/>
      <c r="Q76" s="297"/>
      <c r="R76" s="297"/>
      <c r="S76" s="298"/>
      <c r="T76" s="11"/>
    </row>
    <row r="77" spans="1:21" ht="6" customHeight="1" thickBot="1" x14ac:dyDescent="0.3">
      <c r="A77" s="15"/>
      <c r="B77" s="16"/>
      <c r="C77" s="16"/>
      <c r="D77" s="16"/>
      <c r="E77" s="16"/>
      <c r="F77" s="16"/>
      <c r="G77" s="16"/>
      <c r="H77" s="16"/>
      <c r="I77" s="16"/>
      <c r="J77" s="16"/>
      <c r="K77" s="16"/>
      <c r="L77" s="16"/>
      <c r="M77" s="16"/>
      <c r="N77" s="16"/>
      <c r="O77" s="16"/>
      <c r="P77" s="16"/>
      <c r="Q77" s="16"/>
      <c r="R77" s="16"/>
      <c r="S77" s="16"/>
      <c r="T77" s="17"/>
    </row>
  </sheetData>
  <mergeCells count="163">
    <mergeCell ref="F74:J74"/>
    <mergeCell ref="F76:J76"/>
    <mergeCell ref="B73:D73"/>
    <mergeCell ref="B74:D74"/>
    <mergeCell ref="F73:J73"/>
    <mergeCell ref="O53:P53"/>
    <mergeCell ref="Q62:R62"/>
    <mergeCell ref="Q64:R64"/>
    <mergeCell ref="B75:D75"/>
    <mergeCell ref="F75:J75"/>
    <mergeCell ref="B76:D76"/>
    <mergeCell ref="B64:D64"/>
    <mergeCell ref="F60:G60"/>
    <mergeCell ref="L64:M64"/>
    <mergeCell ref="Q60:R60"/>
    <mergeCell ref="B6:G6"/>
    <mergeCell ref="B9:S9"/>
    <mergeCell ref="B11:E11"/>
    <mergeCell ref="G11:J11"/>
    <mergeCell ref="K11:M11"/>
    <mergeCell ref="H5:J6"/>
    <mergeCell ref="K5:S6"/>
    <mergeCell ref="K2:S3"/>
    <mergeCell ref="H2:J3"/>
    <mergeCell ref="B13:E13"/>
    <mergeCell ref="G13:J13"/>
    <mergeCell ref="K13:M13"/>
    <mergeCell ref="O13:S13"/>
    <mergeCell ref="B15:E15"/>
    <mergeCell ref="K15:M15"/>
    <mergeCell ref="O15:S15"/>
    <mergeCell ref="G15:J15"/>
    <mergeCell ref="B17:E17"/>
    <mergeCell ref="G17:J17"/>
    <mergeCell ref="K17:M17"/>
    <mergeCell ref="O17:S17"/>
    <mergeCell ref="B23:S23"/>
    <mergeCell ref="B26:E26"/>
    <mergeCell ref="K26:N26"/>
    <mergeCell ref="B28:E28"/>
    <mergeCell ref="K28:N28"/>
    <mergeCell ref="P28:Q28"/>
    <mergeCell ref="P26:Q26"/>
    <mergeCell ref="G28:H28"/>
    <mergeCell ref="B19:E19"/>
    <mergeCell ref="K19:M19"/>
    <mergeCell ref="B36:E36"/>
    <mergeCell ref="K36:N36"/>
    <mergeCell ref="B30:E30"/>
    <mergeCell ref="K30:N30"/>
    <mergeCell ref="B32:E32"/>
    <mergeCell ref="K32:N32"/>
    <mergeCell ref="B34:E34"/>
    <mergeCell ref="K34:N34"/>
    <mergeCell ref="G32:H32"/>
    <mergeCell ref="G34:H34"/>
    <mergeCell ref="G36:H36"/>
    <mergeCell ref="G53:J53"/>
    <mergeCell ref="K51:M51"/>
    <mergeCell ref="H44:I44"/>
    <mergeCell ref="G51:J51"/>
    <mergeCell ref="G49:J49"/>
    <mergeCell ref="C51:E51"/>
    <mergeCell ref="B38:S38"/>
    <mergeCell ref="B40:F40"/>
    <mergeCell ref="K40:O40"/>
    <mergeCell ref="B42:F42"/>
    <mergeCell ref="K42:O42"/>
    <mergeCell ref="B44:F44"/>
    <mergeCell ref="K44:O44"/>
    <mergeCell ref="Q42:R42"/>
    <mergeCell ref="Q40:R40"/>
    <mergeCell ref="H42:I42"/>
    <mergeCell ref="K53:M53"/>
    <mergeCell ref="C53:E53"/>
    <mergeCell ref="Q49:S49"/>
    <mergeCell ref="Z53:AD53"/>
    <mergeCell ref="P36:Q36"/>
    <mergeCell ref="P34:Q34"/>
    <mergeCell ref="P32:Q32"/>
    <mergeCell ref="P30:Q30"/>
    <mergeCell ref="L62:M62"/>
    <mergeCell ref="L60:M60"/>
    <mergeCell ref="K54:S54"/>
    <mergeCell ref="B56:S56"/>
    <mergeCell ref="F58:G58"/>
    <mergeCell ref="I58:J58"/>
    <mergeCell ref="L58:M58"/>
    <mergeCell ref="O58:P58"/>
    <mergeCell ref="Q58:S58"/>
    <mergeCell ref="K47:S47"/>
    <mergeCell ref="K49:M49"/>
    <mergeCell ref="N49:P49"/>
    <mergeCell ref="H40:I40"/>
    <mergeCell ref="Q44:R44"/>
    <mergeCell ref="C49:E49"/>
    <mergeCell ref="Q51:S51"/>
    <mergeCell ref="N51:P51"/>
    <mergeCell ref="D47:H47"/>
    <mergeCell ref="V56:AD56"/>
    <mergeCell ref="V58:X58"/>
    <mergeCell ref="Y58:AA58"/>
    <mergeCell ref="AB58:AD58"/>
    <mergeCell ref="V60:X60"/>
    <mergeCell ref="Y60:AA60"/>
    <mergeCell ref="AB60:AD60"/>
    <mergeCell ref="V38:AD38"/>
    <mergeCell ref="V40:X40"/>
    <mergeCell ref="Y40:AA40"/>
    <mergeCell ref="AB40:AD40"/>
    <mergeCell ref="V42:X42"/>
    <mergeCell ref="Y42:AA42"/>
    <mergeCell ref="AB42:AD42"/>
    <mergeCell ref="V44:X44"/>
    <mergeCell ref="Z44:AD44"/>
    <mergeCell ref="V47:AD47"/>
    <mergeCell ref="V49:X49"/>
    <mergeCell ref="Y49:AA49"/>
    <mergeCell ref="AB49:AD49"/>
    <mergeCell ref="V51:X51"/>
    <mergeCell ref="Y51:AA51"/>
    <mergeCell ref="AB51:AD51"/>
    <mergeCell ref="V53:X53"/>
    <mergeCell ref="AF38:AN38"/>
    <mergeCell ref="AF40:AH40"/>
    <mergeCell ref="AI40:AK40"/>
    <mergeCell ref="AL40:AN40"/>
    <mergeCell ref="AF42:AH42"/>
    <mergeCell ref="AI42:AK42"/>
    <mergeCell ref="AL42:AN42"/>
    <mergeCell ref="AF44:AH44"/>
    <mergeCell ref="AJ44:AN44"/>
    <mergeCell ref="AF47:AN47"/>
    <mergeCell ref="AF49:AH49"/>
    <mergeCell ref="AI49:AK49"/>
    <mergeCell ref="AL49:AN49"/>
    <mergeCell ref="AF51:AH51"/>
    <mergeCell ref="AI51:AK51"/>
    <mergeCell ref="AL51:AN51"/>
    <mergeCell ref="AF53:AH53"/>
    <mergeCell ref="AJ53:AN53"/>
    <mergeCell ref="AF56:AN56"/>
    <mergeCell ref="AF58:AH58"/>
    <mergeCell ref="AI58:AK58"/>
    <mergeCell ref="AL58:AN58"/>
    <mergeCell ref="AF60:AH60"/>
    <mergeCell ref="AI60:AK60"/>
    <mergeCell ref="AL60:AN60"/>
    <mergeCell ref="AF62:AH62"/>
    <mergeCell ref="AJ62:AN62"/>
    <mergeCell ref="V62:X62"/>
    <mergeCell ref="Z62:AD62"/>
    <mergeCell ref="B60:D60"/>
    <mergeCell ref="B62:D62"/>
    <mergeCell ref="B72:D72"/>
    <mergeCell ref="F72:J72"/>
    <mergeCell ref="I64:J64"/>
    <mergeCell ref="I62:J62"/>
    <mergeCell ref="I60:J60"/>
    <mergeCell ref="F64:G64"/>
    <mergeCell ref="F62:G62"/>
    <mergeCell ref="K72:S72"/>
    <mergeCell ref="B67:S70"/>
  </mergeCells>
  <pageMargins left="0.55118110236220474" right="0.23622047244094488" top="0.3543307086614173" bottom="0.3543307086614173"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pageSetUpPr fitToPage="1"/>
  </sheetPr>
  <dimension ref="A1:V49"/>
  <sheetViews>
    <sheetView topLeftCell="A11" zoomScaleNormal="100" workbookViewId="0">
      <selection activeCell="F19" sqref="F19:I19"/>
    </sheetView>
  </sheetViews>
  <sheetFormatPr defaultRowHeight="15" x14ac:dyDescent="0.25"/>
  <cols>
    <col min="1" max="1" width="3.5703125" customWidth="1"/>
    <col min="2" max="17" width="5.5703125" customWidth="1"/>
    <col min="18" max="18" width="3.5703125" customWidth="1"/>
    <col min="19" max="19" width="9.140625" customWidth="1"/>
  </cols>
  <sheetData>
    <row r="1" spans="1:22" x14ac:dyDescent="0.25">
      <c r="A1" s="12"/>
      <c r="B1" s="13"/>
      <c r="C1" s="13"/>
      <c r="D1" s="13"/>
      <c r="E1" s="13"/>
      <c r="F1" s="13"/>
      <c r="G1" s="13"/>
      <c r="H1" s="13"/>
      <c r="I1" s="13"/>
      <c r="J1" s="13"/>
      <c r="K1" s="13"/>
      <c r="L1" s="13"/>
      <c r="M1" s="13"/>
      <c r="N1" s="13"/>
      <c r="O1" s="13"/>
      <c r="P1" s="13"/>
      <c r="Q1" s="13"/>
      <c r="R1" s="14"/>
    </row>
    <row r="2" spans="1:22" ht="29.25" customHeight="1" x14ac:dyDescent="0.25">
      <c r="A2" s="10"/>
      <c r="B2" s="59"/>
      <c r="C2" s="60"/>
      <c r="D2" s="60"/>
      <c r="E2" s="60"/>
      <c r="F2" s="343"/>
      <c r="G2" s="449" t="s">
        <v>22</v>
      </c>
      <c r="H2" s="450"/>
      <c r="I2" s="185" t="s">
        <v>24</v>
      </c>
      <c r="J2" s="486" t="str">
        <f>'ANA SAYFA'!K2</f>
        <v>BARMAK MAKİNA (ÇAĞLA ELK.)</v>
      </c>
      <c r="K2" s="486"/>
      <c r="L2" s="486"/>
      <c r="M2" s="486"/>
      <c r="N2" s="486"/>
      <c r="O2" s="486"/>
      <c r="P2" s="486"/>
      <c r="Q2" s="487"/>
      <c r="R2" s="11"/>
    </row>
    <row r="3" spans="1:22" ht="29.25" customHeight="1" x14ac:dyDescent="0.25">
      <c r="A3" s="10"/>
      <c r="B3" s="62"/>
      <c r="C3" s="63"/>
      <c r="D3" s="63"/>
      <c r="E3" s="63"/>
      <c r="F3" s="345"/>
      <c r="G3" s="484" t="s">
        <v>23</v>
      </c>
      <c r="H3" s="485"/>
      <c r="I3" s="184" t="s">
        <v>24</v>
      </c>
      <c r="J3" s="488" t="str">
        <f>'ANA SAYFA'!K5</f>
        <v>TRAFO 1</v>
      </c>
      <c r="K3" s="488"/>
      <c r="L3" s="488"/>
      <c r="M3" s="488"/>
      <c r="N3" s="488"/>
      <c r="O3" s="488"/>
      <c r="P3" s="488"/>
      <c r="Q3" s="489"/>
      <c r="R3" s="11"/>
    </row>
    <row r="4" spans="1:22" x14ac:dyDescent="0.25">
      <c r="A4" s="10"/>
      <c r="B4" s="3"/>
      <c r="C4" s="4"/>
      <c r="D4" s="4"/>
      <c r="E4" s="4"/>
      <c r="F4" s="4"/>
      <c r="G4" s="4"/>
      <c r="H4" s="4"/>
      <c r="I4" s="4"/>
      <c r="J4" s="4"/>
      <c r="K4" s="4"/>
      <c r="L4" s="4"/>
      <c r="M4" s="4"/>
      <c r="N4" s="4"/>
      <c r="O4" s="4"/>
      <c r="P4" s="4"/>
      <c r="Q4" s="5"/>
      <c r="R4" s="11"/>
    </row>
    <row r="5" spans="1:22" ht="18.75" x14ac:dyDescent="0.25">
      <c r="A5" s="10"/>
      <c r="B5" s="403" t="s">
        <v>340</v>
      </c>
      <c r="C5" s="404"/>
      <c r="D5" s="404"/>
      <c r="E5" s="404"/>
      <c r="F5" s="404"/>
      <c r="G5" s="404"/>
      <c r="H5" s="404"/>
      <c r="I5" s="404"/>
      <c r="J5" s="404"/>
      <c r="K5" s="404"/>
      <c r="L5" s="404"/>
      <c r="M5" s="404"/>
      <c r="N5" s="404"/>
      <c r="O5" s="404"/>
      <c r="P5" s="404"/>
      <c r="Q5" s="405"/>
      <c r="R5" s="11"/>
    </row>
    <row r="6" spans="1:22" x14ac:dyDescent="0.25">
      <c r="A6" s="10"/>
      <c r="B6" s="3"/>
      <c r="C6" s="4"/>
      <c r="D6" s="4"/>
      <c r="E6" s="4"/>
      <c r="F6" s="4"/>
      <c r="G6" s="4"/>
      <c r="H6" s="4"/>
      <c r="I6" s="4"/>
      <c r="J6" s="4"/>
      <c r="K6" s="4"/>
      <c r="L6" s="4"/>
      <c r="M6" s="4"/>
      <c r="N6" s="4"/>
      <c r="O6" s="4"/>
      <c r="P6" s="4"/>
      <c r="Q6" s="5"/>
      <c r="R6" s="11"/>
    </row>
    <row r="7" spans="1:22" x14ac:dyDescent="0.25">
      <c r="A7" s="10"/>
      <c r="B7" s="478" t="s">
        <v>1</v>
      </c>
      <c r="C7" s="480"/>
      <c r="D7" s="490" t="str">
        <f>'ANA SAYFA'!G11</f>
        <v>BEST</v>
      </c>
      <c r="E7" s="482"/>
      <c r="F7" s="483"/>
      <c r="G7" s="490" t="s">
        <v>2</v>
      </c>
      <c r="H7" s="491"/>
      <c r="I7" s="481" t="str">
        <f>'ANA SAYFA'!O13</f>
        <v>06/2013</v>
      </c>
      <c r="J7" s="482"/>
      <c r="K7" s="483"/>
      <c r="L7" s="478" t="s">
        <v>21</v>
      </c>
      <c r="M7" s="479"/>
      <c r="N7" s="480"/>
      <c r="O7" s="481">
        <f>'ANA SAYFA'!O15</f>
        <v>1330</v>
      </c>
      <c r="P7" s="482"/>
      <c r="Q7" s="483"/>
      <c r="R7" s="11"/>
    </row>
    <row r="8" spans="1:22" x14ac:dyDescent="0.25">
      <c r="A8" s="10"/>
      <c r="B8" s="3"/>
      <c r="C8" s="4"/>
      <c r="D8" s="4"/>
      <c r="E8" s="4"/>
      <c r="F8" s="4"/>
      <c r="G8" s="4"/>
      <c r="H8" s="4"/>
      <c r="I8" s="4"/>
      <c r="J8" s="4"/>
      <c r="K8" s="4"/>
      <c r="L8" s="4"/>
      <c r="M8" s="4"/>
      <c r="N8" s="4"/>
      <c r="O8" s="4"/>
      <c r="P8" s="4"/>
      <c r="Q8" s="5"/>
      <c r="R8" s="11"/>
    </row>
    <row r="9" spans="1:22" ht="18.75" x14ac:dyDescent="0.25">
      <c r="A9" s="10"/>
      <c r="B9" s="469" t="s">
        <v>3</v>
      </c>
      <c r="C9" s="470"/>
      <c r="D9" s="470"/>
      <c r="E9" s="470"/>
      <c r="F9" s="470"/>
      <c r="G9" s="470"/>
      <c r="H9" s="470"/>
      <c r="I9" s="470"/>
      <c r="J9" s="471">
        <f>'ANA SAYFA'!F72</f>
        <v>45310</v>
      </c>
      <c r="K9" s="471"/>
      <c r="L9" s="471"/>
      <c r="M9" s="471"/>
      <c r="N9" s="471"/>
      <c r="O9" s="471"/>
      <c r="P9" s="471"/>
      <c r="Q9" s="472"/>
      <c r="R9" s="11"/>
    </row>
    <row r="10" spans="1:22" x14ac:dyDescent="0.25">
      <c r="A10" s="10"/>
      <c r="B10" s="3"/>
      <c r="C10" s="4"/>
      <c r="D10" s="4"/>
      <c r="E10" s="4"/>
      <c r="F10" s="4"/>
      <c r="G10" s="4"/>
      <c r="H10" s="4"/>
      <c r="I10" s="4"/>
      <c r="J10" s="4"/>
      <c r="K10" s="4"/>
      <c r="L10" s="4"/>
      <c r="M10" s="4"/>
      <c r="N10" s="4"/>
      <c r="O10" s="4"/>
      <c r="P10" s="4"/>
      <c r="Q10" s="5"/>
      <c r="R10" s="11"/>
    </row>
    <row r="11" spans="1:22" x14ac:dyDescent="0.25">
      <c r="A11" s="10"/>
      <c r="B11" s="473" t="s">
        <v>4</v>
      </c>
      <c r="C11" s="474"/>
      <c r="D11" s="475" t="s">
        <v>394</v>
      </c>
      <c r="E11" s="476"/>
      <c r="F11" s="476"/>
      <c r="G11" s="477"/>
      <c r="H11" s="473" t="s">
        <v>5</v>
      </c>
      <c r="I11" s="474"/>
      <c r="J11" s="478" t="s">
        <v>6</v>
      </c>
      <c r="K11" s="479"/>
      <c r="L11" s="480"/>
      <c r="M11" s="478" t="s">
        <v>7</v>
      </c>
      <c r="N11" s="480"/>
      <c r="O11" s="478" t="s">
        <v>8</v>
      </c>
      <c r="P11" s="479"/>
      <c r="Q11" s="480"/>
      <c r="R11" s="11"/>
      <c r="U11" s="124"/>
    </row>
    <row r="12" spans="1:22" x14ac:dyDescent="0.25">
      <c r="A12" s="10"/>
      <c r="B12" s="3"/>
      <c r="C12" s="4"/>
      <c r="D12" s="4"/>
      <c r="E12" s="4"/>
      <c r="F12" s="4"/>
      <c r="G12" s="4"/>
      <c r="H12" s="4"/>
      <c r="I12" s="4"/>
      <c r="J12" s="4"/>
      <c r="K12" s="4"/>
      <c r="L12" s="4"/>
      <c r="M12" s="4"/>
      <c r="N12" s="4"/>
      <c r="O12" s="4"/>
      <c r="P12" s="4"/>
      <c r="Q12" s="5"/>
      <c r="R12" s="11"/>
      <c r="S12" s="124"/>
      <c r="U12" s="124"/>
    </row>
    <row r="13" spans="1:22" ht="18.75" x14ac:dyDescent="0.25">
      <c r="A13" s="10"/>
      <c r="B13" s="492" t="s">
        <v>9</v>
      </c>
      <c r="C13" s="493"/>
      <c r="D13" s="493"/>
      <c r="E13" s="493"/>
      <c r="F13" s="493"/>
      <c r="G13" s="493"/>
      <c r="H13" s="493"/>
      <c r="I13" s="493"/>
      <c r="J13" s="493"/>
      <c r="K13" s="493"/>
      <c r="L13" s="493"/>
      <c r="M13" s="493"/>
      <c r="N13" s="493"/>
      <c r="O13" s="493"/>
      <c r="P13" s="493"/>
      <c r="Q13" s="494"/>
      <c r="R13" s="11"/>
      <c r="V13">
        <f>'ANA SAYFA'!G13</f>
        <v>2000</v>
      </c>
    </row>
    <row r="14" spans="1:22" x14ac:dyDescent="0.25">
      <c r="A14" s="10"/>
      <c r="B14" s="3"/>
      <c r="C14" s="4"/>
      <c r="D14" s="4"/>
      <c r="E14" s="4"/>
      <c r="F14" s="4"/>
      <c r="G14" s="4"/>
      <c r="H14" s="4"/>
      <c r="I14" s="4"/>
      <c r="J14" s="4"/>
      <c r="K14" s="4"/>
      <c r="L14" s="4"/>
      <c r="M14" s="4"/>
      <c r="N14" s="4"/>
      <c r="O14" s="4"/>
      <c r="P14" s="4"/>
      <c r="Q14" s="5"/>
      <c r="R14" s="11"/>
      <c r="V14">
        <f>V13/59.75575286</f>
        <v>33.469580823217832</v>
      </c>
    </row>
    <row r="15" spans="1:22" ht="18.75" x14ac:dyDescent="0.25">
      <c r="A15" s="10"/>
      <c r="B15" s="495" t="s">
        <v>10</v>
      </c>
      <c r="C15" s="496"/>
      <c r="D15" s="496"/>
      <c r="E15" s="496"/>
      <c r="F15" s="496"/>
      <c r="G15" s="496"/>
      <c r="H15" s="496"/>
      <c r="I15" s="497"/>
      <c r="J15" s="500" t="s">
        <v>122</v>
      </c>
      <c r="K15" s="501"/>
      <c r="L15" s="501"/>
      <c r="M15" s="501"/>
      <c r="N15" s="501"/>
      <c r="O15" s="102">
        <f>'ANA SAYFA'!S11</f>
        <v>3</v>
      </c>
      <c r="P15" s="102"/>
      <c r="Q15" s="40"/>
      <c r="R15" s="11"/>
    </row>
    <row r="16" spans="1:22" x14ac:dyDescent="0.25">
      <c r="A16" s="10"/>
      <c r="B16" s="3"/>
      <c r="C16" s="4"/>
      <c r="D16" s="4"/>
      <c r="E16" s="4"/>
      <c r="F16" s="4"/>
      <c r="G16" s="4"/>
      <c r="H16" s="4"/>
      <c r="I16" s="4"/>
      <c r="J16" s="4"/>
      <c r="K16" s="4"/>
      <c r="L16" s="4"/>
      <c r="M16" s="4"/>
      <c r="N16" s="4"/>
      <c r="O16" s="4"/>
      <c r="P16" s="4"/>
      <c r="Q16" s="5"/>
      <c r="R16" s="11"/>
    </row>
    <row r="17" spans="1:22" x14ac:dyDescent="0.25">
      <c r="A17" s="10"/>
      <c r="B17" s="498" t="s">
        <v>11</v>
      </c>
      <c r="C17" s="499"/>
      <c r="D17" s="499"/>
      <c r="E17" s="499"/>
      <c r="F17" s="419"/>
      <c r="G17" s="419"/>
      <c r="H17" s="419"/>
      <c r="I17" s="419"/>
      <c r="J17" s="419" t="s">
        <v>12</v>
      </c>
      <c r="K17" s="419"/>
      <c r="L17" s="419"/>
      <c r="M17" s="419"/>
      <c r="N17" s="419" t="s">
        <v>13</v>
      </c>
      <c r="O17" s="419"/>
      <c r="P17" s="419"/>
      <c r="Q17" s="420"/>
      <c r="R17" s="11"/>
    </row>
    <row r="18" spans="1:22" x14ac:dyDescent="0.25">
      <c r="A18" s="10"/>
      <c r="B18" s="426" t="s">
        <v>14</v>
      </c>
      <c r="C18" s="419"/>
      <c r="D18" s="419"/>
      <c r="E18" s="419"/>
      <c r="F18" s="502" t="str">
        <f>'ANA SAYFA'!G17</f>
        <v>Dyn11</v>
      </c>
      <c r="G18" s="502"/>
      <c r="H18" s="502"/>
      <c r="I18" s="502"/>
      <c r="J18" s="419" t="s">
        <v>17</v>
      </c>
      <c r="K18" s="419"/>
      <c r="L18" s="419"/>
      <c r="M18" s="419"/>
      <c r="N18" s="419" t="s">
        <v>18</v>
      </c>
      <c r="O18" s="419"/>
      <c r="P18" s="419"/>
      <c r="Q18" s="420"/>
      <c r="R18" s="11"/>
    </row>
    <row r="19" spans="1:22" x14ac:dyDescent="0.25">
      <c r="A19" s="10"/>
      <c r="B19" s="426" t="s">
        <v>20</v>
      </c>
      <c r="C19" s="419"/>
      <c r="D19" s="419"/>
      <c r="E19" s="419"/>
      <c r="F19" s="419"/>
      <c r="G19" s="419"/>
      <c r="H19" s="419"/>
      <c r="I19" s="419"/>
      <c r="J19" s="419"/>
      <c r="K19" s="419"/>
      <c r="L19" s="419"/>
      <c r="M19" s="419"/>
      <c r="N19" s="419"/>
      <c r="O19" s="419"/>
      <c r="P19" s="419"/>
      <c r="Q19" s="420"/>
      <c r="R19" s="11"/>
    </row>
    <row r="20" spans="1:22" x14ac:dyDescent="0.25">
      <c r="A20" s="10"/>
      <c r="B20" s="426" t="s">
        <v>15</v>
      </c>
      <c r="C20" s="419"/>
      <c r="D20" s="419"/>
      <c r="E20" s="419"/>
      <c r="F20" s="503">
        <f>(K24+K25+K26)/3</f>
        <v>3.2903333333333329</v>
      </c>
      <c r="G20" s="419"/>
      <c r="H20" s="4" t="s">
        <v>34</v>
      </c>
      <c r="I20" s="4"/>
      <c r="J20" s="419"/>
      <c r="K20" s="419"/>
      <c r="L20" s="419"/>
      <c r="M20" s="419"/>
      <c r="N20" s="419"/>
      <c r="O20" s="419"/>
      <c r="P20" s="419"/>
      <c r="Q20" s="420"/>
      <c r="R20" s="11"/>
    </row>
    <row r="21" spans="1:22" x14ac:dyDescent="0.25">
      <c r="A21" s="10"/>
      <c r="B21" s="426" t="s">
        <v>16</v>
      </c>
      <c r="C21" s="419"/>
      <c r="D21" s="419"/>
      <c r="E21" s="419"/>
      <c r="F21" s="419" t="s">
        <v>299</v>
      </c>
      <c r="G21" s="419"/>
      <c r="H21" s="419"/>
      <c r="I21" s="419"/>
      <c r="J21" s="419"/>
      <c r="K21" s="419"/>
      <c r="L21" s="419"/>
      <c r="M21" s="419"/>
      <c r="N21" s="419"/>
      <c r="O21" s="419"/>
      <c r="P21" s="419"/>
      <c r="Q21" s="420"/>
      <c r="R21" s="11"/>
      <c r="T21" t="s">
        <v>25</v>
      </c>
      <c r="U21" s="267">
        <f>MAX(T32:T33)</f>
        <v>2.5970149253731398E-2</v>
      </c>
    </row>
    <row r="22" spans="1:22" x14ac:dyDescent="0.25">
      <c r="A22" s="10"/>
      <c r="B22" s="3"/>
      <c r="C22" s="4"/>
      <c r="D22" s="4"/>
      <c r="E22" s="4"/>
      <c r="F22" s="4"/>
      <c r="G22" s="4"/>
      <c r="H22" s="4"/>
      <c r="I22" s="4"/>
      <c r="J22" s="4"/>
      <c r="K22" s="4"/>
      <c r="L22" s="4"/>
      <c r="M22" s="4"/>
      <c r="N22" s="4"/>
      <c r="O22" s="4"/>
      <c r="P22" s="4"/>
      <c r="Q22" s="5"/>
      <c r="R22" s="11"/>
      <c r="T22" t="s">
        <v>26</v>
      </c>
      <c r="U22" s="267">
        <f>MAX(U32:U33)</f>
        <v>2.8238182934315556E-2</v>
      </c>
    </row>
    <row r="23" spans="1:22" x14ac:dyDescent="0.25">
      <c r="A23" s="10"/>
      <c r="B23" s="2"/>
      <c r="C23" s="511" t="s">
        <v>28</v>
      </c>
      <c r="D23" s="511"/>
      <c r="E23" s="504" t="s">
        <v>29</v>
      </c>
      <c r="F23" s="504"/>
      <c r="G23" s="504" t="s">
        <v>30</v>
      </c>
      <c r="H23" s="504"/>
      <c r="I23" s="504" t="s">
        <v>31</v>
      </c>
      <c r="J23" s="504"/>
      <c r="K23" s="504" t="s">
        <v>32</v>
      </c>
      <c r="L23" s="504"/>
      <c r="M23" s="504" t="s">
        <v>33</v>
      </c>
      <c r="N23" s="504"/>
      <c r="O23" s="504" t="s">
        <v>298</v>
      </c>
      <c r="P23" s="504"/>
      <c r="Q23" s="2"/>
      <c r="R23" s="11"/>
      <c r="T23" t="s">
        <v>27</v>
      </c>
      <c r="U23" s="267">
        <f>MAX(V32:V33)</f>
        <v>2.7462686567164201E-2</v>
      </c>
    </row>
    <row r="24" spans="1:22" x14ac:dyDescent="0.25">
      <c r="A24" s="10"/>
      <c r="B24" s="2" t="s">
        <v>25</v>
      </c>
      <c r="C24" s="505">
        <f>'ANA SAYFA'!B47</f>
        <v>2</v>
      </c>
      <c r="D24" s="506"/>
      <c r="E24" s="507">
        <f>C24</f>
        <v>2</v>
      </c>
      <c r="F24" s="508"/>
      <c r="G24" s="509">
        <f>(E24*K24)*0.98</f>
        <v>6.3954800000000001</v>
      </c>
      <c r="H24" s="505"/>
      <c r="I24" s="505">
        <v>40</v>
      </c>
      <c r="J24" s="505"/>
      <c r="K24" s="505">
        <f>'ANA SAYFA'!C49</f>
        <v>3.2629999999999999</v>
      </c>
      <c r="L24" s="505"/>
      <c r="M24" s="505">
        <f>F20</f>
        <v>3.2903333333333329</v>
      </c>
      <c r="N24" s="505"/>
      <c r="O24" s="510">
        <f>U21</f>
        <v>2.5970149253731398E-2</v>
      </c>
      <c r="P24" s="510"/>
      <c r="Q24" s="2">
        <f>IF(O24&gt;0.05,1,0)</f>
        <v>0</v>
      </c>
      <c r="R24" s="11"/>
      <c r="T24" t="s">
        <v>201</v>
      </c>
      <c r="U24" s="267">
        <v>0.05</v>
      </c>
    </row>
    <row r="25" spans="1:22" x14ac:dyDescent="0.25">
      <c r="A25" s="10"/>
      <c r="B25" s="2" t="s">
        <v>26</v>
      </c>
      <c r="C25" s="505">
        <f>'ANA SAYFA'!B47</f>
        <v>2</v>
      </c>
      <c r="D25" s="505"/>
      <c r="E25" s="507">
        <f t="shared" ref="E25:E26" si="0">C25</f>
        <v>2</v>
      </c>
      <c r="F25" s="508"/>
      <c r="G25" s="509">
        <f>(E25*K25)*0.98</f>
        <v>6.5659999999999998</v>
      </c>
      <c r="H25" s="505"/>
      <c r="I25" s="505">
        <v>40</v>
      </c>
      <c r="J25" s="505"/>
      <c r="K25" s="505">
        <f>'ANA SAYFA'!C53</f>
        <v>3.35</v>
      </c>
      <c r="L25" s="505"/>
      <c r="M25" s="505">
        <f>M24</f>
        <v>3.2903333333333329</v>
      </c>
      <c r="N25" s="505"/>
      <c r="O25" s="510">
        <f>U22</f>
        <v>2.8238182934315556E-2</v>
      </c>
      <c r="P25" s="510"/>
      <c r="Q25" s="278">
        <f>IF(O25&gt;0.05,1,0)</f>
        <v>0</v>
      </c>
      <c r="R25" s="11"/>
    </row>
    <row r="26" spans="1:22" x14ac:dyDescent="0.25">
      <c r="A26" s="10"/>
      <c r="B26" s="2" t="s">
        <v>27</v>
      </c>
      <c r="C26" s="505">
        <f>'ANA SAYFA'!B47</f>
        <v>2</v>
      </c>
      <c r="D26" s="505"/>
      <c r="E26" s="507">
        <f t="shared" si="0"/>
        <v>2</v>
      </c>
      <c r="F26" s="508"/>
      <c r="G26" s="509">
        <f>(E26*K26)*0.98</f>
        <v>6.3856799999999998</v>
      </c>
      <c r="H26" s="505"/>
      <c r="I26" s="505">
        <v>40</v>
      </c>
      <c r="J26" s="505"/>
      <c r="K26" s="505">
        <f>'ANA SAYFA'!C51</f>
        <v>3.258</v>
      </c>
      <c r="L26" s="505"/>
      <c r="M26" s="505">
        <f>M24</f>
        <v>3.2903333333333329</v>
      </c>
      <c r="N26" s="505"/>
      <c r="O26" s="510">
        <f>U23</f>
        <v>2.7462686567164201E-2</v>
      </c>
      <c r="P26" s="510"/>
      <c r="Q26" s="278">
        <f>IF(O26&gt;0.05,1,0)</f>
        <v>0</v>
      </c>
      <c r="R26" s="11"/>
    </row>
    <row r="27" spans="1:22" x14ac:dyDescent="0.25">
      <c r="A27" s="10"/>
      <c r="B27" s="18"/>
      <c r="C27" s="19"/>
      <c r="D27" s="19"/>
      <c r="E27" s="19"/>
      <c r="F27" s="19"/>
      <c r="G27" s="19"/>
      <c r="H27" s="19"/>
      <c r="I27" s="19"/>
      <c r="J27" s="19"/>
      <c r="K27" s="19"/>
      <c r="L27" s="19"/>
      <c r="M27" s="19"/>
      <c r="N27" s="19"/>
      <c r="O27" s="19"/>
      <c r="P27" s="19"/>
      <c r="Q27" s="20"/>
      <c r="R27" s="11"/>
    </row>
    <row r="28" spans="1:22" ht="18.75" x14ac:dyDescent="0.25">
      <c r="A28" s="10"/>
      <c r="B28" s="30"/>
      <c r="C28" s="28"/>
      <c r="D28" s="28"/>
      <c r="E28" s="28"/>
      <c r="F28" s="28"/>
      <c r="G28" s="28"/>
      <c r="H28" s="28"/>
      <c r="I28" s="28"/>
      <c r="J28" s="28"/>
      <c r="K28" s="28"/>
      <c r="L28" s="28"/>
      <c r="M28" s="28"/>
      <c r="N28" s="28"/>
      <c r="O28" s="28"/>
      <c r="P28" s="28"/>
      <c r="Q28" s="31"/>
      <c r="R28" s="11"/>
    </row>
    <row r="29" spans="1:22" x14ac:dyDescent="0.25">
      <c r="A29" s="10"/>
      <c r="B29" s="3"/>
      <c r="C29" s="4"/>
      <c r="D29" s="4"/>
      <c r="E29" s="4"/>
      <c r="F29" s="4"/>
      <c r="G29" s="4"/>
      <c r="H29" s="4"/>
      <c r="I29" s="4"/>
      <c r="J29" s="4"/>
      <c r="K29" s="4"/>
      <c r="L29" s="4"/>
      <c r="M29" s="4"/>
      <c r="N29" s="4"/>
      <c r="O29" s="4"/>
      <c r="P29" s="4"/>
      <c r="Q29" s="5"/>
      <c r="R29" s="11"/>
    </row>
    <row r="30" spans="1:22" x14ac:dyDescent="0.25">
      <c r="A30" s="10"/>
      <c r="B30" s="25"/>
      <c r="C30" s="26"/>
      <c r="D30" s="26"/>
      <c r="E30" s="26"/>
      <c r="F30" s="4"/>
      <c r="G30" s="4"/>
      <c r="H30" s="4"/>
      <c r="I30" s="4"/>
      <c r="J30" s="4"/>
      <c r="K30" s="4"/>
      <c r="L30" s="4"/>
      <c r="M30" s="4"/>
      <c r="N30" s="4"/>
      <c r="O30" s="4"/>
      <c r="P30" s="4"/>
      <c r="Q30" s="5"/>
      <c r="R30" s="11"/>
    </row>
    <row r="31" spans="1:22" x14ac:dyDescent="0.25">
      <c r="A31" s="10"/>
      <c r="B31" s="3"/>
      <c r="C31" s="4"/>
      <c r="D31" s="4"/>
      <c r="E31" s="4"/>
      <c r="F31" s="4"/>
      <c r="G31" s="4"/>
      <c r="H31" s="4"/>
      <c r="I31" s="4"/>
      <c r="J31" s="4"/>
      <c r="K31" s="4"/>
      <c r="L31" s="4"/>
      <c r="M31" s="4"/>
      <c r="N31" s="4"/>
      <c r="O31" s="4"/>
      <c r="P31" s="4"/>
      <c r="Q31" s="5"/>
      <c r="R31" s="11"/>
    </row>
    <row r="32" spans="1:22" x14ac:dyDescent="0.25">
      <c r="A32" s="10"/>
      <c r="B32" s="3"/>
      <c r="C32" s="4"/>
      <c r="D32" s="4"/>
      <c r="E32" s="4"/>
      <c r="F32" s="4"/>
      <c r="G32" s="4"/>
      <c r="H32" s="4"/>
      <c r="I32" s="4"/>
      <c r="J32" s="4"/>
      <c r="K32" s="4"/>
      <c r="L32" s="4"/>
      <c r="M32" s="4"/>
      <c r="N32" s="4"/>
      <c r="O32" s="4"/>
      <c r="P32" s="4"/>
      <c r="Q32" s="5"/>
      <c r="R32" s="11"/>
      <c r="T32">
        <f>SQRT((K24-K25)^2)/K25</f>
        <v>2.5970149253731398E-2</v>
      </c>
      <c r="U32" s="265">
        <f>SQRT((K24-K25)^2)/K24</f>
        <v>2.6662580447441065E-2</v>
      </c>
      <c r="V32" s="265">
        <f>SQRT((K26-K24)^2)/K24</f>
        <v>1.5323322096230136E-3</v>
      </c>
    </row>
    <row r="33" spans="1:22" x14ac:dyDescent="0.25">
      <c r="A33" s="10"/>
      <c r="B33" s="3"/>
      <c r="C33" s="4"/>
      <c r="D33" s="4"/>
      <c r="E33" s="4"/>
      <c r="F33" s="24"/>
      <c r="G33" s="4"/>
      <c r="H33" s="4"/>
      <c r="I33" s="4"/>
      <c r="J33" s="4"/>
      <c r="K33" s="4"/>
      <c r="L33" s="4"/>
      <c r="M33" s="4"/>
      <c r="N33" s="4"/>
      <c r="O33" s="4"/>
      <c r="P33" s="4"/>
      <c r="Q33" s="5"/>
      <c r="R33" s="11"/>
      <c r="T33" s="265">
        <f>SQRT((K26-K24)^2)/K26</f>
        <v>1.5346838551258113E-3</v>
      </c>
      <c r="U33" s="265">
        <f>SQRT((K25-K26)^2)/K26</f>
        <v>2.8238182934315556E-2</v>
      </c>
      <c r="V33" s="265">
        <f>SQRT((K26-K25)^2)/K25</f>
        <v>2.7462686567164201E-2</v>
      </c>
    </row>
    <row r="34" spans="1:22" x14ac:dyDescent="0.25">
      <c r="A34" s="10"/>
      <c r="B34" s="3"/>
      <c r="C34" s="4"/>
      <c r="D34" s="4"/>
      <c r="E34" s="4"/>
      <c r="F34" s="4"/>
      <c r="G34" s="4"/>
      <c r="H34" s="4"/>
      <c r="I34" s="4"/>
      <c r="J34" s="4"/>
      <c r="K34" s="4"/>
      <c r="L34" s="4"/>
      <c r="M34" s="4"/>
      <c r="N34" s="4"/>
      <c r="O34" s="4"/>
      <c r="P34" s="4"/>
      <c r="Q34" s="5"/>
      <c r="R34" s="11"/>
      <c r="T34" s="265"/>
    </row>
    <row r="35" spans="1:22" x14ac:dyDescent="0.25">
      <c r="A35" s="10"/>
      <c r="B35" s="3"/>
      <c r="C35" s="4"/>
      <c r="D35" s="4"/>
      <c r="E35" s="4"/>
      <c r="F35" s="4"/>
      <c r="G35" s="4"/>
      <c r="H35" s="4"/>
      <c r="I35" s="4"/>
      <c r="J35" s="4"/>
      <c r="K35" s="4"/>
      <c r="L35" s="4"/>
      <c r="M35" s="4"/>
      <c r="N35" s="4"/>
      <c r="O35" s="4"/>
      <c r="P35" s="4"/>
      <c r="Q35" s="5"/>
      <c r="R35" s="11"/>
      <c r="T35" s="265"/>
    </row>
    <row r="36" spans="1:22" x14ac:dyDescent="0.25">
      <c r="A36" s="10"/>
      <c r="B36" s="3"/>
      <c r="C36" s="4"/>
      <c r="D36" s="4"/>
      <c r="E36" s="4"/>
      <c r="F36" s="4"/>
      <c r="G36" s="4"/>
      <c r="H36" s="4"/>
      <c r="I36" s="4"/>
      <c r="J36" s="4"/>
      <c r="K36" s="4"/>
      <c r="L36" s="4"/>
      <c r="M36" s="4"/>
      <c r="N36" s="4"/>
      <c r="O36" s="4"/>
      <c r="P36" s="4"/>
      <c r="Q36" s="5"/>
      <c r="R36" s="11"/>
      <c r="T36" s="265"/>
    </row>
    <row r="37" spans="1:22" x14ac:dyDescent="0.25">
      <c r="A37" s="10"/>
      <c r="B37" s="6"/>
      <c r="C37" s="29"/>
      <c r="D37" s="29"/>
      <c r="E37" s="4"/>
      <c r="F37" s="4"/>
      <c r="G37" s="4"/>
      <c r="H37" s="4"/>
      <c r="I37" s="4"/>
      <c r="J37" s="4"/>
      <c r="K37" s="4"/>
      <c r="L37" s="4"/>
      <c r="M37" s="4"/>
      <c r="N37" s="4"/>
      <c r="O37" s="4"/>
      <c r="P37" s="4"/>
      <c r="Q37" s="7"/>
      <c r="R37" s="11"/>
      <c r="T37" s="265"/>
    </row>
    <row r="38" spans="1:22" x14ac:dyDescent="0.25">
      <c r="A38" s="10"/>
      <c r="B38" s="6"/>
      <c r="C38" s="24"/>
      <c r="D38" s="24"/>
      <c r="E38" s="24"/>
      <c r="F38" s="24"/>
      <c r="G38" s="24"/>
      <c r="H38" s="24"/>
      <c r="I38" s="24"/>
      <c r="J38" s="24"/>
      <c r="K38" s="24"/>
      <c r="L38" s="24"/>
      <c r="M38" s="24"/>
      <c r="N38" s="24"/>
      <c r="O38" s="24"/>
      <c r="P38" s="24"/>
      <c r="Q38" s="7"/>
      <c r="R38" s="11"/>
      <c r="T38" s="265"/>
    </row>
    <row r="39" spans="1:22" ht="15.75" x14ac:dyDescent="0.25">
      <c r="A39" s="10"/>
      <c r="B39" s="512" t="s">
        <v>35</v>
      </c>
      <c r="C39" s="513"/>
      <c r="D39" s="514" t="s">
        <v>377</v>
      </c>
      <c r="E39" s="514"/>
      <c r="F39" s="514"/>
      <c r="G39" s="514"/>
      <c r="H39" s="514"/>
      <c r="I39" s="514"/>
      <c r="J39" s="514"/>
      <c r="K39" s="514"/>
      <c r="L39" s="514"/>
      <c r="M39" s="514"/>
      <c r="N39" s="514"/>
      <c r="O39" s="514"/>
      <c r="P39" s="514"/>
      <c r="Q39" s="515"/>
      <c r="R39" s="11"/>
      <c r="T39" s="265"/>
    </row>
    <row r="40" spans="1:22" x14ac:dyDescent="0.25">
      <c r="A40" s="10"/>
      <c r="B40" s="6"/>
      <c r="C40" s="24"/>
      <c r="D40" s="516"/>
      <c r="E40" s="516"/>
      <c r="F40" s="516"/>
      <c r="G40" s="516"/>
      <c r="H40" s="516"/>
      <c r="I40" s="516"/>
      <c r="J40" s="516"/>
      <c r="K40" s="516"/>
      <c r="L40" s="516"/>
      <c r="M40" s="516"/>
      <c r="N40" s="516"/>
      <c r="O40" s="516"/>
      <c r="P40" s="516"/>
      <c r="Q40" s="517"/>
      <c r="R40" s="11"/>
    </row>
    <row r="41" spans="1:22" x14ac:dyDescent="0.25">
      <c r="A41" s="10"/>
      <c r="B41" s="3"/>
      <c r="C41" s="4"/>
      <c r="D41" s="516"/>
      <c r="E41" s="516"/>
      <c r="F41" s="516"/>
      <c r="G41" s="516"/>
      <c r="H41" s="516"/>
      <c r="I41" s="516"/>
      <c r="J41" s="516"/>
      <c r="K41" s="516"/>
      <c r="L41" s="516"/>
      <c r="M41" s="516"/>
      <c r="N41" s="516"/>
      <c r="O41" s="516"/>
      <c r="P41" s="516"/>
      <c r="Q41" s="517"/>
      <c r="R41" s="11"/>
    </row>
    <row r="42" spans="1:22" x14ac:dyDescent="0.25">
      <c r="A42" s="10"/>
      <c r="B42" s="3"/>
      <c r="C42" s="4"/>
      <c r="D42" s="516"/>
      <c r="E42" s="516"/>
      <c r="F42" s="516"/>
      <c r="G42" s="516"/>
      <c r="H42" s="516"/>
      <c r="I42" s="516"/>
      <c r="J42" s="516"/>
      <c r="K42" s="516"/>
      <c r="L42" s="516"/>
      <c r="M42" s="516"/>
      <c r="N42" s="516"/>
      <c r="O42" s="516"/>
      <c r="P42" s="516"/>
      <c r="Q42" s="517"/>
      <c r="R42" s="11"/>
    </row>
    <row r="43" spans="1:22" x14ac:dyDescent="0.25">
      <c r="A43" s="10"/>
      <c r="B43" s="8"/>
      <c r="C43" s="1"/>
      <c r="D43" s="1"/>
      <c r="E43" s="1"/>
      <c r="F43" s="1"/>
      <c r="G43" s="1"/>
      <c r="H43" s="1"/>
      <c r="I43" s="1"/>
      <c r="J43" s="1"/>
      <c r="K43" s="1"/>
      <c r="L43" s="1"/>
      <c r="M43" s="1"/>
      <c r="N43" s="1"/>
      <c r="O43" s="1"/>
      <c r="P43" s="1"/>
      <c r="Q43" s="9"/>
      <c r="R43" s="11"/>
    </row>
    <row r="44" spans="1:22" x14ac:dyDescent="0.25">
      <c r="A44" s="10"/>
      <c r="B44" s="21"/>
      <c r="C44" s="22"/>
      <c r="D44" s="22"/>
      <c r="E44" s="22"/>
      <c r="F44" s="22"/>
      <c r="G44" s="22"/>
      <c r="H44" s="22"/>
      <c r="I44" s="22"/>
      <c r="J44" s="22"/>
      <c r="K44" s="22"/>
      <c r="L44" s="22"/>
      <c r="M44" s="22"/>
      <c r="N44" s="22"/>
      <c r="O44" s="22"/>
      <c r="P44" s="22"/>
      <c r="Q44" s="23"/>
      <c r="R44" s="11"/>
    </row>
    <row r="45" spans="1:22" ht="22.5" customHeight="1" x14ac:dyDescent="0.25">
      <c r="A45" s="10"/>
      <c r="B45" s="520" t="s">
        <v>357</v>
      </c>
      <c r="C45" s="521"/>
      <c r="D45" s="521"/>
      <c r="E45" s="330" t="s">
        <v>24</v>
      </c>
      <c r="F45" s="518" t="s">
        <v>395</v>
      </c>
      <c r="G45" s="518"/>
      <c r="H45" s="518"/>
      <c r="I45" s="519"/>
      <c r="J45" s="403" t="s">
        <v>322</v>
      </c>
      <c r="K45" s="404"/>
      <c r="L45" s="404"/>
      <c r="M45" s="404"/>
      <c r="N45" s="404"/>
      <c r="O45" s="404"/>
      <c r="P45" s="404"/>
      <c r="Q45" s="405"/>
      <c r="R45" s="11"/>
    </row>
    <row r="46" spans="1:22" ht="22.5" customHeight="1" x14ac:dyDescent="0.25">
      <c r="A46" s="10"/>
      <c r="B46" s="520" t="s">
        <v>386</v>
      </c>
      <c r="C46" s="521"/>
      <c r="D46" s="521"/>
      <c r="E46" s="330" t="s">
        <v>24</v>
      </c>
      <c r="F46" s="522">
        <f>'ANA SAYFA'!F73:J73</f>
        <v>45307</v>
      </c>
      <c r="G46" s="518"/>
      <c r="H46" s="518"/>
      <c r="I46" s="519"/>
      <c r="J46" s="75"/>
      <c r="K46" s="76"/>
      <c r="L46" s="176"/>
      <c r="M46" s="176"/>
      <c r="N46" s="176"/>
      <c r="O46" s="176"/>
      <c r="P46" s="176"/>
      <c r="Q46" s="178"/>
      <c r="R46" s="11"/>
    </row>
    <row r="47" spans="1:22" ht="22.5" customHeight="1" x14ac:dyDescent="0.25">
      <c r="A47" s="10"/>
      <c r="B47" s="495" t="s">
        <v>192</v>
      </c>
      <c r="C47" s="496"/>
      <c r="D47" s="496"/>
      <c r="E47" s="331" t="s">
        <v>24</v>
      </c>
      <c r="F47" s="521">
        <f>'ANA SAYFA'!F75</f>
        <v>88258</v>
      </c>
      <c r="G47" s="521"/>
      <c r="H47" s="521"/>
      <c r="I47" s="523"/>
      <c r="J47" s="75"/>
      <c r="K47" s="76"/>
      <c r="L47" s="176"/>
      <c r="M47" s="176"/>
      <c r="N47" s="176"/>
      <c r="O47" s="176"/>
      <c r="P47" s="176"/>
      <c r="Q47" s="178"/>
      <c r="R47" s="11"/>
    </row>
    <row r="48" spans="1:22" ht="22.5" customHeight="1" x14ac:dyDescent="0.25">
      <c r="A48" s="10"/>
      <c r="B48" s="495" t="s">
        <v>358</v>
      </c>
      <c r="C48" s="496"/>
      <c r="D48" s="496"/>
      <c r="E48" s="324" t="s">
        <v>24</v>
      </c>
      <c r="F48" s="496" t="str">
        <f>'ANA SAYFA'!F76</f>
        <v>K202439698</v>
      </c>
      <c r="G48" s="496"/>
      <c r="H48" s="496"/>
      <c r="I48" s="497"/>
      <c r="J48" s="336"/>
      <c r="K48" s="182"/>
      <c r="L48" s="182"/>
      <c r="M48" s="182"/>
      <c r="N48" s="182"/>
      <c r="O48" s="182"/>
      <c r="P48" s="182"/>
      <c r="Q48" s="179"/>
      <c r="R48" s="11"/>
    </row>
    <row r="49" spans="1:18" ht="15.75" thickBot="1" x14ac:dyDescent="0.3">
      <c r="A49" s="15"/>
      <c r="B49" s="16"/>
      <c r="C49" s="16"/>
      <c r="D49" s="16"/>
      <c r="E49" s="16"/>
      <c r="F49" s="16"/>
      <c r="G49" s="16"/>
      <c r="H49" s="16"/>
      <c r="I49" s="16"/>
      <c r="J49" s="16"/>
      <c r="K49" s="16"/>
      <c r="L49" s="16"/>
      <c r="M49" s="16"/>
      <c r="N49" s="16"/>
      <c r="O49" s="16"/>
      <c r="P49" s="16"/>
      <c r="Q49" s="16"/>
      <c r="R49" s="17"/>
    </row>
  </sheetData>
  <mergeCells count="81">
    <mergeCell ref="B48:D48"/>
    <mergeCell ref="F48:I48"/>
    <mergeCell ref="B45:D45"/>
    <mergeCell ref="F47:I47"/>
    <mergeCell ref="B47:D47"/>
    <mergeCell ref="B39:C39"/>
    <mergeCell ref="D39:Q42"/>
    <mergeCell ref="F45:I45"/>
    <mergeCell ref="B46:D46"/>
    <mergeCell ref="F46:I46"/>
    <mergeCell ref="J45:Q45"/>
    <mergeCell ref="O25:P25"/>
    <mergeCell ref="C26:D26"/>
    <mergeCell ref="E26:F26"/>
    <mergeCell ref="G26:H26"/>
    <mergeCell ref="I26:J26"/>
    <mergeCell ref="K26:L26"/>
    <mergeCell ref="M26:N26"/>
    <mergeCell ref="O26:P26"/>
    <mergeCell ref="C25:D25"/>
    <mergeCell ref="E25:F25"/>
    <mergeCell ref="G25:H25"/>
    <mergeCell ref="I25:J25"/>
    <mergeCell ref="K25:L25"/>
    <mergeCell ref="M25:N25"/>
    <mergeCell ref="O23:P23"/>
    <mergeCell ref="C24:D24"/>
    <mergeCell ref="E24:F24"/>
    <mergeCell ref="G24:H24"/>
    <mergeCell ref="I24:J24"/>
    <mergeCell ref="K24:L24"/>
    <mergeCell ref="M24:N24"/>
    <mergeCell ref="O24:P24"/>
    <mergeCell ref="C23:D23"/>
    <mergeCell ref="E23:F23"/>
    <mergeCell ref="G23:H23"/>
    <mergeCell ref="I23:J23"/>
    <mergeCell ref="K23:L23"/>
    <mergeCell ref="M23:N23"/>
    <mergeCell ref="B20:E20"/>
    <mergeCell ref="F20:G20"/>
    <mergeCell ref="J20:M20"/>
    <mergeCell ref="N20:Q20"/>
    <mergeCell ref="B21:E21"/>
    <mergeCell ref="F21:I21"/>
    <mergeCell ref="J21:M21"/>
    <mergeCell ref="N21:Q21"/>
    <mergeCell ref="B18:E18"/>
    <mergeCell ref="F18:I18"/>
    <mergeCell ref="J18:M18"/>
    <mergeCell ref="N18:Q18"/>
    <mergeCell ref="B19:E19"/>
    <mergeCell ref="F19:I19"/>
    <mergeCell ref="J19:M19"/>
    <mergeCell ref="N19:Q19"/>
    <mergeCell ref="B13:Q13"/>
    <mergeCell ref="B15:I15"/>
    <mergeCell ref="B17:E17"/>
    <mergeCell ref="F17:I17"/>
    <mergeCell ref="J17:M17"/>
    <mergeCell ref="N17:Q17"/>
    <mergeCell ref="J15:N15"/>
    <mergeCell ref="B5:Q5"/>
    <mergeCell ref="O7:Q7"/>
    <mergeCell ref="G2:H2"/>
    <mergeCell ref="G3:H3"/>
    <mergeCell ref="J2:Q2"/>
    <mergeCell ref="J3:Q3"/>
    <mergeCell ref="B7:C7"/>
    <mergeCell ref="D7:F7"/>
    <mergeCell ref="G7:H7"/>
    <mergeCell ref="I7:K7"/>
    <mergeCell ref="L7:N7"/>
    <mergeCell ref="B9:I9"/>
    <mergeCell ref="J9:Q9"/>
    <mergeCell ref="B11:C11"/>
    <mergeCell ref="D11:G11"/>
    <mergeCell ref="H11:I11"/>
    <mergeCell ref="J11:L11"/>
    <mergeCell ref="M11:N11"/>
    <mergeCell ref="O11:Q11"/>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4" right="0.23622047244094488" top="0.3543307086614173" bottom="0.3543307086614173" header="0" footer="0"/>
  <pageSetup paperSize="9" scale="9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7">
    <pageSetUpPr fitToPage="1"/>
  </sheetPr>
  <dimension ref="A1:V49"/>
  <sheetViews>
    <sheetView topLeftCell="A13" workbookViewId="0">
      <selection activeCell="F19" sqref="F19:I19"/>
    </sheetView>
  </sheetViews>
  <sheetFormatPr defaultRowHeight="15" x14ac:dyDescent="0.25"/>
  <cols>
    <col min="1" max="1" width="3.5703125" customWidth="1"/>
    <col min="2" max="17" width="5.5703125" customWidth="1"/>
    <col min="18" max="18" width="3.5703125" customWidth="1"/>
  </cols>
  <sheetData>
    <row r="1" spans="1:22" x14ac:dyDescent="0.25">
      <c r="A1" s="12"/>
      <c r="B1" s="13"/>
      <c r="C1" s="13"/>
      <c r="D1" s="13"/>
      <c r="E1" s="13"/>
      <c r="F1" s="13"/>
      <c r="G1" s="13"/>
      <c r="H1" s="13"/>
      <c r="I1" s="13"/>
      <c r="J1" s="13"/>
      <c r="K1" s="13"/>
      <c r="L1" s="13"/>
      <c r="M1" s="13"/>
      <c r="N1" s="13"/>
      <c r="O1" s="13"/>
      <c r="P1" s="13"/>
      <c r="Q1" s="13"/>
      <c r="R1" s="14"/>
    </row>
    <row r="2" spans="1:22" ht="29.25" customHeight="1" x14ac:dyDescent="0.25">
      <c r="A2" s="10"/>
      <c r="B2" s="59"/>
      <c r="C2" s="60"/>
      <c r="D2" s="60"/>
      <c r="E2" s="60"/>
      <c r="F2" s="343"/>
      <c r="G2" s="449" t="s">
        <v>22</v>
      </c>
      <c r="H2" s="450"/>
      <c r="I2" s="185" t="s">
        <v>24</v>
      </c>
      <c r="J2" s="486" t="str">
        <f>'ANA SAYFA'!K2</f>
        <v>BARMAK MAKİNA (ÇAĞLA ELK.)</v>
      </c>
      <c r="K2" s="486"/>
      <c r="L2" s="486"/>
      <c r="M2" s="486"/>
      <c r="N2" s="486"/>
      <c r="O2" s="486"/>
      <c r="P2" s="486"/>
      <c r="Q2" s="487"/>
      <c r="R2" s="11"/>
    </row>
    <row r="3" spans="1:22" ht="29.25" customHeight="1" x14ac:dyDescent="0.25">
      <c r="A3" s="10"/>
      <c r="B3" s="62"/>
      <c r="C3" s="63"/>
      <c r="D3" s="63"/>
      <c r="E3" s="63"/>
      <c r="F3" s="345"/>
      <c r="G3" s="484" t="s">
        <v>23</v>
      </c>
      <c r="H3" s="485"/>
      <c r="I3" s="184" t="s">
        <v>24</v>
      </c>
      <c r="J3" s="488" t="str">
        <f>'ANA SAYFA'!K5</f>
        <v>TRAFO 1</v>
      </c>
      <c r="K3" s="488"/>
      <c r="L3" s="488"/>
      <c r="M3" s="488"/>
      <c r="N3" s="488"/>
      <c r="O3" s="488"/>
      <c r="P3" s="488"/>
      <c r="Q3" s="489"/>
      <c r="R3" s="11"/>
    </row>
    <row r="4" spans="1:22" x14ac:dyDescent="0.25">
      <c r="A4" s="10"/>
      <c r="B4" s="3"/>
      <c r="C4" s="4"/>
      <c r="D4" s="4"/>
      <c r="E4" s="4"/>
      <c r="F4" s="4"/>
      <c r="G4" s="4"/>
      <c r="H4" s="4"/>
      <c r="I4" s="4"/>
      <c r="J4" s="4"/>
      <c r="K4" s="4"/>
      <c r="L4" s="4"/>
      <c r="M4" s="4"/>
      <c r="N4" s="4"/>
      <c r="O4" s="4"/>
      <c r="P4" s="4"/>
      <c r="Q4" s="5"/>
      <c r="R4" s="11"/>
    </row>
    <row r="5" spans="1:22" ht="18.75" x14ac:dyDescent="0.25">
      <c r="A5" s="10"/>
      <c r="B5" s="403" t="s">
        <v>341</v>
      </c>
      <c r="C5" s="404"/>
      <c r="D5" s="404"/>
      <c r="E5" s="404"/>
      <c r="F5" s="404"/>
      <c r="G5" s="404"/>
      <c r="H5" s="404"/>
      <c r="I5" s="404"/>
      <c r="J5" s="404"/>
      <c r="K5" s="404"/>
      <c r="L5" s="404"/>
      <c r="M5" s="404"/>
      <c r="N5" s="404"/>
      <c r="O5" s="404"/>
      <c r="P5" s="404"/>
      <c r="Q5" s="405"/>
      <c r="R5" s="11"/>
    </row>
    <row r="6" spans="1:22" x14ac:dyDescent="0.25">
      <c r="A6" s="10"/>
      <c r="B6" s="3"/>
      <c r="C6" s="4"/>
      <c r="D6" s="4"/>
      <c r="E6" s="4"/>
      <c r="F6" s="4"/>
      <c r="G6" s="4"/>
      <c r="H6" s="4"/>
      <c r="I6" s="4"/>
      <c r="J6" s="4"/>
      <c r="K6" s="4"/>
      <c r="L6" s="4"/>
      <c r="M6" s="4"/>
      <c r="N6" s="4"/>
      <c r="O6" s="4"/>
      <c r="P6" s="4"/>
      <c r="Q6" s="5"/>
      <c r="R6" s="11"/>
    </row>
    <row r="7" spans="1:22" x14ac:dyDescent="0.25">
      <c r="A7" s="10"/>
      <c r="B7" s="504" t="s">
        <v>1</v>
      </c>
      <c r="C7" s="504"/>
      <c r="D7" s="504" t="str">
        <f>'OG SARGI MEVCUT KADEME'!D7:F7</f>
        <v>BEST</v>
      </c>
      <c r="E7" s="504"/>
      <c r="F7" s="504"/>
      <c r="G7" s="527" t="s">
        <v>2</v>
      </c>
      <c r="H7" s="527"/>
      <c r="I7" s="527" t="str">
        <f>'OG SARGI MEVCUT KADEME'!I7:K7</f>
        <v>06/2013</v>
      </c>
      <c r="J7" s="504"/>
      <c r="K7" s="504"/>
      <c r="L7" s="504" t="s">
        <v>21</v>
      </c>
      <c r="M7" s="504"/>
      <c r="N7" s="504"/>
      <c r="O7" s="527">
        <f>'OG SARGI MEVCUT KADEME'!O7:Q7</f>
        <v>1330</v>
      </c>
      <c r="P7" s="504"/>
      <c r="Q7" s="504"/>
      <c r="R7" s="11"/>
    </row>
    <row r="8" spans="1:22" x14ac:dyDescent="0.25">
      <c r="A8" s="10"/>
      <c r="B8" s="3"/>
      <c r="C8" s="4"/>
      <c r="D8" s="4"/>
      <c r="E8" s="4"/>
      <c r="F8" s="4"/>
      <c r="G8" s="4"/>
      <c r="H8" s="4"/>
      <c r="I8" s="4"/>
      <c r="J8" s="4"/>
      <c r="K8" s="4"/>
      <c r="L8" s="4"/>
      <c r="M8" s="4"/>
      <c r="N8" s="4"/>
      <c r="O8" s="4"/>
      <c r="P8" s="4"/>
      <c r="Q8" s="5"/>
      <c r="R8" s="11"/>
    </row>
    <row r="9" spans="1:22" ht="18.75" x14ac:dyDescent="0.25">
      <c r="A9" s="10"/>
      <c r="B9" s="469" t="s">
        <v>3</v>
      </c>
      <c r="C9" s="470"/>
      <c r="D9" s="470"/>
      <c r="E9" s="470"/>
      <c r="F9" s="470"/>
      <c r="G9" s="470"/>
      <c r="H9" s="470"/>
      <c r="I9" s="470"/>
      <c r="J9" s="471">
        <f>'ANA SAYFA'!F72</f>
        <v>45310</v>
      </c>
      <c r="K9" s="471"/>
      <c r="L9" s="471"/>
      <c r="M9" s="471"/>
      <c r="N9" s="471"/>
      <c r="O9" s="471"/>
      <c r="P9" s="471"/>
      <c r="Q9" s="472"/>
      <c r="R9" s="11"/>
    </row>
    <row r="10" spans="1:22" x14ac:dyDescent="0.25">
      <c r="A10" s="10"/>
      <c r="B10" s="3"/>
      <c r="C10" s="4"/>
      <c r="D10" s="4"/>
      <c r="E10" s="4"/>
      <c r="F10" s="4"/>
      <c r="G10" s="4"/>
      <c r="H10" s="4"/>
      <c r="I10" s="4"/>
      <c r="J10" s="4"/>
      <c r="K10" s="4"/>
      <c r="L10" s="4"/>
      <c r="M10" s="4"/>
      <c r="N10" s="4"/>
      <c r="O10" s="4"/>
      <c r="P10" s="4"/>
      <c r="Q10" s="5"/>
      <c r="R10" s="11"/>
    </row>
    <row r="11" spans="1:22" x14ac:dyDescent="0.25">
      <c r="A11" s="10"/>
      <c r="B11" s="525" t="s">
        <v>4</v>
      </c>
      <c r="C11" s="525"/>
      <c r="D11" s="526" t="str">
        <f>'OG SARGI MEVCUT KADEME'!D11</f>
        <v>Hilmi GÜL</v>
      </c>
      <c r="E11" s="526"/>
      <c r="F11" s="526"/>
      <c r="G11" s="526"/>
      <c r="H11" s="525" t="s">
        <v>5</v>
      </c>
      <c r="I11" s="525"/>
      <c r="J11" s="504" t="s">
        <v>6</v>
      </c>
      <c r="K11" s="504"/>
      <c r="L11" s="504"/>
      <c r="M11" s="504" t="s">
        <v>7</v>
      </c>
      <c r="N11" s="504"/>
      <c r="O11" s="478" t="s">
        <v>8</v>
      </c>
      <c r="P11" s="479"/>
      <c r="Q11" s="480"/>
      <c r="R11" s="11"/>
    </row>
    <row r="12" spans="1:22" x14ac:dyDescent="0.25">
      <c r="A12" s="10"/>
      <c r="B12" s="3"/>
      <c r="C12" s="4"/>
      <c r="D12" s="4"/>
      <c r="E12" s="4"/>
      <c r="F12" s="4"/>
      <c r="G12" s="4"/>
      <c r="H12" s="4"/>
      <c r="I12" s="4"/>
      <c r="J12" s="4"/>
      <c r="K12" s="4"/>
      <c r="L12" s="4"/>
      <c r="M12" s="4"/>
      <c r="N12" s="4"/>
      <c r="O12" s="4"/>
      <c r="P12" s="4"/>
      <c r="Q12" s="5"/>
      <c r="R12" s="11"/>
    </row>
    <row r="13" spans="1:22" ht="18.75" x14ac:dyDescent="0.25">
      <c r="A13" s="10"/>
      <c r="B13" s="524" t="s">
        <v>9</v>
      </c>
      <c r="C13" s="524"/>
      <c r="D13" s="524"/>
      <c r="E13" s="524"/>
      <c r="F13" s="524"/>
      <c r="G13" s="524"/>
      <c r="H13" s="524"/>
      <c r="I13" s="524"/>
      <c r="J13" s="524"/>
      <c r="K13" s="524"/>
      <c r="L13" s="524"/>
      <c r="M13" s="524"/>
      <c r="N13" s="524"/>
      <c r="O13" s="524"/>
      <c r="P13" s="524"/>
      <c r="Q13" s="524"/>
      <c r="R13" s="11"/>
      <c r="V13" s="266">
        <f>'ANA SAYFA'!G13</f>
        <v>2000</v>
      </c>
    </row>
    <row r="14" spans="1:22" x14ac:dyDescent="0.25">
      <c r="A14" s="10"/>
      <c r="B14" s="3"/>
      <c r="C14" s="4"/>
      <c r="D14" s="4"/>
      <c r="E14" s="4"/>
      <c r="F14" s="4"/>
      <c r="G14" s="4"/>
      <c r="H14" s="4"/>
      <c r="I14" s="4"/>
      <c r="J14" s="4"/>
      <c r="K14" s="4"/>
      <c r="L14" s="4"/>
      <c r="M14" s="4"/>
      <c r="N14" s="4"/>
      <c r="O14" s="4"/>
      <c r="P14" s="4"/>
      <c r="Q14" s="5"/>
      <c r="R14" s="11"/>
      <c r="V14" s="266">
        <f>V13/0.69282</f>
        <v>2886.7526918968852</v>
      </c>
    </row>
    <row r="15" spans="1:22" ht="18.75" x14ac:dyDescent="0.25">
      <c r="A15" s="10"/>
      <c r="B15" s="528" t="s">
        <v>10</v>
      </c>
      <c r="C15" s="528"/>
      <c r="D15" s="528"/>
      <c r="E15" s="528"/>
      <c r="F15" s="528"/>
      <c r="G15" s="528"/>
      <c r="H15" s="528"/>
      <c r="I15" s="528"/>
      <c r="J15" s="500" t="s">
        <v>138</v>
      </c>
      <c r="K15" s="501"/>
      <c r="L15" s="501"/>
      <c r="M15" s="501"/>
      <c r="N15" s="102">
        <v>1</v>
      </c>
      <c r="O15" s="102"/>
      <c r="P15" s="102"/>
      <c r="Q15" s="40"/>
      <c r="R15" s="11"/>
    </row>
    <row r="16" spans="1:22" x14ac:dyDescent="0.25">
      <c r="A16" s="10"/>
      <c r="B16" s="3"/>
      <c r="C16" s="4"/>
      <c r="D16" s="4"/>
      <c r="E16" s="4"/>
      <c r="F16" s="4"/>
      <c r="G16" s="4"/>
      <c r="H16" s="4"/>
      <c r="I16" s="4"/>
      <c r="J16" s="4"/>
      <c r="K16" s="4"/>
      <c r="L16" s="4"/>
      <c r="M16" s="4"/>
      <c r="N16" s="4"/>
      <c r="O16" s="4"/>
      <c r="P16" s="4"/>
      <c r="Q16" s="5"/>
      <c r="R16" s="11"/>
    </row>
    <row r="17" spans="1:22" x14ac:dyDescent="0.25">
      <c r="A17" s="10"/>
      <c r="B17" s="498" t="s">
        <v>11</v>
      </c>
      <c r="C17" s="499"/>
      <c r="D17" s="499"/>
      <c r="E17" s="499"/>
      <c r="F17" s="419"/>
      <c r="G17" s="419"/>
      <c r="H17" s="419"/>
      <c r="I17" s="419"/>
      <c r="J17" s="419" t="s">
        <v>12</v>
      </c>
      <c r="K17" s="419"/>
      <c r="L17" s="419"/>
      <c r="M17" s="419"/>
      <c r="N17" s="419" t="s">
        <v>13</v>
      </c>
      <c r="O17" s="419"/>
      <c r="P17" s="419"/>
      <c r="Q17" s="420"/>
      <c r="R17" s="11"/>
    </row>
    <row r="18" spans="1:22" x14ac:dyDescent="0.25">
      <c r="A18" s="10"/>
      <c r="B18" s="426" t="s">
        <v>14</v>
      </c>
      <c r="C18" s="419"/>
      <c r="D18" s="419"/>
      <c r="E18" s="419"/>
      <c r="F18" s="419" t="str">
        <f>'ANA SAYFA'!G17</f>
        <v>Dyn11</v>
      </c>
      <c r="G18" s="419"/>
      <c r="H18" s="419"/>
      <c r="I18" s="419"/>
      <c r="J18" s="419" t="s">
        <v>17</v>
      </c>
      <c r="K18" s="419"/>
      <c r="L18" s="419"/>
      <c r="M18" s="419"/>
      <c r="N18" s="419" t="s">
        <v>18</v>
      </c>
      <c r="O18" s="419"/>
      <c r="P18" s="419"/>
      <c r="Q18" s="420"/>
      <c r="R18" s="11"/>
    </row>
    <row r="19" spans="1:22" x14ac:dyDescent="0.25">
      <c r="A19" s="10"/>
      <c r="B19" s="426" t="s">
        <v>20</v>
      </c>
      <c r="C19" s="419"/>
      <c r="D19" s="419"/>
      <c r="E19" s="419"/>
      <c r="F19" s="419"/>
      <c r="G19" s="419"/>
      <c r="H19" s="419"/>
      <c r="I19" s="419"/>
      <c r="J19" s="419"/>
      <c r="K19" s="419"/>
      <c r="L19" s="419"/>
      <c r="M19" s="419"/>
      <c r="N19" s="419"/>
      <c r="O19" s="419"/>
      <c r="P19" s="419"/>
      <c r="Q19" s="420"/>
      <c r="R19" s="11"/>
    </row>
    <row r="20" spans="1:22" x14ac:dyDescent="0.25">
      <c r="A20" s="10"/>
      <c r="B20" s="426" t="s">
        <v>15</v>
      </c>
      <c r="C20" s="419"/>
      <c r="D20" s="419"/>
      <c r="E20" s="419"/>
      <c r="F20" s="529">
        <f>(K24+K25+K26)/3</f>
        <v>2.5466666666666666E-4</v>
      </c>
      <c r="G20" s="529"/>
      <c r="H20" s="4" t="s">
        <v>34</v>
      </c>
      <c r="I20" s="4"/>
      <c r="J20" s="419"/>
      <c r="K20" s="419"/>
      <c r="L20" s="419"/>
      <c r="M20" s="419"/>
      <c r="N20" s="419"/>
      <c r="O20" s="419"/>
      <c r="P20" s="419"/>
      <c r="Q20" s="420"/>
      <c r="R20" s="11"/>
    </row>
    <row r="21" spans="1:22" x14ac:dyDescent="0.25">
      <c r="A21" s="10"/>
      <c r="B21" s="426" t="s">
        <v>16</v>
      </c>
      <c r="C21" s="419"/>
      <c r="D21" s="419"/>
      <c r="E21" s="419"/>
      <c r="F21" s="419" t="s">
        <v>19</v>
      </c>
      <c r="G21" s="419"/>
      <c r="H21" s="419"/>
      <c r="I21" s="419"/>
      <c r="J21" s="419"/>
      <c r="K21" s="419"/>
      <c r="L21" s="419"/>
      <c r="M21" s="419"/>
      <c r="N21" s="419"/>
      <c r="O21" s="419"/>
      <c r="P21" s="419"/>
      <c r="Q21" s="420"/>
      <c r="R21" s="11"/>
      <c r="T21" s="265" t="s">
        <v>25</v>
      </c>
      <c r="U21" s="267">
        <f>MIN(T32:T33)</f>
        <v>3.8910505836576821E-3</v>
      </c>
      <c r="V21" s="265"/>
    </row>
    <row r="22" spans="1:22" x14ac:dyDescent="0.25">
      <c r="A22" s="10"/>
      <c r="B22" s="3"/>
      <c r="C22" s="4"/>
      <c r="D22" s="4"/>
      <c r="E22" s="4"/>
      <c r="F22" s="4"/>
      <c r="G22" s="4"/>
      <c r="H22" s="4"/>
      <c r="I22" s="4"/>
      <c r="J22" s="4"/>
      <c r="K22" s="4"/>
      <c r="L22" s="4"/>
      <c r="M22" s="4"/>
      <c r="N22" s="4"/>
      <c r="O22" s="4"/>
      <c r="P22" s="4"/>
      <c r="Q22" s="5"/>
      <c r="R22" s="11"/>
      <c r="T22" s="265" t="s">
        <v>26</v>
      </c>
      <c r="U22" s="267">
        <f>MIN(U32:U33)</f>
        <v>3.9062500000000954E-3</v>
      </c>
      <c r="V22" s="265"/>
    </row>
    <row r="23" spans="1:22" x14ac:dyDescent="0.25">
      <c r="A23" s="10"/>
      <c r="B23" s="2"/>
      <c r="C23" s="511" t="s">
        <v>28</v>
      </c>
      <c r="D23" s="511"/>
      <c r="E23" s="504" t="s">
        <v>29</v>
      </c>
      <c r="F23" s="504"/>
      <c r="G23" s="504" t="s">
        <v>30</v>
      </c>
      <c r="H23" s="504"/>
      <c r="I23" s="504" t="s">
        <v>31</v>
      </c>
      <c r="J23" s="504"/>
      <c r="K23" s="504" t="s">
        <v>32</v>
      </c>
      <c r="L23" s="504"/>
      <c r="M23" s="504" t="s">
        <v>33</v>
      </c>
      <c r="N23" s="504"/>
      <c r="O23" s="504" t="s">
        <v>298</v>
      </c>
      <c r="P23" s="504"/>
      <c r="Q23" s="2"/>
      <c r="R23" s="11"/>
      <c r="T23" s="265" t="s">
        <v>27</v>
      </c>
      <c r="U23" s="267">
        <f>MIN(V32:V33)</f>
        <v>1.9531250000000052E-2</v>
      </c>
      <c r="V23" s="265"/>
    </row>
    <row r="24" spans="1:22" x14ac:dyDescent="0.25">
      <c r="A24" s="10"/>
      <c r="B24" s="2" t="s">
        <v>25</v>
      </c>
      <c r="C24" s="505">
        <f>'ANA SAYFA'!I47</f>
        <v>100</v>
      </c>
      <c r="D24" s="505"/>
      <c r="E24" s="505">
        <f>C24</f>
        <v>100</v>
      </c>
      <c r="F24" s="505"/>
      <c r="G24" s="530">
        <f>(K24*E24)*0.98</f>
        <v>2.5087999999999996E-2</v>
      </c>
      <c r="H24" s="530"/>
      <c r="I24" s="505">
        <v>35</v>
      </c>
      <c r="J24" s="505"/>
      <c r="K24" s="531">
        <f>'ANA SAYFA'!G49</f>
        <v>2.5599999999999999E-4</v>
      </c>
      <c r="L24" s="531"/>
      <c r="M24" s="530">
        <f>F20</f>
        <v>2.5466666666666666E-4</v>
      </c>
      <c r="N24" s="530"/>
      <c r="O24" s="510">
        <f>MIN(T32:T33)</f>
        <v>3.8910505836576821E-3</v>
      </c>
      <c r="P24" s="510"/>
      <c r="Q24" s="278">
        <f>IF(O24&gt;0.05,1,0)</f>
        <v>0</v>
      </c>
      <c r="R24" s="11"/>
      <c r="T24" s="265" t="s">
        <v>201</v>
      </c>
      <c r="U24" s="267">
        <v>0.05</v>
      </c>
      <c r="V24" s="265"/>
    </row>
    <row r="25" spans="1:22" x14ac:dyDescent="0.25">
      <c r="A25" s="10"/>
      <c r="B25" s="2" t="s">
        <v>26</v>
      </c>
      <c r="C25" s="505">
        <f>'ANA SAYFA'!I47</f>
        <v>100</v>
      </c>
      <c r="D25" s="505"/>
      <c r="E25" s="505">
        <f>C25</f>
        <v>100</v>
      </c>
      <c r="F25" s="505"/>
      <c r="G25" s="530">
        <f>(K25*E25)*0.98</f>
        <v>2.5186E-2</v>
      </c>
      <c r="H25" s="530"/>
      <c r="I25" s="505">
        <v>35</v>
      </c>
      <c r="J25" s="505"/>
      <c r="K25" s="531">
        <f>'ANA SAYFA'!G51</f>
        <v>2.5700000000000001E-4</v>
      </c>
      <c r="L25" s="531"/>
      <c r="M25" s="530">
        <f>M24</f>
        <v>2.5466666666666666E-4</v>
      </c>
      <c r="N25" s="530"/>
      <c r="O25" s="510">
        <f>MIN(U32:U33)</f>
        <v>3.9062500000000954E-3</v>
      </c>
      <c r="P25" s="510"/>
      <c r="Q25" s="278">
        <f>IF(O25&gt;0.05,1,0)</f>
        <v>0</v>
      </c>
      <c r="R25" s="11"/>
      <c r="T25" s="265"/>
      <c r="U25" s="265"/>
      <c r="V25" s="265"/>
    </row>
    <row r="26" spans="1:22" x14ac:dyDescent="0.25">
      <c r="A26" s="10"/>
      <c r="B26" s="2" t="s">
        <v>27</v>
      </c>
      <c r="C26" s="505">
        <f>'ANA SAYFA'!I47</f>
        <v>100</v>
      </c>
      <c r="D26" s="505"/>
      <c r="E26" s="505">
        <f>C26</f>
        <v>100</v>
      </c>
      <c r="F26" s="505"/>
      <c r="G26" s="530">
        <f>(K26*E26)*0.98</f>
        <v>2.4597999999999998E-2</v>
      </c>
      <c r="H26" s="530"/>
      <c r="I26" s="505">
        <v>35</v>
      </c>
      <c r="J26" s="505"/>
      <c r="K26" s="531">
        <f>'ANA SAYFA'!G53</f>
        <v>2.5099999999999998E-4</v>
      </c>
      <c r="L26" s="531"/>
      <c r="M26" s="530">
        <f>M24</f>
        <v>2.5466666666666666E-4</v>
      </c>
      <c r="N26" s="530"/>
      <c r="O26" s="510">
        <f>MIN(V32:V33)</f>
        <v>1.9531250000000052E-2</v>
      </c>
      <c r="P26" s="510"/>
      <c r="Q26" s="278">
        <f>IF(O26&gt;0.05,1,0)</f>
        <v>0</v>
      </c>
      <c r="R26" s="11"/>
      <c r="T26" s="265"/>
      <c r="U26" s="265"/>
      <c r="V26" s="265"/>
    </row>
    <row r="27" spans="1:22" x14ac:dyDescent="0.25">
      <c r="A27" s="10"/>
      <c r="B27" s="18"/>
      <c r="C27" s="19"/>
      <c r="D27" s="19"/>
      <c r="E27" s="19"/>
      <c r="F27" s="19"/>
      <c r="G27" s="19"/>
      <c r="H27" s="19"/>
      <c r="I27" s="19"/>
      <c r="J27" s="19"/>
      <c r="K27" s="19"/>
      <c r="L27" s="19"/>
      <c r="M27" s="19"/>
      <c r="N27" s="19"/>
      <c r="O27" s="19"/>
      <c r="P27" s="19"/>
      <c r="Q27" s="20"/>
      <c r="R27" s="11"/>
      <c r="T27" s="265"/>
      <c r="U27" s="265"/>
      <c r="V27" s="265"/>
    </row>
    <row r="28" spans="1:22" ht="18.75" x14ac:dyDescent="0.25">
      <c r="A28" s="10"/>
      <c r="B28" s="30"/>
      <c r="C28" s="28"/>
      <c r="D28" s="28"/>
      <c r="E28" s="28"/>
      <c r="F28" s="28"/>
      <c r="G28" s="28"/>
      <c r="H28" s="28"/>
      <c r="I28" s="28"/>
      <c r="J28" s="28"/>
      <c r="K28" s="28"/>
      <c r="L28" s="28"/>
      <c r="M28" s="28"/>
      <c r="N28" s="28"/>
      <c r="O28" s="28"/>
      <c r="P28" s="28"/>
      <c r="Q28" s="31"/>
      <c r="R28" s="11"/>
      <c r="T28" s="265"/>
      <c r="U28" s="265"/>
      <c r="V28" s="265"/>
    </row>
    <row r="29" spans="1:22" x14ac:dyDescent="0.25">
      <c r="A29" s="10"/>
      <c r="B29" s="3"/>
      <c r="C29" s="4"/>
      <c r="D29" s="4"/>
      <c r="E29" s="4"/>
      <c r="F29" s="4"/>
      <c r="G29" s="4"/>
      <c r="H29" s="4"/>
      <c r="I29" s="4"/>
      <c r="J29" s="4"/>
      <c r="K29" s="4"/>
      <c r="L29" s="4"/>
      <c r="M29" s="4"/>
      <c r="N29" s="4"/>
      <c r="O29" s="4"/>
      <c r="P29" s="4"/>
      <c r="Q29" s="5"/>
      <c r="R29" s="11"/>
      <c r="T29" s="265"/>
      <c r="U29" s="265"/>
      <c r="V29" s="265"/>
    </row>
    <row r="30" spans="1:22" x14ac:dyDescent="0.25">
      <c r="A30" s="10"/>
      <c r="B30" s="25"/>
      <c r="C30" s="26"/>
      <c r="D30" s="26"/>
      <c r="E30" s="26"/>
      <c r="F30" s="4"/>
      <c r="G30" s="4"/>
      <c r="H30" s="4"/>
      <c r="I30" s="4"/>
      <c r="J30" s="4"/>
      <c r="K30" s="4"/>
      <c r="L30" s="4"/>
      <c r="M30" s="4"/>
      <c r="N30" s="4"/>
      <c r="O30" s="4"/>
      <c r="P30" s="4"/>
      <c r="Q30" s="5"/>
      <c r="R30" s="11"/>
      <c r="T30" s="265"/>
      <c r="U30" s="265"/>
      <c r="V30" s="265"/>
    </row>
    <row r="31" spans="1:22" x14ac:dyDescent="0.25">
      <c r="A31" s="10"/>
      <c r="B31" s="3"/>
      <c r="C31" s="4"/>
      <c r="D31" s="4"/>
      <c r="E31" s="4"/>
      <c r="F31" s="4"/>
      <c r="G31" s="4"/>
      <c r="H31" s="4"/>
      <c r="I31" s="4"/>
      <c r="J31" s="4"/>
      <c r="K31" s="4"/>
      <c r="L31" s="4"/>
      <c r="M31" s="4"/>
      <c r="N31" s="4"/>
      <c r="O31" s="4"/>
      <c r="P31" s="4"/>
      <c r="Q31" s="5"/>
      <c r="R31" s="11"/>
      <c r="T31" s="265"/>
      <c r="U31" s="265"/>
      <c r="V31" s="265"/>
    </row>
    <row r="32" spans="1:22" x14ac:dyDescent="0.25">
      <c r="A32" s="10"/>
      <c r="B32" s="3"/>
      <c r="C32" s="4"/>
      <c r="D32" s="4"/>
      <c r="E32" s="4"/>
      <c r="F32" s="4"/>
      <c r="G32" s="4"/>
      <c r="H32" s="4"/>
      <c r="I32" s="4"/>
      <c r="J32" s="4"/>
      <c r="K32" s="4"/>
      <c r="L32" s="4"/>
      <c r="M32" s="4"/>
      <c r="N32" s="4"/>
      <c r="O32" s="4"/>
      <c r="P32" s="4"/>
      <c r="Q32" s="5"/>
      <c r="R32" s="11"/>
      <c r="T32" s="265">
        <f>SQRT((K24-K25)^2)/K25</f>
        <v>3.8910505836576821E-3</v>
      </c>
      <c r="U32" s="265">
        <f>SQRT((K24-K25)^2)/K24</f>
        <v>3.9062500000000954E-3</v>
      </c>
      <c r="V32" s="265">
        <f>SQRT((K26-K24)^2)/K24</f>
        <v>1.9531250000000052E-2</v>
      </c>
    </row>
    <row r="33" spans="1:22" x14ac:dyDescent="0.25">
      <c r="A33" s="10"/>
      <c r="B33" s="3"/>
      <c r="C33" s="4"/>
      <c r="D33" s="4"/>
      <c r="E33" s="4"/>
      <c r="F33" s="4"/>
      <c r="G33" s="4"/>
      <c r="H33" s="4"/>
      <c r="I33" s="4"/>
      <c r="J33" s="4"/>
      <c r="K33" s="4"/>
      <c r="L33" s="4"/>
      <c r="M33" s="4"/>
      <c r="N33" s="4"/>
      <c r="O33" s="4"/>
      <c r="P33" s="4"/>
      <c r="Q33" s="5"/>
      <c r="R33" s="11"/>
      <c r="T33" s="265">
        <f>SQRT((K26-K24)^2)/K26</f>
        <v>1.9920318725099657E-2</v>
      </c>
      <c r="U33" s="265">
        <f>SQRT((K25-K26)^2)/K26</f>
        <v>2.3904382470119674E-2</v>
      </c>
      <c r="V33" s="265">
        <f>SQRT((K26-K25)^2)/K25</f>
        <v>2.3346303501945671E-2</v>
      </c>
    </row>
    <row r="34" spans="1:22" x14ac:dyDescent="0.25">
      <c r="A34" s="10"/>
      <c r="B34" s="3"/>
      <c r="C34" s="4"/>
      <c r="D34" s="4"/>
      <c r="E34" s="4"/>
      <c r="F34" s="24"/>
      <c r="G34" s="4"/>
      <c r="H34" s="4"/>
      <c r="I34" s="4"/>
      <c r="J34" s="4"/>
      <c r="K34" s="4"/>
      <c r="L34" s="4"/>
      <c r="M34" s="4"/>
      <c r="N34" s="4"/>
      <c r="O34" s="4"/>
      <c r="P34" s="4"/>
      <c r="Q34" s="5"/>
      <c r="R34" s="11"/>
    </row>
    <row r="35" spans="1:22" x14ac:dyDescent="0.25">
      <c r="A35" s="10"/>
      <c r="B35" s="3"/>
      <c r="C35" s="4"/>
      <c r="D35" s="4"/>
      <c r="E35" s="4"/>
      <c r="F35" s="4"/>
      <c r="G35" s="4"/>
      <c r="H35" s="4"/>
      <c r="I35" s="4"/>
      <c r="J35" s="4"/>
      <c r="K35" s="4"/>
      <c r="L35" s="4"/>
      <c r="M35" s="4"/>
      <c r="N35" s="4"/>
      <c r="O35" s="4"/>
      <c r="P35" s="4"/>
      <c r="Q35" s="5"/>
      <c r="R35" s="11"/>
    </row>
    <row r="36" spans="1:22" x14ac:dyDescent="0.25">
      <c r="A36" s="10"/>
      <c r="B36" s="3"/>
      <c r="C36" s="4"/>
      <c r="D36" s="4"/>
      <c r="E36" s="4"/>
      <c r="F36" s="4"/>
      <c r="G36" s="4"/>
      <c r="H36" s="4"/>
      <c r="I36" s="4"/>
      <c r="J36" s="4"/>
      <c r="K36" s="4"/>
      <c r="L36" s="4"/>
      <c r="M36" s="4"/>
      <c r="N36" s="4"/>
      <c r="O36" s="4"/>
      <c r="P36" s="4"/>
      <c r="Q36" s="5"/>
      <c r="R36" s="11"/>
    </row>
    <row r="37" spans="1:22" x14ac:dyDescent="0.25">
      <c r="A37" s="10"/>
      <c r="B37" s="6"/>
      <c r="C37" s="29"/>
      <c r="D37" s="29"/>
      <c r="E37" s="4"/>
      <c r="F37" s="4"/>
      <c r="G37" s="4"/>
      <c r="H37" s="4"/>
      <c r="I37" s="4"/>
      <c r="J37" s="4"/>
      <c r="K37" s="4"/>
      <c r="L37" s="4"/>
      <c r="M37" s="4"/>
      <c r="N37" s="4"/>
      <c r="O37" s="4"/>
      <c r="P37" s="4"/>
      <c r="Q37" s="7"/>
      <c r="R37" s="11"/>
    </row>
    <row r="38" spans="1:22" x14ac:dyDescent="0.25">
      <c r="A38" s="10"/>
      <c r="B38" s="6"/>
      <c r="C38" s="24"/>
      <c r="D38" s="24"/>
      <c r="E38" s="24"/>
      <c r="F38" s="24"/>
      <c r="G38" s="24"/>
      <c r="H38" s="24"/>
      <c r="I38" s="24"/>
      <c r="J38" s="24"/>
      <c r="K38" s="24"/>
      <c r="L38" s="24"/>
      <c r="M38" s="24"/>
      <c r="N38" s="24"/>
      <c r="O38" s="24"/>
      <c r="P38" s="24"/>
      <c r="Q38" s="7"/>
      <c r="R38" s="11"/>
    </row>
    <row r="39" spans="1:22" ht="15.75" x14ac:dyDescent="0.25">
      <c r="A39" s="10"/>
      <c r="B39" s="512" t="s">
        <v>35</v>
      </c>
      <c r="C39" s="513"/>
      <c r="D39" s="532" t="s">
        <v>376</v>
      </c>
      <c r="E39" s="532"/>
      <c r="F39" s="532"/>
      <c r="G39" s="532"/>
      <c r="H39" s="532"/>
      <c r="I39" s="532"/>
      <c r="J39" s="532"/>
      <c r="K39" s="532"/>
      <c r="L39" s="532"/>
      <c r="M39" s="532"/>
      <c r="N39" s="532"/>
      <c r="O39" s="532"/>
      <c r="P39" s="532"/>
      <c r="Q39" s="533"/>
      <c r="R39" s="11"/>
    </row>
    <row r="40" spans="1:22" x14ac:dyDescent="0.25">
      <c r="A40" s="10"/>
      <c r="B40" s="6"/>
      <c r="C40" s="24"/>
      <c r="D40" s="534"/>
      <c r="E40" s="534"/>
      <c r="F40" s="534"/>
      <c r="G40" s="534"/>
      <c r="H40" s="534"/>
      <c r="I40" s="534"/>
      <c r="J40" s="534"/>
      <c r="K40" s="534"/>
      <c r="L40" s="534"/>
      <c r="M40" s="534"/>
      <c r="N40" s="534"/>
      <c r="O40" s="534"/>
      <c r="P40" s="534"/>
      <c r="Q40" s="535"/>
      <c r="R40" s="11"/>
    </row>
    <row r="41" spans="1:22" x14ac:dyDescent="0.25">
      <c r="A41" s="10"/>
      <c r="B41" s="3"/>
      <c r="C41" s="4"/>
      <c r="D41" s="534"/>
      <c r="E41" s="534"/>
      <c r="F41" s="534"/>
      <c r="G41" s="534"/>
      <c r="H41" s="534"/>
      <c r="I41" s="534"/>
      <c r="J41" s="534"/>
      <c r="K41" s="534"/>
      <c r="L41" s="534"/>
      <c r="M41" s="534"/>
      <c r="N41" s="534"/>
      <c r="O41" s="534"/>
      <c r="P41" s="534"/>
      <c r="Q41" s="535"/>
      <c r="R41" s="11"/>
    </row>
    <row r="42" spans="1:22" x14ac:dyDescent="0.25">
      <c r="A42" s="10"/>
      <c r="B42" s="3"/>
      <c r="C42" s="4"/>
      <c r="D42" s="534"/>
      <c r="E42" s="534"/>
      <c r="F42" s="534"/>
      <c r="G42" s="534"/>
      <c r="H42" s="534"/>
      <c r="I42" s="534"/>
      <c r="J42" s="534"/>
      <c r="K42" s="534"/>
      <c r="L42" s="534"/>
      <c r="M42" s="534"/>
      <c r="N42" s="534"/>
      <c r="O42" s="534"/>
      <c r="P42" s="534"/>
      <c r="Q42" s="535"/>
      <c r="R42" s="11"/>
    </row>
    <row r="43" spans="1:22" x14ac:dyDescent="0.25">
      <c r="A43" s="10"/>
      <c r="B43" s="8"/>
      <c r="C43" s="1"/>
      <c r="D43" s="1"/>
      <c r="E43" s="1"/>
      <c r="F43" s="1"/>
      <c r="G43" s="1"/>
      <c r="H43" s="1"/>
      <c r="I43" s="1"/>
      <c r="J43" s="1"/>
      <c r="K43" s="1"/>
      <c r="L43" s="1"/>
      <c r="M43" s="1"/>
      <c r="N43" s="1"/>
      <c r="O43" s="1"/>
      <c r="P43" s="1"/>
      <c r="Q43" s="9"/>
      <c r="R43" s="11"/>
    </row>
    <row r="44" spans="1:22" x14ac:dyDescent="0.25">
      <c r="A44" s="10"/>
      <c r="B44" s="21"/>
      <c r="C44" s="22"/>
      <c r="D44" s="22"/>
      <c r="E44" s="22"/>
      <c r="F44" s="22"/>
      <c r="G44" s="22"/>
      <c r="H44" s="22"/>
      <c r="I44" s="22"/>
      <c r="J44" s="22"/>
      <c r="K44" s="22"/>
      <c r="L44" s="22"/>
      <c r="M44" s="22"/>
      <c r="N44" s="22"/>
      <c r="O44" s="22"/>
      <c r="P44" s="22"/>
      <c r="Q44" s="23"/>
      <c r="R44" s="11"/>
    </row>
    <row r="45" spans="1:22" s="325" customFormat="1" ht="22.5" customHeight="1" x14ac:dyDescent="0.25">
      <c r="A45" s="10"/>
      <c r="B45" s="520" t="s">
        <v>357</v>
      </c>
      <c r="C45" s="521"/>
      <c r="D45" s="521"/>
      <c r="E45" s="330" t="s">
        <v>24</v>
      </c>
      <c r="F45" s="518" t="s">
        <v>395</v>
      </c>
      <c r="G45" s="518"/>
      <c r="H45" s="518"/>
      <c r="I45" s="519"/>
      <c r="J45" s="403" t="s">
        <v>322</v>
      </c>
      <c r="K45" s="404"/>
      <c r="L45" s="404"/>
      <c r="M45" s="404"/>
      <c r="N45" s="404"/>
      <c r="O45" s="404"/>
      <c r="P45" s="404"/>
      <c r="Q45" s="405"/>
      <c r="R45" s="11"/>
    </row>
    <row r="46" spans="1:22" s="325" customFormat="1" ht="22.5" customHeight="1" x14ac:dyDescent="0.25">
      <c r="A46" s="10"/>
      <c r="B46" s="520" t="s">
        <v>386</v>
      </c>
      <c r="C46" s="521"/>
      <c r="D46" s="521"/>
      <c r="E46" s="330" t="s">
        <v>24</v>
      </c>
      <c r="F46" s="522">
        <f>'ANA SAYFA'!F73</f>
        <v>45307</v>
      </c>
      <c r="G46" s="518"/>
      <c r="H46" s="518"/>
      <c r="I46" s="519"/>
      <c r="J46" s="75"/>
      <c r="K46" s="76"/>
      <c r="L46" s="176"/>
      <c r="M46" s="176"/>
      <c r="N46" s="176"/>
      <c r="O46" s="176"/>
      <c r="P46" s="176"/>
      <c r="Q46" s="178"/>
      <c r="R46" s="11"/>
    </row>
    <row r="47" spans="1:22" s="325" customFormat="1" ht="22.5" customHeight="1" x14ac:dyDescent="0.25">
      <c r="A47" s="10"/>
      <c r="B47" s="495" t="s">
        <v>192</v>
      </c>
      <c r="C47" s="496"/>
      <c r="D47" s="496"/>
      <c r="E47" s="331" t="s">
        <v>24</v>
      </c>
      <c r="F47" s="521">
        <f>'ANA SAYFA'!F75</f>
        <v>88258</v>
      </c>
      <c r="G47" s="521"/>
      <c r="H47" s="521"/>
      <c r="I47" s="523"/>
      <c r="J47" s="75"/>
      <c r="K47" s="76"/>
      <c r="L47" s="176"/>
      <c r="M47" s="176"/>
      <c r="N47" s="176"/>
      <c r="O47" s="176"/>
      <c r="P47" s="176"/>
      <c r="Q47" s="178"/>
      <c r="R47" s="11"/>
    </row>
    <row r="48" spans="1:22" s="325" customFormat="1" ht="22.5" customHeight="1" x14ac:dyDescent="0.25">
      <c r="A48" s="10"/>
      <c r="B48" s="495" t="s">
        <v>358</v>
      </c>
      <c r="C48" s="496"/>
      <c r="D48" s="496"/>
      <c r="E48" s="324" t="s">
        <v>24</v>
      </c>
      <c r="F48" s="496" t="str">
        <f>'ANA SAYFA'!F76</f>
        <v>K202439698</v>
      </c>
      <c r="G48" s="496"/>
      <c r="H48" s="496"/>
      <c r="I48" s="497"/>
      <c r="J48" s="336"/>
      <c r="K48" s="182"/>
      <c r="L48" s="182"/>
      <c r="M48" s="182"/>
      <c r="N48" s="182"/>
      <c r="O48" s="182"/>
      <c r="P48" s="182"/>
      <c r="Q48" s="179"/>
      <c r="R48" s="11"/>
    </row>
    <row r="49" spans="1:18" ht="15.75" thickBot="1" x14ac:dyDescent="0.3">
      <c r="A49" s="15"/>
      <c r="B49" s="16"/>
      <c r="C49" s="16"/>
      <c r="D49" s="16"/>
      <c r="E49" s="16"/>
      <c r="F49" s="16"/>
      <c r="G49" s="16"/>
      <c r="H49" s="16"/>
      <c r="I49" s="16"/>
      <c r="J49" s="16"/>
      <c r="K49" s="16"/>
      <c r="L49" s="16"/>
      <c r="M49" s="16"/>
      <c r="N49" s="16"/>
      <c r="O49" s="16"/>
      <c r="P49" s="16"/>
      <c r="Q49" s="16"/>
      <c r="R49" s="17"/>
    </row>
  </sheetData>
  <mergeCells count="81">
    <mergeCell ref="J45:Q45"/>
    <mergeCell ref="B47:D47"/>
    <mergeCell ref="F47:I47"/>
    <mergeCell ref="F48:I48"/>
    <mergeCell ref="B45:D45"/>
    <mergeCell ref="F45:I45"/>
    <mergeCell ref="B46:D46"/>
    <mergeCell ref="F46:I46"/>
    <mergeCell ref="B48:D48"/>
    <mergeCell ref="B39:C39"/>
    <mergeCell ref="D39:Q42"/>
    <mergeCell ref="O25:P25"/>
    <mergeCell ref="C26:D26"/>
    <mergeCell ref="E26:F26"/>
    <mergeCell ref="G26:H26"/>
    <mergeCell ref="I26:J26"/>
    <mergeCell ref="K26:L26"/>
    <mergeCell ref="M26:N26"/>
    <mergeCell ref="O26:P26"/>
    <mergeCell ref="C25:D25"/>
    <mergeCell ref="E25:F25"/>
    <mergeCell ref="G25:H25"/>
    <mergeCell ref="I25:J25"/>
    <mergeCell ref="K25:L25"/>
    <mergeCell ref="M25:N25"/>
    <mergeCell ref="O23:P23"/>
    <mergeCell ref="C24:D24"/>
    <mergeCell ref="E24:F24"/>
    <mergeCell ref="G24:H24"/>
    <mergeCell ref="I24:J24"/>
    <mergeCell ref="K24:L24"/>
    <mergeCell ref="M24:N24"/>
    <mergeCell ref="O24:P24"/>
    <mergeCell ref="C23:D23"/>
    <mergeCell ref="E23:F23"/>
    <mergeCell ref="G23:H23"/>
    <mergeCell ref="I23:J23"/>
    <mergeCell ref="K23:L23"/>
    <mergeCell ref="M23:N23"/>
    <mergeCell ref="B20:E20"/>
    <mergeCell ref="F20:G20"/>
    <mergeCell ref="J20:M20"/>
    <mergeCell ref="N20:Q20"/>
    <mergeCell ref="B21:E21"/>
    <mergeCell ref="F21:I21"/>
    <mergeCell ref="J21:M21"/>
    <mergeCell ref="N21:Q21"/>
    <mergeCell ref="B18:E18"/>
    <mergeCell ref="F18:I18"/>
    <mergeCell ref="J18:M18"/>
    <mergeCell ref="N18:Q18"/>
    <mergeCell ref="B19:E19"/>
    <mergeCell ref="F19:I19"/>
    <mergeCell ref="J19:M19"/>
    <mergeCell ref="N19:Q19"/>
    <mergeCell ref="B17:E17"/>
    <mergeCell ref="F17:I17"/>
    <mergeCell ref="J17:M17"/>
    <mergeCell ref="N17:Q17"/>
    <mergeCell ref="J15:M15"/>
    <mergeCell ref="G7:H7"/>
    <mergeCell ref="I7:K7"/>
    <mergeCell ref="L7:N7"/>
    <mergeCell ref="O7:Q7"/>
    <mergeCell ref="B15:I15"/>
    <mergeCell ref="G2:H2"/>
    <mergeCell ref="J2:Q2"/>
    <mergeCell ref="G3:H3"/>
    <mergeCell ref="J3:Q3"/>
    <mergeCell ref="B13:Q13"/>
    <mergeCell ref="B5:Q5"/>
    <mergeCell ref="B9:I9"/>
    <mergeCell ref="J9:Q9"/>
    <mergeCell ref="B11:C11"/>
    <mergeCell ref="D11:G11"/>
    <mergeCell ref="H11:I11"/>
    <mergeCell ref="J11:L11"/>
    <mergeCell ref="M11:N11"/>
    <mergeCell ref="O11:Q11"/>
    <mergeCell ref="B7:C7"/>
    <mergeCell ref="D7:F7"/>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4" right="0.23622047244094488" top="0.3543307086614173" bottom="0.3543307086614173" header="0" footer="0"/>
  <pageSetup paperSize="9" scale="9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9">
    <pageSetUpPr fitToPage="1"/>
  </sheetPr>
  <dimension ref="A1:AL58"/>
  <sheetViews>
    <sheetView zoomScale="85" zoomScaleNormal="85" workbookViewId="0">
      <selection activeCell="N52" sqref="N52"/>
    </sheetView>
  </sheetViews>
  <sheetFormatPr defaultRowHeight="15" x14ac:dyDescent="0.25"/>
  <cols>
    <col min="1" max="1" width="3.5703125" customWidth="1"/>
    <col min="2" max="2" width="6.7109375" customWidth="1"/>
    <col min="3" max="3" width="5.42578125" customWidth="1"/>
    <col min="4" max="4" width="6.7109375" customWidth="1"/>
    <col min="5" max="5" width="5.42578125" customWidth="1"/>
    <col min="6" max="6" width="6.7109375" customWidth="1"/>
    <col min="7" max="7" width="5.42578125" customWidth="1"/>
    <col min="8" max="8" width="6.5703125" customWidth="1"/>
    <col min="9" max="9" width="5.42578125" customWidth="1"/>
    <col min="10" max="10" width="7.5703125" customWidth="1"/>
    <col min="11" max="11" width="5.7109375" customWidth="1"/>
    <col min="12" max="12" width="7.5703125" customWidth="1"/>
    <col min="13" max="15" width="5.7109375" customWidth="1"/>
    <col min="16" max="17" width="6.5703125" customWidth="1"/>
    <col min="18" max="18" width="3.5703125" customWidth="1"/>
    <col min="21" max="21" width="12.5703125" customWidth="1"/>
    <col min="22" max="22" width="12.85546875" customWidth="1"/>
  </cols>
  <sheetData>
    <row r="1" spans="1:27" x14ac:dyDescent="0.25">
      <c r="A1" s="12"/>
      <c r="B1" s="13"/>
      <c r="C1" s="13"/>
      <c r="D1" s="13"/>
      <c r="E1" s="13"/>
      <c r="F1" s="13"/>
      <c r="G1" s="13"/>
      <c r="H1" s="13"/>
      <c r="I1" s="13"/>
      <c r="J1" s="13"/>
      <c r="K1" s="13"/>
      <c r="L1" s="13"/>
      <c r="M1" s="13"/>
      <c r="N1" s="13"/>
      <c r="O1" s="13"/>
      <c r="P1" s="13"/>
      <c r="Q1" s="13"/>
      <c r="R1" s="14"/>
    </row>
    <row r="2" spans="1:27" ht="29.25" customHeight="1" x14ac:dyDescent="0.25">
      <c r="A2" s="10"/>
      <c r="B2" s="554"/>
      <c r="C2" s="555"/>
      <c r="D2" s="555"/>
      <c r="E2" s="555"/>
      <c r="F2" s="556"/>
      <c r="G2" s="449" t="s">
        <v>22</v>
      </c>
      <c r="H2" s="450"/>
      <c r="I2" s="185" t="s">
        <v>24</v>
      </c>
      <c r="J2" s="486" t="str">
        <f>'ANA SAYFA'!K2</f>
        <v>BARMAK MAKİNA (ÇAĞLA ELK.)</v>
      </c>
      <c r="K2" s="486"/>
      <c r="L2" s="486"/>
      <c r="M2" s="486"/>
      <c r="N2" s="486"/>
      <c r="O2" s="486"/>
      <c r="P2" s="486"/>
      <c r="Q2" s="487"/>
      <c r="R2" s="11"/>
    </row>
    <row r="3" spans="1:27" ht="29.25" customHeight="1" x14ac:dyDescent="0.25">
      <c r="A3" s="10"/>
      <c r="B3" s="557"/>
      <c r="C3" s="558"/>
      <c r="D3" s="558"/>
      <c r="E3" s="558"/>
      <c r="F3" s="559"/>
      <c r="G3" s="484" t="s">
        <v>23</v>
      </c>
      <c r="H3" s="485"/>
      <c r="I3" s="184" t="s">
        <v>24</v>
      </c>
      <c r="J3" s="488" t="str">
        <f>'ANA SAYFA'!K5</f>
        <v>TRAFO 1</v>
      </c>
      <c r="K3" s="488"/>
      <c r="L3" s="488"/>
      <c r="M3" s="488"/>
      <c r="N3" s="488"/>
      <c r="O3" s="488"/>
      <c r="P3" s="488"/>
      <c r="Q3" s="489"/>
      <c r="R3" s="11"/>
    </row>
    <row r="4" spans="1:27" x14ac:dyDescent="0.25">
      <c r="A4" s="10"/>
      <c r="B4" s="3"/>
      <c r="C4" s="4"/>
      <c r="D4" s="4"/>
      <c r="E4" s="4"/>
      <c r="F4" s="4"/>
      <c r="G4" s="4"/>
      <c r="H4" s="4"/>
      <c r="I4" s="4"/>
      <c r="J4" s="4"/>
      <c r="K4" s="4"/>
      <c r="L4" s="4"/>
      <c r="M4" s="4"/>
      <c r="N4" s="4"/>
      <c r="O4" s="4"/>
      <c r="P4" s="4"/>
      <c r="Q4" s="5"/>
      <c r="R4" s="11"/>
    </row>
    <row r="5" spans="1:27" ht="18.75" x14ac:dyDescent="0.25">
      <c r="A5" s="10"/>
      <c r="B5" s="403" t="s">
        <v>342</v>
      </c>
      <c r="C5" s="404"/>
      <c r="D5" s="404"/>
      <c r="E5" s="404"/>
      <c r="F5" s="404"/>
      <c r="G5" s="404"/>
      <c r="H5" s="404"/>
      <c r="I5" s="404"/>
      <c r="J5" s="404"/>
      <c r="K5" s="404"/>
      <c r="L5" s="404"/>
      <c r="M5" s="404"/>
      <c r="N5" s="404"/>
      <c r="O5" s="404"/>
      <c r="P5" s="404"/>
      <c r="Q5" s="405"/>
      <c r="R5" s="11"/>
    </row>
    <row r="6" spans="1:27" x14ac:dyDescent="0.25">
      <c r="A6" s="10"/>
      <c r="B6" s="3"/>
      <c r="C6" s="4"/>
      <c r="D6" s="4"/>
      <c r="E6" s="4"/>
      <c r="F6" s="4"/>
      <c r="G6" s="4"/>
      <c r="H6" s="4"/>
      <c r="I6" s="4"/>
      <c r="J6" s="4"/>
      <c r="K6" s="4"/>
      <c r="L6" s="4"/>
      <c r="M6" s="4"/>
      <c r="N6" s="4"/>
      <c r="O6" s="4"/>
      <c r="P6" s="4"/>
      <c r="Q6" s="5"/>
      <c r="R6" s="11"/>
    </row>
    <row r="7" spans="1:27" x14ac:dyDescent="0.25">
      <c r="A7" s="10"/>
      <c r="B7" s="504" t="s">
        <v>1</v>
      </c>
      <c r="C7" s="504"/>
      <c r="D7" s="504" t="str">
        <f>'OG SARGI MEVCUT KADEME'!D7:F7</f>
        <v>BEST</v>
      </c>
      <c r="E7" s="504"/>
      <c r="F7" s="504"/>
      <c r="G7" s="527" t="s">
        <v>2</v>
      </c>
      <c r="H7" s="527"/>
      <c r="I7" s="527" t="str">
        <f>'OG SARGI MEVCUT KADEME'!I7:K7</f>
        <v>06/2013</v>
      </c>
      <c r="J7" s="504"/>
      <c r="K7" s="504"/>
      <c r="L7" s="504" t="s">
        <v>21</v>
      </c>
      <c r="M7" s="504"/>
      <c r="N7" s="504"/>
      <c r="O7" s="527">
        <f>'OG SARGI MEVCUT KADEME'!O7:Q7</f>
        <v>1330</v>
      </c>
      <c r="P7" s="504"/>
      <c r="Q7" s="504"/>
      <c r="R7" s="11"/>
    </row>
    <row r="8" spans="1:27" x14ac:dyDescent="0.25">
      <c r="A8" s="10"/>
      <c r="B8" s="3"/>
      <c r="C8" s="4"/>
      <c r="D8" s="4"/>
      <c r="E8" s="4"/>
      <c r="F8" s="4"/>
      <c r="G8" s="4"/>
      <c r="H8" s="4"/>
      <c r="I8" s="4"/>
      <c r="J8" s="4"/>
      <c r="K8" s="4"/>
      <c r="L8" s="4"/>
      <c r="M8" s="4"/>
      <c r="N8" s="4"/>
      <c r="O8" s="4"/>
      <c r="P8" s="4"/>
      <c r="Q8" s="5"/>
      <c r="R8" s="11"/>
      <c r="Y8" t="s">
        <v>196</v>
      </c>
      <c r="Z8" t="s">
        <v>197</v>
      </c>
      <c r="AA8" t="s">
        <v>198</v>
      </c>
    </row>
    <row r="9" spans="1:27" ht="18.75" x14ac:dyDescent="0.25">
      <c r="A9" s="10"/>
      <c r="B9" s="469" t="s">
        <v>3</v>
      </c>
      <c r="C9" s="470"/>
      <c r="D9" s="470"/>
      <c r="E9" s="470"/>
      <c r="F9" s="470"/>
      <c r="G9" s="470"/>
      <c r="H9" s="470"/>
      <c r="I9" s="470"/>
      <c r="J9" s="471">
        <f>'ANA SAYFA'!F72</f>
        <v>45310</v>
      </c>
      <c r="K9" s="471"/>
      <c r="L9" s="471"/>
      <c r="M9" s="471"/>
      <c r="N9" s="471"/>
      <c r="O9" s="471"/>
      <c r="P9" s="471"/>
      <c r="Q9" s="472"/>
      <c r="R9" s="11"/>
      <c r="X9" t="s">
        <v>200</v>
      </c>
      <c r="Y9">
        <f>V15</f>
        <v>1.1000000000000001</v>
      </c>
      <c r="Z9">
        <f>V20</f>
        <v>0.2</v>
      </c>
      <c r="AA9">
        <f>V25</f>
        <v>1.1000000000000001</v>
      </c>
    </row>
    <row r="10" spans="1:27" x14ac:dyDescent="0.25">
      <c r="A10" s="10"/>
      <c r="B10" s="3"/>
      <c r="C10" s="4"/>
      <c r="D10" s="4"/>
      <c r="E10" s="4"/>
      <c r="F10" s="4"/>
      <c r="G10" s="4"/>
      <c r="H10" s="4"/>
      <c r="I10" s="4"/>
      <c r="J10" s="4"/>
      <c r="K10" s="4"/>
      <c r="L10" s="4"/>
      <c r="M10" s="4"/>
      <c r="N10" s="4"/>
      <c r="O10" s="4"/>
      <c r="P10" s="4"/>
      <c r="Q10" s="5"/>
      <c r="R10" s="11"/>
      <c r="X10">
        <v>30</v>
      </c>
      <c r="Y10" s="174">
        <f>H18</f>
        <v>3110.7999999999997</v>
      </c>
      <c r="Z10" s="174">
        <f>H23</f>
        <v>3110.7999999999997</v>
      </c>
      <c r="AA10" s="174">
        <f>H28</f>
        <v>3110.7999999999997</v>
      </c>
    </row>
    <row r="11" spans="1:27" x14ac:dyDescent="0.25">
      <c r="A11" s="10"/>
      <c r="B11" s="525" t="s">
        <v>4</v>
      </c>
      <c r="C11" s="525"/>
      <c r="D11" s="526" t="str">
        <f>'OG SARGI MEVCUT KADEME'!D11</f>
        <v>Hilmi GÜL</v>
      </c>
      <c r="E11" s="526"/>
      <c r="F11" s="526"/>
      <c r="G11" s="526"/>
      <c r="H11" s="525" t="s">
        <v>5</v>
      </c>
      <c r="I11" s="525"/>
      <c r="J11" s="475" t="s">
        <v>68</v>
      </c>
      <c r="K11" s="476"/>
      <c r="L11" s="477"/>
      <c r="M11" s="504" t="s">
        <v>7</v>
      </c>
      <c r="N11" s="504"/>
      <c r="O11" s="478">
        <v>16060016</v>
      </c>
      <c r="P11" s="479"/>
      <c r="Q11" s="480"/>
      <c r="R11" s="11"/>
      <c r="X11">
        <v>45</v>
      </c>
      <c r="Y11" s="174">
        <f>J18</f>
        <v>6470.7999999999993</v>
      </c>
      <c r="Z11" s="174">
        <f>J23</f>
        <v>9049.5999999999985</v>
      </c>
      <c r="AA11" s="174">
        <f>J28</f>
        <v>9049.5999999999985</v>
      </c>
    </row>
    <row r="12" spans="1:27" x14ac:dyDescent="0.25">
      <c r="A12" s="10"/>
      <c r="B12" s="3"/>
      <c r="C12" s="4"/>
      <c r="D12" s="4"/>
      <c r="E12" s="4"/>
      <c r="F12" s="4"/>
      <c r="G12" s="4"/>
      <c r="H12" s="4"/>
      <c r="I12" s="4"/>
      <c r="J12" s="4"/>
      <c r="K12" s="4"/>
      <c r="L12" s="4"/>
      <c r="M12" s="4"/>
      <c r="N12" s="4"/>
      <c r="O12" s="4"/>
      <c r="P12" s="4"/>
      <c r="Q12" s="5"/>
      <c r="R12" s="11"/>
      <c r="X12">
        <v>60</v>
      </c>
      <c r="Y12" s="174">
        <f>L18</f>
        <v>9676.7999999999993</v>
      </c>
      <c r="Z12" s="174">
        <f>L23</f>
        <v>9676.7999999999993</v>
      </c>
      <c r="AA12" s="174">
        <f>L28</f>
        <v>9366</v>
      </c>
    </row>
    <row r="13" spans="1:27" ht="18.75" x14ac:dyDescent="0.25">
      <c r="A13" s="10"/>
      <c r="B13" s="492" t="s">
        <v>9</v>
      </c>
      <c r="C13" s="493"/>
      <c r="D13" s="493"/>
      <c r="E13" s="493"/>
      <c r="F13" s="493"/>
      <c r="G13" s="493"/>
      <c r="H13" s="493"/>
      <c r="I13" s="493"/>
      <c r="J13" s="493"/>
      <c r="K13" s="493"/>
      <c r="L13" s="493"/>
      <c r="M13" s="493"/>
      <c r="N13" s="538" t="s">
        <v>326</v>
      </c>
      <c r="O13" s="539"/>
      <c r="P13" s="245">
        <f>'ANA SAYFA'!G26</f>
        <v>35</v>
      </c>
      <c r="Q13" s="247" t="s">
        <v>165</v>
      </c>
      <c r="R13" s="11"/>
    </row>
    <row r="14" spans="1:27" x14ac:dyDescent="0.25">
      <c r="A14" s="10"/>
      <c r="B14" s="3"/>
      <c r="C14" s="4"/>
      <c r="D14" s="4"/>
      <c r="E14" s="4"/>
      <c r="F14" s="4"/>
      <c r="G14" s="4"/>
      <c r="H14" s="4"/>
      <c r="I14" s="4"/>
      <c r="J14" s="4"/>
      <c r="K14" s="4"/>
      <c r="L14" s="4"/>
      <c r="M14" s="4"/>
      <c r="N14" s="4"/>
      <c r="O14" s="4"/>
      <c r="P14" s="4"/>
      <c r="Q14" s="5"/>
      <c r="R14" s="11"/>
    </row>
    <row r="15" spans="1:27" ht="18.75" x14ac:dyDescent="0.25">
      <c r="A15" s="10"/>
      <c r="B15" s="403" t="s">
        <v>48</v>
      </c>
      <c r="C15" s="404"/>
      <c r="D15" s="404"/>
      <c r="E15" s="404"/>
      <c r="F15" s="404"/>
      <c r="G15" s="404"/>
      <c r="H15" s="404"/>
      <c r="I15" s="404"/>
      <c r="J15" s="404"/>
      <c r="K15" s="404"/>
      <c r="L15" s="404"/>
      <c r="M15" s="404"/>
      <c r="N15" s="404"/>
      <c r="O15" s="404"/>
      <c r="P15" s="404"/>
      <c r="Q15" s="405"/>
      <c r="R15" s="11"/>
      <c r="U15" t="s">
        <v>196</v>
      </c>
      <c r="V15">
        <v>1.1000000000000001</v>
      </c>
    </row>
    <row r="16" spans="1:27" x14ac:dyDescent="0.25">
      <c r="A16" s="10"/>
      <c r="B16" s="397" t="s">
        <v>325</v>
      </c>
      <c r="C16" s="398"/>
      <c r="D16" s="398"/>
      <c r="E16" s="398"/>
      <c r="F16" s="398"/>
      <c r="G16" s="540"/>
      <c r="H16" s="398" t="s">
        <v>339</v>
      </c>
      <c r="I16" s="398"/>
      <c r="J16" s="398"/>
      <c r="K16" s="398"/>
      <c r="L16" s="398"/>
      <c r="M16" s="540"/>
      <c r="N16" s="4"/>
      <c r="O16" s="4"/>
      <c r="P16" s="4"/>
      <c r="Q16" s="5"/>
      <c r="R16" s="11"/>
      <c r="V16" s="385" t="s">
        <v>47</v>
      </c>
      <c r="W16" s="385"/>
    </row>
    <row r="17" spans="1:38" x14ac:dyDescent="0.25">
      <c r="A17" s="10"/>
      <c r="B17" s="541" t="s">
        <v>37</v>
      </c>
      <c r="C17" s="541"/>
      <c r="D17" s="541" t="s">
        <v>38</v>
      </c>
      <c r="E17" s="541"/>
      <c r="F17" s="541" t="s">
        <v>39</v>
      </c>
      <c r="G17" s="542"/>
      <c r="H17" s="399" t="s">
        <v>37</v>
      </c>
      <c r="I17" s="541"/>
      <c r="J17" s="541" t="s">
        <v>38</v>
      </c>
      <c r="K17" s="541"/>
      <c r="L17" s="541" t="s">
        <v>39</v>
      </c>
      <c r="M17" s="542"/>
      <c r="N17" s="399" t="s">
        <v>42</v>
      </c>
      <c r="O17" s="541"/>
      <c r="P17" s="541" t="s">
        <v>43</v>
      </c>
      <c r="Q17" s="541"/>
      <c r="R17" s="11"/>
    </row>
    <row r="18" spans="1:38" x14ac:dyDescent="0.25">
      <c r="A18" s="10"/>
      <c r="B18" s="159">
        <f>'ANA SAYFA'!F60</f>
        <v>1111</v>
      </c>
      <c r="C18" s="33" t="s">
        <v>44</v>
      </c>
      <c r="D18" s="159">
        <f>'ANA SAYFA'!I60</f>
        <v>2311</v>
      </c>
      <c r="E18" s="33" t="s">
        <v>44</v>
      </c>
      <c r="F18" s="159">
        <f>'ANA SAYFA'!L60</f>
        <v>3456</v>
      </c>
      <c r="G18" s="305" t="s">
        <v>44</v>
      </c>
      <c r="H18" s="304">
        <f>B18*V38</f>
        <v>3110.7999999999997</v>
      </c>
      <c r="I18" s="33" t="s">
        <v>44</v>
      </c>
      <c r="J18" s="159">
        <f>D18*V38</f>
        <v>6470.7999999999993</v>
      </c>
      <c r="K18" s="33" t="s">
        <v>44</v>
      </c>
      <c r="L18" s="159">
        <f>F18*V38</f>
        <v>9676.7999999999993</v>
      </c>
      <c r="M18" s="305" t="s">
        <v>44</v>
      </c>
      <c r="N18" s="509">
        <f>L18/H18</f>
        <v>3.1107110711071106</v>
      </c>
      <c r="O18" s="505"/>
      <c r="P18" s="543" t="str">
        <f>IF(L18&lt;V15,V18,V16)</f>
        <v>UYGUN</v>
      </c>
      <c r="Q18" s="543"/>
      <c r="R18" s="11"/>
      <c r="V18" s="385" t="s">
        <v>139</v>
      </c>
      <c r="W18" s="385"/>
    </row>
    <row r="19" spans="1:38" x14ac:dyDescent="0.25">
      <c r="A19" s="10"/>
      <c r="B19" s="3"/>
      <c r="C19" s="4"/>
      <c r="D19" s="4"/>
      <c r="E19" s="4"/>
      <c r="F19" s="4"/>
      <c r="G19" s="4"/>
      <c r="H19" s="4"/>
      <c r="I19" s="4"/>
      <c r="J19" s="4"/>
      <c r="K19" s="4"/>
      <c r="L19" s="4"/>
      <c r="M19" s="4"/>
      <c r="N19" s="4"/>
      <c r="O19" s="4"/>
      <c r="P19" s="4"/>
      <c r="Q19" s="5"/>
      <c r="R19" s="11"/>
    </row>
    <row r="20" spans="1:38" ht="18.75" x14ac:dyDescent="0.25">
      <c r="A20" s="10"/>
      <c r="B20" s="403" t="s">
        <v>36</v>
      </c>
      <c r="C20" s="404"/>
      <c r="D20" s="404"/>
      <c r="E20" s="404"/>
      <c r="F20" s="404"/>
      <c r="G20" s="404"/>
      <c r="H20" s="404"/>
      <c r="I20" s="404"/>
      <c r="J20" s="404"/>
      <c r="K20" s="404"/>
      <c r="L20" s="404"/>
      <c r="M20" s="404"/>
      <c r="N20" s="404"/>
      <c r="O20" s="404"/>
      <c r="P20" s="404"/>
      <c r="Q20" s="405"/>
      <c r="R20" s="11"/>
      <c r="U20" s="183" t="s">
        <v>197</v>
      </c>
      <c r="V20" s="183">
        <v>0.2</v>
      </c>
      <c r="W20" s="183"/>
    </row>
    <row r="21" spans="1:38" x14ac:dyDescent="0.25">
      <c r="A21" s="10"/>
      <c r="B21" s="397" t="s">
        <v>325</v>
      </c>
      <c r="C21" s="398"/>
      <c r="D21" s="398"/>
      <c r="E21" s="398"/>
      <c r="F21" s="398"/>
      <c r="G21" s="540"/>
      <c r="H21" s="398" t="s">
        <v>339</v>
      </c>
      <c r="I21" s="398"/>
      <c r="J21" s="398"/>
      <c r="K21" s="398"/>
      <c r="L21" s="398"/>
      <c r="M21" s="540"/>
      <c r="N21" s="4"/>
      <c r="O21" s="4"/>
      <c r="P21" s="4"/>
      <c r="Q21" s="5"/>
      <c r="R21" s="11"/>
      <c r="U21" s="183"/>
      <c r="V21" s="385" t="s">
        <v>47</v>
      </c>
      <c r="W21" s="385"/>
    </row>
    <row r="22" spans="1:38" x14ac:dyDescent="0.25">
      <c r="A22" s="10"/>
      <c r="B22" s="541" t="s">
        <v>37</v>
      </c>
      <c r="C22" s="541"/>
      <c r="D22" s="541" t="s">
        <v>38</v>
      </c>
      <c r="E22" s="541"/>
      <c r="F22" s="541" t="s">
        <v>39</v>
      </c>
      <c r="G22" s="542"/>
      <c r="H22" s="399" t="s">
        <v>37</v>
      </c>
      <c r="I22" s="541"/>
      <c r="J22" s="541" t="s">
        <v>38</v>
      </c>
      <c r="K22" s="541"/>
      <c r="L22" s="541" t="s">
        <v>39</v>
      </c>
      <c r="M22" s="542"/>
      <c r="N22" s="399" t="s">
        <v>42</v>
      </c>
      <c r="O22" s="541"/>
      <c r="P22" s="541" t="s">
        <v>43</v>
      </c>
      <c r="Q22" s="541"/>
      <c r="R22" s="11"/>
      <c r="U22" s="183"/>
      <c r="V22" s="183"/>
      <c r="W22" s="183"/>
    </row>
    <row r="23" spans="1:38" x14ac:dyDescent="0.25">
      <c r="A23" s="10"/>
      <c r="B23" s="159">
        <f>'ANA SAYFA'!F62</f>
        <v>1111</v>
      </c>
      <c r="C23" s="33" t="s">
        <v>44</v>
      </c>
      <c r="D23" s="159">
        <f>'ANA SAYFA'!I62</f>
        <v>3232</v>
      </c>
      <c r="E23" s="33" t="s">
        <v>44</v>
      </c>
      <c r="F23" s="159">
        <f>'ANA SAYFA'!L62</f>
        <v>3456</v>
      </c>
      <c r="G23" s="305" t="s">
        <v>44</v>
      </c>
      <c r="H23" s="304">
        <f>B23*V38</f>
        <v>3110.7999999999997</v>
      </c>
      <c r="I23" s="33" t="s">
        <v>44</v>
      </c>
      <c r="J23" s="159">
        <f>D23*V38</f>
        <v>9049.5999999999985</v>
      </c>
      <c r="K23" s="33" t="s">
        <v>44</v>
      </c>
      <c r="L23" s="159">
        <f>F23*V38</f>
        <v>9676.7999999999993</v>
      </c>
      <c r="M23" s="305" t="s">
        <v>44</v>
      </c>
      <c r="N23" s="509">
        <f>L23/H23</f>
        <v>3.1107110711071106</v>
      </c>
      <c r="O23" s="505"/>
      <c r="P23" s="543" t="str">
        <f>IF(L23&lt;V20,V23,V21)</f>
        <v>UYGUN</v>
      </c>
      <c r="Q23" s="543"/>
      <c r="R23" s="11"/>
      <c r="U23" s="183"/>
      <c r="V23" s="385" t="s">
        <v>139</v>
      </c>
      <c r="W23" s="385"/>
    </row>
    <row r="24" spans="1:38" x14ac:dyDescent="0.25">
      <c r="A24" s="10"/>
      <c r="B24" s="6"/>
      <c r="C24" s="544"/>
      <c r="D24" s="544"/>
      <c r="E24" s="544"/>
      <c r="F24" s="544"/>
      <c r="G24" s="560"/>
      <c r="H24" s="560"/>
      <c r="I24" s="544"/>
      <c r="J24" s="544"/>
      <c r="K24" s="560"/>
      <c r="L24" s="560"/>
      <c r="M24" s="560"/>
      <c r="N24" s="560"/>
      <c r="O24" s="560"/>
      <c r="P24" s="560"/>
      <c r="Q24" s="7"/>
      <c r="R24" s="11"/>
      <c r="Y24" s="514" t="s">
        <v>379</v>
      </c>
      <c r="Z24" s="514"/>
      <c r="AA24" s="514"/>
      <c r="AB24" s="514"/>
      <c r="AC24" s="514"/>
      <c r="AD24" s="514"/>
      <c r="AE24" s="514"/>
      <c r="AF24" s="514"/>
      <c r="AG24" s="514"/>
      <c r="AH24" s="514"/>
      <c r="AI24" s="514"/>
      <c r="AJ24" s="514"/>
      <c r="AK24" s="514"/>
      <c r="AL24" s="515"/>
    </row>
    <row r="25" spans="1:38" ht="18.75" x14ac:dyDescent="0.25">
      <c r="A25" s="10"/>
      <c r="B25" s="403" t="s">
        <v>49</v>
      </c>
      <c r="C25" s="404"/>
      <c r="D25" s="404"/>
      <c r="E25" s="404"/>
      <c r="F25" s="404"/>
      <c r="G25" s="404"/>
      <c r="H25" s="404"/>
      <c r="I25" s="404"/>
      <c r="J25" s="404"/>
      <c r="K25" s="404"/>
      <c r="L25" s="404"/>
      <c r="M25" s="404"/>
      <c r="N25" s="404"/>
      <c r="O25" s="404"/>
      <c r="P25" s="404"/>
      <c r="Q25" s="405"/>
      <c r="R25" s="11"/>
      <c r="U25" s="183" t="s">
        <v>198</v>
      </c>
      <c r="V25" s="183">
        <v>1.1000000000000001</v>
      </c>
      <c r="W25" s="183"/>
      <c r="Y25" s="516"/>
      <c r="Z25" s="516"/>
      <c r="AA25" s="516"/>
      <c r="AB25" s="516"/>
      <c r="AC25" s="516"/>
      <c r="AD25" s="516"/>
      <c r="AE25" s="516"/>
      <c r="AF25" s="516"/>
      <c r="AG25" s="516"/>
      <c r="AH25" s="516"/>
      <c r="AI25" s="516"/>
      <c r="AJ25" s="516"/>
      <c r="AK25" s="516"/>
      <c r="AL25" s="517"/>
    </row>
    <row r="26" spans="1:38" x14ac:dyDescent="0.25">
      <c r="A26" s="10"/>
      <c r="B26" s="397" t="s">
        <v>325</v>
      </c>
      <c r="C26" s="398"/>
      <c r="D26" s="398"/>
      <c r="E26" s="398"/>
      <c r="F26" s="398"/>
      <c r="G26" s="540"/>
      <c r="H26" s="398" t="s">
        <v>339</v>
      </c>
      <c r="I26" s="398"/>
      <c r="J26" s="398"/>
      <c r="K26" s="398"/>
      <c r="L26" s="398"/>
      <c r="M26" s="540"/>
      <c r="N26" s="4"/>
      <c r="O26" s="4"/>
      <c r="P26" s="4"/>
      <c r="Q26" s="5"/>
      <c r="R26" s="11"/>
      <c r="U26" s="183"/>
      <c r="V26" s="385" t="s">
        <v>47</v>
      </c>
      <c r="W26" s="385"/>
      <c r="Y26" s="516"/>
      <c r="Z26" s="516"/>
      <c r="AA26" s="516"/>
      <c r="AB26" s="516"/>
      <c r="AC26" s="516"/>
      <c r="AD26" s="516"/>
      <c r="AE26" s="516"/>
      <c r="AF26" s="516"/>
      <c r="AG26" s="516"/>
      <c r="AH26" s="516"/>
      <c r="AI26" s="516"/>
      <c r="AJ26" s="516"/>
      <c r="AK26" s="516"/>
      <c r="AL26" s="517"/>
    </row>
    <row r="27" spans="1:38" x14ac:dyDescent="0.25">
      <c r="A27" s="10"/>
      <c r="B27" s="541" t="s">
        <v>37</v>
      </c>
      <c r="C27" s="541"/>
      <c r="D27" s="541" t="s">
        <v>38</v>
      </c>
      <c r="E27" s="541"/>
      <c r="F27" s="541" t="s">
        <v>39</v>
      </c>
      <c r="G27" s="542"/>
      <c r="H27" s="399" t="s">
        <v>37</v>
      </c>
      <c r="I27" s="541"/>
      <c r="J27" s="541" t="s">
        <v>38</v>
      </c>
      <c r="K27" s="541"/>
      <c r="L27" s="541" t="s">
        <v>39</v>
      </c>
      <c r="M27" s="542"/>
      <c r="N27" s="399" t="s">
        <v>42</v>
      </c>
      <c r="O27" s="541"/>
      <c r="P27" s="541" t="s">
        <v>43</v>
      </c>
      <c r="Q27" s="541"/>
      <c r="R27" s="11"/>
      <c r="U27" s="183"/>
      <c r="V27" s="183"/>
      <c r="W27" s="183"/>
      <c r="Y27" s="516"/>
      <c r="Z27" s="516"/>
      <c r="AA27" s="516"/>
      <c r="AB27" s="516"/>
      <c r="AC27" s="516"/>
      <c r="AD27" s="516"/>
      <c r="AE27" s="516"/>
      <c r="AF27" s="516"/>
      <c r="AG27" s="516"/>
      <c r="AH27" s="516"/>
      <c r="AI27" s="516"/>
      <c r="AJ27" s="516"/>
      <c r="AK27" s="516"/>
      <c r="AL27" s="517"/>
    </row>
    <row r="28" spans="1:38" x14ac:dyDescent="0.25">
      <c r="A28" s="10"/>
      <c r="B28" s="159">
        <f>'ANA SAYFA'!F64</f>
        <v>1111</v>
      </c>
      <c r="C28" s="33" t="s">
        <v>44</v>
      </c>
      <c r="D28" s="159">
        <f>'ANA SAYFA'!I64</f>
        <v>3232</v>
      </c>
      <c r="E28" s="33" t="s">
        <v>44</v>
      </c>
      <c r="F28" s="159">
        <f>'ANA SAYFA'!L64</f>
        <v>3345</v>
      </c>
      <c r="G28" s="305" t="s">
        <v>44</v>
      </c>
      <c r="H28" s="304">
        <f>B28*V38</f>
        <v>3110.7999999999997</v>
      </c>
      <c r="I28" s="33" t="s">
        <v>44</v>
      </c>
      <c r="J28" s="159">
        <f>D28*V38</f>
        <v>9049.5999999999985</v>
      </c>
      <c r="K28" s="33" t="s">
        <v>44</v>
      </c>
      <c r="L28" s="159">
        <f>F28*V38</f>
        <v>9366</v>
      </c>
      <c r="M28" s="305" t="s">
        <v>44</v>
      </c>
      <c r="N28" s="509">
        <f>L28/H28</f>
        <v>3.0108010801080112</v>
      </c>
      <c r="O28" s="505"/>
      <c r="P28" s="543" t="str">
        <f>IF(L28&lt;V25,V28,V26)</f>
        <v>UYGUN</v>
      </c>
      <c r="Q28" s="543"/>
      <c r="R28" s="11"/>
      <c r="U28" s="183"/>
      <c r="V28" s="385" t="s">
        <v>139</v>
      </c>
      <c r="W28" s="385"/>
      <c r="Y28" s="516"/>
      <c r="Z28" s="516"/>
      <c r="AA28" s="516"/>
      <c r="AB28" s="516"/>
      <c r="AC28" s="516"/>
      <c r="AD28" s="516"/>
      <c r="AE28" s="516"/>
      <c r="AF28" s="516"/>
      <c r="AG28" s="516"/>
      <c r="AH28" s="516"/>
      <c r="AI28" s="516"/>
      <c r="AJ28" s="516"/>
      <c r="AK28" s="516"/>
      <c r="AL28" s="517"/>
    </row>
    <row r="29" spans="1:38" ht="7.5" customHeight="1" x14ac:dyDescent="0.25">
      <c r="A29" s="10"/>
      <c r="B29" s="3"/>
      <c r="C29" s="4"/>
      <c r="D29" s="4"/>
      <c r="E29" s="4"/>
      <c r="F29" s="4"/>
      <c r="G29" s="4"/>
      <c r="H29" s="4"/>
      <c r="I29" s="4"/>
      <c r="J29" s="4"/>
      <c r="K29" s="4"/>
      <c r="L29" s="4"/>
      <c r="M29" s="4"/>
      <c r="N29" s="4"/>
      <c r="O29" s="4"/>
      <c r="P29" s="4"/>
      <c r="Q29" s="5"/>
      <c r="R29" s="11"/>
    </row>
    <row r="30" spans="1:38" s="183" customFormat="1" ht="7.5" customHeight="1" x14ac:dyDescent="0.25">
      <c r="A30" s="10"/>
      <c r="B30" s="3"/>
      <c r="C30" s="4"/>
      <c r="D30" s="4"/>
      <c r="E30" s="4"/>
      <c r="F30" s="4"/>
      <c r="G30" s="4"/>
      <c r="H30" s="4"/>
      <c r="I30" s="4"/>
      <c r="J30" s="4"/>
      <c r="K30" s="4"/>
      <c r="L30" s="4"/>
      <c r="M30" s="4"/>
      <c r="N30" s="4"/>
      <c r="O30" s="4"/>
      <c r="P30" s="4"/>
      <c r="Q30" s="5"/>
      <c r="R30" s="11"/>
    </row>
    <row r="31" spans="1:38" x14ac:dyDescent="0.25">
      <c r="A31" s="10"/>
      <c r="B31" s="25"/>
      <c r="C31" s="26"/>
      <c r="D31" s="26"/>
      <c r="E31" s="26"/>
      <c r="F31" s="4"/>
      <c r="G31" s="4"/>
      <c r="H31" s="4"/>
      <c r="I31" s="4"/>
      <c r="J31" s="4"/>
      <c r="K31" s="4"/>
      <c r="L31" s="4"/>
      <c r="M31" s="4"/>
      <c r="N31" s="4"/>
      <c r="O31" s="4"/>
      <c r="P31" s="4"/>
      <c r="Q31" s="5"/>
      <c r="R31" s="11"/>
    </row>
    <row r="32" spans="1:38" x14ac:dyDescent="0.25">
      <c r="A32" s="10"/>
      <c r="B32" s="25"/>
      <c r="C32" s="26"/>
      <c r="D32" s="26"/>
      <c r="E32" s="26"/>
      <c r="F32" s="4"/>
      <c r="G32" s="4"/>
      <c r="H32" s="4"/>
      <c r="I32" s="4"/>
      <c r="J32" s="4"/>
      <c r="K32" s="4"/>
      <c r="L32" s="4"/>
      <c r="M32" s="4"/>
      <c r="N32" s="4"/>
      <c r="O32" s="4"/>
      <c r="P32" s="4"/>
      <c r="Q32" s="5"/>
      <c r="R32" s="11"/>
      <c r="Y32" s="514" t="s">
        <v>199</v>
      </c>
      <c r="Z32" s="514"/>
      <c r="AA32" s="514"/>
      <c r="AB32" s="514"/>
      <c r="AC32" s="514"/>
      <c r="AD32" s="514"/>
      <c r="AE32" s="514"/>
      <c r="AF32" s="514"/>
      <c r="AG32" s="514"/>
      <c r="AH32" s="514"/>
      <c r="AI32" s="514"/>
      <c r="AJ32" s="514"/>
      <c r="AK32" s="514"/>
      <c r="AL32" s="515"/>
    </row>
    <row r="33" spans="1:38" x14ac:dyDescent="0.25">
      <c r="A33" s="10"/>
      <c r="B33" s="3"/>
      <c r="C33" s="4"/>
      <c r="D33" s="4"/>
      <c r="E33" s="4"/>
      <c r="F33" s="4"/>
      <c r="G33" s="4"/>
      <c r="H33" s="4"/>
      <c r="I33" s="4"/>
      <c r="J33" s="4"/>
      <c r="K33" s="4"/>
      <c r="L33" s="4"/>
      <c r="M33" s="4"/>
      <c r="N33" s="4"/>
      <c r="O33" s="4"/>
      <c r="P33" s="4"/>
      <c r="Q33" s="5"/>
      <c r="R33" s="11"/>
      <c r="Y33" s="516"/>
      <c r="Z33" s="516"/>
      <c r="AA33" s="516"/>
      <c r="AB33" s="516"/>
      <c r="AC33" s="516"/>
      <c r="AD33" s="516"/>
      <c r="AE33" s="516"/>
      <c r="AF33" s="516"/>
      <c r="AG33" s="516"/>
      <c r="AH33" s="516"/>
      <c r="AI33" s="516"/>
      <c r="AJ33" s="516"/>
      <c r="AK33" s="516"/>
      <c r="AL33" s="517"/>
    </row>
    <row r="34" spans="1:38" x14ac:dyDescent="0.25">
      <c r="A34" s="10"/>
      <c r="B34" s="3"/>
      <c r="C34" s="4"/>
      <c r="D34" s="4"/>
      <c r="E34" s="4"/>
      <c r="F34" s="4"/>
      <c r="G34" s="4"/>
      <c r="H34" s="4"/>
      <c r="I34" s="4"/>
      <c r="J34" s="4"/>
      <c r="K34" s="4"/>
      <c r="L34" s="4"/>
      <c r="M34" s="4"/>
      <c r="N34" s="4"/>
      <c r="O34" s="4"/>
      <c r="P34" s="4"/>
      <c r="Q34" s="5"/>
      <c r="R34" s="11"/>
      <c r="Y34" s="516"/>
      <c r="Z34" s="516"/>
      <c r="AA34" s="516"/>
      <c r="AB34" s="516"/>
      <c r="AC34" s="516"/>
      <c r="AD34" s="516"/>
      <c r="AE34" s="516"/>
      <c r="AF34" s="516"/>
      <c r="AG34" s="516"/>
      <c r="AH34" s="516"/>
      <c r="AI34" s="516"/>
      <c r="AJ34" s="516"/>
      <c r="AK34" s="516"/>
      <c r="AL34" s="517"/>
    </row>
    <row r="35" spans="1:38" x14ac:dyDescent="0.25">
      <c r="A35" s="10"/>
      <c r="B35" s="3"/>
      <c r="C35" s="4"/>
      <c r="D35" s="4"/>
      <c r="E35" s="4"/>
      <c r="F35" s="24"/>
      <c r="G35" s="4"/>
      <c r="H35" s="4"/>
      <c r="I35" s="4"/>
      <c r="J35" s="4"/>
      <c r="K35" s="4"/>
      <c r="L35" s="4"/>
      <c r="M35" s="4"/>
      <c r="N35" s="4"/>
      <c r="O35" s="4"/>
      <c r="P35" s="4"/>
      <c r="Q35" s="5"/>
      <c r="R35" s="11"/>
      <c r="Y35" s="516"/>
      <c r="Z35" s="516"/>
      <c r="AA35" s="516"/>
      <c r="AB35" s="516"/>
      <c r="AC35" s="516"/>
      <c r="AD35" s="516"/>
      <c r="AE35" s="516"/>
      <c r="AF35" s="516"/>
      <c r="AG35" s="516"/>
      <c r="AH35" s="516"/>
      <c r="AI35" s="516"/>
      <c r="AJ35" s="516"/>
      <c r="AK35" s="516"/>
      <c r="AL35" s="517"/>
    </row>
    <row r="36" spans="1:38" x14ac:dyDescent="0.25">
      <c r="A36" s="10"/>
      <c r="B36" s="3"/>
      <c r="C36" s="4"/>
      <c r="D36" s="4"/>
      <c r="E36" s="4"/>
      <c r="F36" s="4"/>
      <c r="G36" s="4"/>
      <c r="H36" s="4"/>
      <c r="I36" s="4"/>
      <c r="J36" s="4"/>
      <c r="K36" s="4"/>
      <c r="L36" s="4"/>
      <c r="M36" s="4"/>
      <c r="N36" s="4"/>
      <c r="O36" s="4"/>
      <c r="P36" s="4"/>
      <c r="Q36" s="5"/>
      <c r="R36" s="11"/>
      <c r="Y36" s="516"/>
      <c r="Z36" s="516"/>
      <c r="AA36" s="516"/>
      <c r="AB36" s="516"/>
      <c r="AC36" s="516"/>
      <c r="AD36" s="516"/>
      <c r="AE36" s="516"/>
      <c r="AF36" s="516"/>
      <c r="AG36" s="516"/>
      <c r="AH36" s="516"/>
      <c r="AI36" s="516"/>
      <c r="AJ36" s="516"/>
      <c r="AK36" s="516"/>
      <c r="AL36" s="517"/>
    </row>
    <row r="37" spans="1:38" x14ac:dyDescent="0.25">
      <c r="A37" s="10"/>
      <c r="B37" s="3"/>
      <c r="C37" s="4"/>
      <c r="D37" s="4"/>
      <c r="E37" s="4"/>
      <c r="F37" s="4"/>
      <c r="G37" s="4"/>
      <c r="H37" s="4"/>
      <c r="I37" s="4"/>
      <c r="J37" s="4"/>
      <c r="K37" s="4"/>
      <c r="L37" s="4"/>
      <c r="M37" s="4"/>
      <c r="N37" s="4"/>
      <c r="O37" s="4"/>
      <c r="P37" s="4"/>
      <c r="Q37" s="5"/>
      <c r="R37" s="11"/>
    </row>
    <row r="38" spans="1:38" x14ac:dyDescent="0.25">
      <c r="A38" s="10"/>
      <c r="B38" s="6"/>
      <c r="C38" s="29"/>
      <c r="D38" s="29"/>
      <c r="E38" s="4"/>
      <c r="F38" s="4"/>
      <c r="G38" s="4"/>
      <c r="H38" s="4"/>
      <c r="I38" s="4"/>
      <c r="J38" s="4"/>
      <c r="K38" s="4"/>
      <c r="L38" s="4"/>
      <c r="M38" s="4"/>
      <c r="N38" s="4"/>
      <c r="O38" s="4"/>
      <c r="P38" s="4"/>
      <c r="Q38" s="7"/>
      <c r="R38" s="11"/>
      <c r="U38" t="s">
        <v>327</v>
      </c>
      <c r="V38">
        <f>IF(P13&gt;40,X43,X42)</f>
        <v>2.8</v>
      </c>
    </row>
    <row r="39" spans="1:38" s="151" customFormat="1" x14ac:dyDescent="0.25">
      <c r="A39" s="10"/>
      <c r="B39" s="150"/>
      <c r="C39" s="29"/>
      <c r="D39" s="29"/>
      <c r="E39" s="4"/>
      <c r="F39" s="4"/>
      <c r="G39" s="4"/>
      <c r="H39" s="4"/>
      <c r="I39" s="4"/>
      <c r="J39" s="4"/>
      <c r="K39" s="4"/>
      <c r="L39" s="4"/>
      <c r="M39" s="4"/>
      <c r="N39" s="4"/>
      <c r="O39" s="4"/>
      <c r="P39" s="4"/>
      <c r="Q39" s="148"/>
      <c r="R39" s="11"/>
      <c r="T39" s="302"/>
      <c r="U39" s="302"/>
      <c r="V39" s="302"/>
      <c r="W39" s="302"/>
      <c r="X39" s="302"/>
      <c r="Y39" s="302"/>
    </row>
    <row r="40" spans="1:38" x14ac:dyDescent="0.25">
      <c r="A40" s="10"/>
      <c r="B40" s="6"/>
      <c r="C40" s="24"/>
      <c r="D40" s="24"/>
      <c r="E40" s="24"/>
      <c r="F40" s="24"/>
      <c r="G40" s="24"/>
      <c r="H40" s="24"/>
      <c r="I40" s="24"/>
      <c r="J40" s="24"/>
      <c r="K40" s="24"/>
      <c r="L40" s="24"/>
      <c r="M40" s="24"/>
      <c r="N40" s="24"/>
      <c r="O40" s="24"/>
      <c r="P40" s="24"/>
      <c r="Q40" s="7"/>
      <c r="R40" s="11"/>
      <c r="T40" s="302"/>
      <c r="U40" s="302"/>
      <c r="V40" s="302"/>
      <c r="W40" s="302"/>
      <c r="X40" s="302"/>
      <c r="Y40" s="302"/>
    </row>
    <row r="41" spans="1:38" ht="15.75" x14ac:dyDescent="0.25">
      <c r="A41" s="10"/>
      <c r="B41" s="545" t="s">
        <v>35</v>
      </c>
      <c r="C41" s="545"/>
      <c r="D41" s="514" t="str">
        <f>IF(L18&lt;V15,Y32,Y24)</f>
        <v>Yapılan ölçümlerde trafonun izolasyon direnç değerleri uygun bulunmuştur.</v>
      </c>
      <c r="E41" s="514"/>
      <c r="F41" s="514"/>
      <c r="G41" s="514"/>
      <c r="H41" s="514"/>
      <c r="I41" s="514"/>
      <c r="J41" s="514"/>
      <c r="K41" s="514"/>
      <c r="L41" s="514"/>
      <c r="M41" s="514"/>
      <c r="N41" s="514"/>
      <c r="O41" s="514"/>
      <c r="P41" s="514"/>
      <c r="Q41" s="515"/>
      <c r="R41" s="11"/>
      <c r="T41" s="302"/>
      <c r="U41" s="302"/>
      <c r="V41" s="1"/>
      <c r="W41" s="302"/>
      <c r="X41" s="302"/>
      <c r="Y41" s="302"/>
    </row>
    <row r="42" spans="1:38" x14ac:dyDescent="0.25">
      <c r="A42" s="10"/>
      <c r="B42" s="6"/>
      <c r="C42" s="24"/>
      <c r="D42" s="516"/>
      <c r="E42" s="516"/>
      <c r="F42" s="516"/>
      <c r="G42" s="516"/>
      <c r="H42" s="516"/>
      <c r="I42" s="516"/>
      <c r="J42" s="516"/>
      <c r="K42" s="516"/>
      <c r="L42" s="516"/>
      <c r="M42" s="516"/>
      <c r="N42" s="516"/>
      <c r="O42" s="516"/>
      <c r="P42" s="516"/>
      <c r="Q42" s="517"/>
      <c r="R42" s="11"/>
      <c r="T42" s="302"/>
      <c r="U42" s="302" t="s">
        <v>161</v>
      </c>
      <c r="V42" s="302" t="s">
        <v>162</v>
      </c>
      <c r="W42" s="302"/>
      <c r="X42" s="302">
        <f>IF(P13=0,V43, IF(P13=5,V44, IF(P13=10,V45,
IF(P13=15,V46,
IF(P13=20,V47,
IF(P13=25,V48,
IF(P13=30,V49,
IF(P13=35,V50, IF(P13=40,V51, )))))))))</f>
        <v>2.8</v>
      </c>
      <c r="Y42" s="302"/>
    </row>
    <row r="43" spans="1:38" x14ac:dyDescent="0.25">
      <c r="A43" s="10"/>
      <c r="B43" s="3"/>
      <c r="C43" s="4"/>
      <c r="D43" s="516"/>
      <c r="E43" s="516"/>
      <c r="F43" s="516"/>
      <c r="G43" s="516"/>
      <c r="H43" s="516"/>
      <c r="I43" s="516"/>
      <c r="J43" s="516"/>
      <c r="K43" s="516"/>
      <c r="L43" s="516"/>
      <c r="M43" s="516"/>
      <c r="N43" s="516"/>
      <c r="O43" s="516"/>
      <c r="P43" s="516"/>
      <c r="Q43" s="517"/>
      <c r="R43" s="11"/>
      <c r="T43" s="302"/>
      <c r="U43" s="334">
        <v>0</v>
      </c>
      <c r="V43" s="334">
        <v>0.25</v>
      </c>
      <c r="W43" s="302"/>
      <c r="X43" s="302">
        <f>IF(P13=45,V52, IF(P13=50,V53, IF(P13=55,V54,
IF(P13=60,V55,
IF(P13=65,V56,
IF(P13=70,V57,
IF(P13=75,V58,
)))))))</f>
        <v>0</v>
      </c>
      <c r="Y43" s="302"/>
    </row>
    <row r="44" spans="1:38" s="127" customFormat="1" x14ac:dyDescent="0.25">
      <c r="A44" s="10"/>
      <c r="B44" s="3"/>
      <c r="C44" s="4"/>
      <c r="D44" s="516"/>
      <c r="E44" s="516"/>
      <c r="F44" s="516"/>
      <c r="G44" s="516"/>
      <c r="H44" s="516"/>
      <c r="I44" s="516"/>
      <c r="J44" s="516"/>
      <c r="K44" s="516"/>
      <c r="L44" s="516"/>
      <c r="M44" s="516"/>
      <c r="N44" s="516"/>
      <c r="O44" s="516"/>
      <c r="P44" s="516"/>
      <c r="Q44" s="517"/>
      <c r="R44" s="11"/>
      <c r="T44" s="302"/>
      <c r="U44" s="334">
        <v>5</v>
      </c>
      <c r="V44" s="334">
        <v>0.36</v>
      </c>
      <c r="W44" s="302"/>
      <c r="X44" s="302"/>
      <c r="Y44" s="302"/>
    </row>
    <row r="45" spans="1:38" x14ac:dyDescent="0.25">
      <c r="A45" s="10"/>
      <c r="B45" s="47"/>
      <c r="C45" s="48"/>
      <c r="D45" s="546"/>
      <c r="E45" s="546"/>
      <c r="F45" s="546"/>
      <c r="G45" s="546"/>
      <c r="H45" s="546"/>
      <c r="I45" s="546"/>
      <c r="J45" s="546"/>
      <c r="K45" s="546"/>
      <c r="L45" s="546"/>
      <c r="M45" s="546"/>
      <c r="N45" s="546"/>
      <c r="O45" s="546"/>
      <c r="P45" s="546"/>
      <c r="Q45" s="547"/>
      <c r="R45" s="11"/>
      <c r="T45" s="302"/>
      <c r="U45" s="334">
        <v>10</v>
      </c>
      <c r="V45" s="334">
        <v>0.5</v>
      </c>
      <c r="W45" s="302"/>
      <c r="X45" s="302"/>
      <c r="Y45" s="302"/>
    </row>
    <row r="46" spans="1:38" x14ac:dyDescent="0.25">
      <c r="A46" s="10"/>
      <c r="B46" s="548" t="s">
        <v>328</v>
      </c>
      <c r="C46" s="549"/>
      <c r="D46" s="549"/>
      <c r="E46" s="549"/>
      <c r="F46" s="549"/>
      <c r="G46" s="549"/>
      <c r="H46" s="549"/>
      <c r="I46" s="549"/>
      <c r="J46" s="549"/>
      <c r="K46" s="549"/>
      <c r="L46" s="549"/>
      <c r="M46" s="549"/>
      <c r="N46" s="549"/>
      <c r="O46" s="549"/>
      <c r="P46" s="549"/>
      <c r="Q46" s="550"/>
      <c r="R46" s="11"/>
      <c r="S46" s="10"/>
      <c r="T46" s="155"/>
      <c r="U46" s="155">
        <v>15</v>
      </c>
      <c r="V46" s="155">
        <v>0.74</v>
      </c>
      <c r="W46" s="155"/>
      <c r="X46" s="155"/>
      <c r="Y46" s="155"/>
      <c r="Z46" s="155"/>
      <c r="AA46" s="155"/>
      <c r="AB46" s="155"/>
      <c r="AC46" s="34"/>
      <c r="AD46" s="155"/>
      <c r="AE46" s="155"/>
      <c r="AF46" s="155"/>
      <c r="AG46" s="155"/>
      <c r="AH46" s="155"/>
    </row>
    <row r="47" spans="1:38" x14ac:dyDescent="0.25">
      <c r="A47" s="10"/>
      <c r="B47" s="548"/>
      <c r="C47" s="549"/>
      <c r="D47" s="549"/>
      <c r="E47" s="549"/>
      <c r="F47" s="549"/>
      <c r="G47" s="549"/>
      <c r="H47" s="549"/>
      <c r="I47" s="549"/>
      <c r="J47" s="549"/>
      <c r="K47" s="549"/>
      <c r="L47" s="549"/>
      <c r="M47" s="549"/>
      <c r="N47" s="549"/>
      <c r="O47" s="549"/>
      <c r="P47" s="549"/>
      <c r="Q47" s="550"/>
      <c r="R47" s="11"/>
      <c r="S47" s="10"/>
      <c r="T47" s="155"/>
      <c r="U47" s="303">
        <v>20</v>
      </c>
      <c r="V47" s="303">
        <v>1</v>
      </c>
      <c r="W47" s="155"/>
      <c r="X47" s="155"/>
      <c r="Y47" s="155"/>
      <c r="Z47" s="155"/>
      <c r="AA47" s="1"/>
      <c r="AB47" s="1"/>
      <c r="AC47" s="1"/>
      <c r="AD47" s="1"/>
      <c r="AE47" s="1"/>
      <c r="AF47" s="1"/>
      <c r="AG47" s="1"/>
      <c r="AH47" s="1"/>
    </row>
    <row r="48" spans="1:38" s="154" customFormat="1" x14ac:dyDescent="0.25">
      <c r="A48" s="10"/>
      <c r="B48" s="548"/>
      <c r="C48" s="549"/>
      <c r="D48" s="549"/>
      <c r="E48" s="549"/>
      <c r="F48" s="549"/>
      <c r="G48" s="549"/>
      <c r="H48" s="549"/>
      <c r="I48" s="549"/>
      <c r="J48" s="549"/>
      <c r="K48" s="549"/>
      <c r="L48" s="549"/>
      <c r="M48" s="549"/>
      <c r="N48" s="549"/>
      <c r="O48" s="549"/>
      <c r="P48" s="549"/>
      <c r="Q48" s="550"/>
      <c r="R48" s="11"/>
      <c r="T48" s="302"/>
      <c r="U48" s="303">
        <v>25</v>
      </c>
      <c r="V48" s="303">
        <v>1.4</v>
      </c>
      <c r="W48" s="302"/>
      <c r="X48" s="302"/>
      <c r="Y48" s="302"/>
      <c r="AH48" s="1"/>
    </row>
    <row r="49" spans="1:25" s="154" customFormat="1" x14ac:dyDescent="0.25">
      <c r="A49" s="10"/>
      <c r="B49" s="551"/>
      <c r="C49" s="552"/>
      <c r="D49" s="552"/>
      <c r="E49" s="552"/>
      <c r="F49" s="552"/>
      <c r="G49" s="552"/>
      <c r="H49" s="552"/>
      <c r="I49" s="552"/>
      <c r="J49" s="552"/>
      <c r="K49" s="552"/>
      <c r="L49" s="552"/>
      <c r="M49" s="552"/>
      <c r="N49" s="552"/>
      <c r="O49" s="552"/>
      <c r="P49" s="552"/>
      <c r="Q49" s="553"/>
      <c r="R49" s="11"/>
      <c r="T49" s="302"/>
      <c r="U49" s="303">
        <v>30</v>
      </c>
      <c r="V49" s="303">
        <v>1.98</v>
      </c>
      <c r="W49" s="302"/>
      <c r="X49" s="302"/>
      <c r="Y49" s="302"/>
    </row>
    <row r="50" spans="1:25" s="339" customFormat="1" ht="22.5" customHeight="1" x14ac:dyDescent="0.25">
      <c r="A50" s="10"/>
      <c r="B50" s="495" t="s">
        <v>357</v>
      </c>
      <c r="C50" s="496"/>
      <c r="D50" s="496"/>
      <c r="E50" s="330" t="s">
        <v>24</v>
      </c>
      <c r="F50" s="536" t="s">
        <v>395</v>
      </c>
      <c r="G50" s="536"/>
      <c r="H50" s="536"/>
      <c r="I50" s="537"/>
      <c r="J50" s="403" t="s">
        <v>322</v>
      </c>
      <c r="K50" s="404"/>
      <c r="L50" s="404"/>
      <c r="M50" s="404"/>
      <c r="N50" s="404"/>
      <c r="O50" s="404"/>
      <c r="P50" s="404"/>
      <c r="Q50" s="405"/>
      <c r="R50" s="11"/>
      <c r="U50" s="303">
        <v>35</v>
      </c>
      <c r="V50" s="303">
        <v>2.8</v>
      </c>
    </row>
    <row r="51" spans="1:25" s="339" customFormat="1" ht="22.5" customHeight="1" x14ac:dyDescent="0.25">
      <c r="A51" s="10"/>
      <c r="B51" s="520" t="s">
        <v>386</v>
      </c>
      <c r="C51" s="521"/>
      <c r="D51" s="521"/>
      <c r="E51" s="330" t="s">
        <v>24</v>
      </c>
      <c r="F51" s="522">
        <f>'ANA SAYFA'!F73</f>
        <v>45307</v>
      </c>
      <c r="G51" s="518"/>
      <c r="H51" s="518"/>
      <c r="I51" s="519"/>
      <c r="J51" s="75"/>
      <c r="K51" s="76"/>
      <c r="L51" s="176"/>
      <c r="M51" s="176"/>
      <c r="N51" s="176"/>
      <c r="O51" s="176"/>
      <c r="P51" s="176"/>
      <c r="Q51" s="178"/>
      <c r="R51" s="11"/>
      <c r="U51" s="303">
        <v>40</v>
      </c>
      <c r="V51" s="303">
        <v>3.95</v>
      </c>
    </row>
    <row r="52" spans="1:25" s="339" customFormat="1" ht="22.5" customHeight="1" x14ac:dyDescent="0.25">
      <c r="A52" s="10"/>
      <c r="B52" s="495" t="s">
        <v>192</v>
      </c>
      <c r="C52" s="496"/>
      <c r="D52" s="496"/>
      <c r="E52" s="338" t="s">
        <v>24</v>
      </c>
      <c r="F52" s="496">
        <f>'ANA SAYFA'!F75:J75</f>
        <v>88258</v>
      </c>
      <c r="G52" s="496"/>
      <c r="H52" s="496"/>
      <c r="I52" s="497"/>
      <c r="J52" s="75"/>
      <c r="K52" s="76"/>
      <c r="L52" s="176"/>
      <c r="M52" s="176"/>
      <c r="N52" s="176"/>
      <c r="O52" s="176"/>
      <c r="P52" s="176"/>
      <c r="Q52" s="178"/>
      <c r="R52" s="11"/>
      <c r="U52" s="303">
        <v>45</v>
      </c>
      <c r="V52" s="303">
        <v>5.6</v>
      </c>
    </row>
    <row r="53" spans="1:25" s="339" customFormat="1" ht="22.5" customHeight="1" x14ac:dyDescent="0.25">
      <c r="A53" s="10"/>
      <c r="B53" s="495" t="s">
        <v>358</v>
      </c>
      <c r="C53" s="496"/>
      <c r="D53" s="496"/>
      <c r="E53" s="337" t="s">
        <v>24</v>
      </c>
      <c r="F53" s="496" t="str">
        <f>'ANA SAYFA'!F76:J76</f>
        <v>K202439698</v>
      </c>
      <c r="G53" s="496"/>
      <c r="H53" s="496"/>
      <c r="I53" s="497"/>
      <c r="J53" s="336"/>
      <c r="K53" s="182"/>
      <c r="L53" s="182"/>
      <c r="M53" s="182"/>
      <c r="N53" s="182"/>
      <c r="O53" s="182"/>
      <c r="P53" s="182"/>
      <c r="Q53" s="179"/>
      <c r="R53" s="11"/>
      <c r="U53" s="303">
        <v>50</v>
      </c>
      <c r="V53" s="303">
        <v>7.85</v>
      </c>
    </row>
    <row r="54" spans="1:25" ht="15.75" thickBot="1" x14ac:dyDescent="0.3">
      <c r="A54" s="15"/>
      <c r="B54" s="16"/>
      <c r="C54" s="16"/>
      <c r="D54" s="16"/>
      <c r="E54" s="16"/>
      <c r="F54" s="16"/>
      <c r="G54" s="16"/>
      <c r="H54" s="16"/>
      <c r="I54" s="16"/>
      <c r="J54" s="16"/>
      <c r="K54" s="16"/>
      <c r="L54" s="16"/>
      <c r="M54" s="16"/>
      <c r="N54" s="16"/>
      <c r="O54" s="16"/>
      <c r="P54" s="16"/>
      <c r="Q54" s="16"/>
      <c r="R54" s="17"/>
      <c r="U54" s="303">
        <v>55</v>
      </c>
      <c r="V54" s="303">
        <v>11.2</v>
      </c>
    </row>
    <row r="55" spans="1:25" x14ac:dyDescent="0.25">
      <c r="U55" s="303">
        <v>60</v>
      </c>
      <c r="V55" s="303">
        <v>15.85</v>
      </c>
    </row>
    <row r="56" spans="1:25" x14ac:dyDescent="0.25">
      <c r="U56" s="303">
        <v>65</v>
      </c>
      <c r="V56" s="303">
        <v>22.4</v>
      </c>
    </row>
    <row r="57" spans="1:25" x14ac:dyDescent="0.25">
      <c r="U57" s="303">
        <v>70</v>
      </c>
      <c r="V57" s="303">
        <v>31.75</v>
      </c>
    </row>
    <row r="58" spans="1:25" x14ac:dyDescent="0.25">
      <c r="U58" s="303">
        <v>75</v>
      </c>
      <c r="V58" s="303">
        <v>44.7</v>
      </c>
    </row>
  </sheetData>
  <mergeCells count="88">
    <mergeCell ref="Y24:AL28"/>
    <mergeCell ref="Y32:AL36"/>
    <mergeCell ref="E24:F24"/>
    <mergeCell ref="G24:H24"/>
    <mergeCell ref="I24:J24"/>
    <mergeCell ref="N28:O28"/>
    <mergeCell ref="M24:N24"/>
    <mergeCell ref="O24:P24"/>
    <mergeCell ref="K24:L24"/>
    <mergeCell ref="P28:Q28"/>
    <mergeCell ref="B2:F3"/>
    <mergeCell ref="B5:Q5"/>
    <mergeCell ref="B9:I9"/>
    <mergeCell ref="J9:Q9"/>
    <mergeCell ref="B11:C11"/>
    <mergeCell ref="D11:G11"/>
    <mergeCell ref="H11:I11"/>
    <mergeCell ref="J11:L11"/>
    <mergeCell ref="M11:N11"/>
    <mergeCell ref="O11:Q11"/>
    <mergeCell ref="B7:C7"/>
    <mergeCell ref="D7:F7"/>
    <mergeCell ref="G7:H7"/>
    <mergeCell ref="I7:K7"/>
    <mergeCell ref="L7:N7"/>
    <mergeCell ref="O7:Q7"/>
    <mergeCell ref="C24:D24"/>
    <mergeCell ref="B41:C41"/>
    <mergeCell ref="D41:Q45"/>
    <mergeCell ref="B46:Q49"/>
    <mergeCell ref="B25:Q25"/>
    <mergeCell ref="B27:C27"/>
    <mergeCell ref="D27:E27"/>
    <mergeCell ref="F27:G27"/>
    <mergeCell ref="N27:O27"/>
    <mergeCell ref="P27:Q27"/>
    <mergeCell ref="B16:G16"/>
    <mergeCell ref="H16:M16"/>
    <mergeCell ref="P17:Q17"/>
    <mergeCell ref="N18:O18"/>
    <mergeCell ref="P18:Q18"/>
    <mergeCell ref="D17:E17"/>
    <mergeCell ref="F17:G17"/>
    <mergeCell ref="N17:O17"/>
    <mergeCell ref="H17:I17"/>
    <mergeCell ref="J17:K17"/>
    <mergeCell ref="L17:M17"/>
    <mergeCell ref="V21:W21"/>
    <mergeCell ref="V23:W23"/>
    <mergeCell ref="V26:W26"/>
    <mergeCell ref="V28:W28"/>
    <mergeCell ref="G2:H2"/>
    <mergeCell ref="J2:Q2"/>
    <mergeCell ref="G3:H3"/>
    <mergeCell ref="J3:Q3"/>
    <mergeCell ref="V16:W16"/>
    <mergeCell ref="V18:W18"/>
    <mergeCell ref="N22:O22"/>
    <mergeCell ref="P22:Q22"/>
    <mergeCell ref="N23:O23"/>
    <mergeCell ref="P23:Q23"/>
    <mergeCell ref="B20:Q20"/>
    <mergeCell ref="B22:C22"/>
    <mergeCell ref="B13:M13"/>
    <mergeCell ref="N13:O13"/>
    <mergeCell ref="B26:G26"/>
    <mergeCell ref="H26:M26"/>
    <mergeCell ref="H27:I27"/>
    <mergeCell ref="J27:K27"/>
    <mergeCell ref="L27:M27"/>
    <mergeCell ref="D22:E22"/>
    <mergeCell ref="F22:G22"/>
    <mergeCell ref="H22:I22"/>
    <mergeCell ref="J22:K22"/>
    <mergeCell ref="L22:M22"/>
    <mergeCell ref="B21:G21"/>
    <mergeCell ref="H21:M21"/>
    <mergeCell ref="B15:Q15"/>
    <mergeCell ref="B17:C17"/>
    <mergeCell ref="J50:Q50"/>
    <mergeCell ref="F53:I53"/>
    <mergeCell ref="B53:D53"/>
    <mergeCell ref="B50:D50"/>
    <mergeCell ref="F50:I50"/>
    <mergeCell ref="B51:D51"/>
    <mergeCell ref="F51:I51"/>
    <mergeCell ref="B52:D52"/>
    <mergeCell ref="F52:I52"/>
  </mergeCells>
  <conditionalFormatting sqref="P18:Q18">
    <cfRule type="expression" dxfId="28" priority="19">
      <formula>$L$18&lt;$V$15</formula>
    </cfRule>
  </conditionalFormatting>
  <conditionalFormatting sqref="P23:Q23">
    <cfRule type="expression" dxfId="27" priority="2">
      <formula>$L$23&lt;$V$20</formula>
    </cfRule>
  </conditionalFormatting>
  <conditionalFormatting sqref="P28:Q28">
    <cfRule type="expression" dxfId="26" priority="1">
      <formula>$L$28&lt;$V$25</formula>
    </cfRule>
  </conditionalFormatting>
  <pageMargins left="0.55118110236220474" right="0.23622047244094488" top="0.3543307086614173" bottom="0.3543307086614173" header="0" footer="0"/>
  <pageSetup paperSize="9" scale="8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4"/>
  <sheetViews>
    <sheetView zoomScale="85" zoomScaleNormal="85" workbookViewId="0">
      <selection activeCell="N52" sqref="N52"/>
    </sheetView>
  </sheetViews>
  <sheetFormatPr defaultRowHeight="15" x14ac:dyDescent="0.25"/>
  <cols>
    <col min="1" max="1" width="3.5703125" customWidth="1"/>
    <col min="2" max="5" width="5.42578125" customWidth="1"/>
    <col min="6" max="6" width="6.5703125" customWidth="1"/>
    <col min="7" max="10" width="5.42578125" customWidth="1"/>
    <col min="11" max="17" width="6" customWidth="1"/>
    <col min="18" max="18" width="3.5703125" customWidth="1"/>
    <col min="19" max="19" width="10.5703125" customWidth="1"/>
    <col min="20" max="20" width="12.28515625" customWidth="1"/>
    <col min="21" max="21" width="9.7109375" customWidth="1"/>
    <col min="22" max="22" width="9" customWidth="1"/>
    <col min="23" max="23" width="11.7109375" customWidth="1"/>
    <col min="24" max="25" width="11" customWidth="1"/>
  </cols>
  <sheetData>
    <row r="1" spans="1:28" x14ac:dyDescent="0.25">
      <c r="A1" s="12"/>
      <c r="B1" s="13"/>
      <c r="C1" s="13"/>
      <c r="D1" s="13"/>
      <c r="E1" s="13"/>
      <c r="F1" s="13"/>
      <c r="G1" s="13"/>
      <c r="H1" s="13"/>
      <c r="I1" s="13"/>
      <c r="J1" s="13"/>
      <c r="K1" s="13"/>
      <c r="L1" s="13"/>
      <c r="M1" s="13"/>
      <c r="N1" s="13"/>
      <c r="O1" s="13"/>
      <c r="P1" s="13"/>
      <c r="Q1" s="13"/>
      <c r="R1" s="14"/>
    </row>
    <row r="2" spans="1:28" ht="29.25" customHeight="1" x14ac:dyDescent="0.25">
      <c r="A2" s="10"/>
      <c r="B2" s="554"/>
      <c r="C2" s="555"/>
      <c r="D2" s="555"/>
      <c r="E2" s="555"/>
      <c r="F2" s="556"/>
      <c r="G2" s="449" t="s">
        <v>22</v>
      </c>
      <c r="H2" s="450"/>
      <c r="I2" s="185" t="s">
        <v>24</v>
      </c>
      <c r="J2" s="486" t="str">
        <f>'ANA SAYFA'!K2</f>
        <v>BARMAK MAKİNA (ÇAĞLA ELK.)</v>
      </c>
      <c r="K2" s="486"/>
      <c r="L2" s="486"/>
      <c r="M2" s="486"/>
      <c r="N2" s="486"/>
      <c r="O2" s="486"/>
      <c r="P2" s="486"/>
      <c r="Q2" s="487"/>
      <c r="R2" s="11"/>
    </row>
    <row r="3" spans="1:28" ht="29.25" customHeight="1" x14ac:dyDescent="0.25">
      <c r="A3" s="10"/>
      <c r="B3" s="557"/>
      <c r="C3" s="558"/>
      <c r="D3" s="558"/>
      <c r="E3" s="558"/>
      <c r="F3" s="559"/>
      <c r="G3" s="484" t="s">
        <v>23</v>
      </c>
      <c r="H3" s="485"/>
      <c r="I3" s="184" t="s">
        <v>24</v>
      </c>
      <c r="J3" s="488" t="str">
        <f>'ANA SAYFA'!K5</f>
        <v>TRAFO 1</v>
      </c>
      <c r="K3" s="488"/>
      <c r="L3" s="488"/>
      <c r="M3" s="488"/>
      <c r="N3" s="488"/>
      <c r="O3" s="488"/>
      <c r="P3" s="488"/>
      <c r="Q3" s="489"/>
      <c r="R3" s="11"/>
    </row>
    <row r="4" spans="1:28" x14ac:dyDescent="0.25">
      <c r="A4" s="10"/>
      <c r="B4" s="3"/>
      <c r="C4" s="4"/>
      <c r="D4" s="4"/>
      <c r="E4" s="4"/>
      <c r="F4" s="4"/>
      <c r="G4" s="4"/>
      <c r="H4" s="4"/>
      <c r="I4" s="4"/>
      <c r="J4" s="4"/>
      <c r="K4" s="4"/>
      <c r="L4" s="4"/>
      <c r="M4" s="4"/>
      <c r="N4" s="4"/>
      <c r="O4" s="4"/>
      <c r="P4" s="4"/>
      <c r="Q4" s="5"/>
      <c r="R4" s="11"/>
    </row>
    <row r="5" spans="1:28" ht="18.75" x14ac:dyDescent="0.25">
      <c r="A5" s="10"/>
      <c r="B5" s="403" t="s">
        <v>343</v>
      </c>
      <c r="C5" s="404"/>
      <c r="D5" s="404"/>
      <c r="E5" s="404"/>
      <c r="F5" s="404"/>
      <c r="G5" s="404"/>
      <c r="H5" s="404"/>
      <c r="I5" s="404"/>
      <c r="J5" s="404"/>
      <c r="K5" s="404"/>
      <c r="L5" s="404"/>
      <c r="M5" s="404"/>
      <c r="N5" s="404"/>
      <c r="O5" s="404"/>
      <c r="P5" s="404"/>
      <c r="Q5" s="405"/>
      <c r="R5" s="11"/>
    </row>
    <row r="6" spans="1:28" x14ac:dyDescent="0.25">
      <c r="A6" s="10"/>
      <c r="B6" s="3"/>
      <c r="C6" s="4"/>
      <c r="D6" s="4"/>
      <c r="E6" s="4"/>
      <c r="F6" s="4"/>
      <c r="G6" s="4"/>
      <c r="H6" s="4"/>
      <c r="I6" s="4"/>
      <c r="J6" s="4"/>
      <c r="K6" s="4"/>
      <c r="L6" s="4"/>
      <c r="M6" s="4"/>
      <c r="N6" s="4"/>
      <c r="O6" s="4"/>
      <c r="P6" s="4"/>
      <c r="Q6" s="5"/>
      <c r="R6" s="11"/>
    </row>
    <row r="7" spans="1:28" x14ac:dyDescent="0.25">
      <c r="A7" s="10"/>
      <c r="B7" s="504" t="s">
        <v>1</v>
      </c>
      <c r="C7" s="504"/>
      <c r="D7" s="504" t="str">
        <f>'OG SARGI MEVCUT KADEME'!D7:F7</f>
        <v>BEST</v>
      </c>
      <c r="E7" s="504"/>
      <c r="F7" s="504"/>
      <c r="G7" s="527" t="s">
        <v>2</v>
      </c>
      <c r="H7" s="527"/>
      <c r="I7" s="527" t="str">
        <f>'OG SARGI MEVCUT KADEME'!I7:K7</f>
        <v>06/2013</v>
      </c>
      <c r="J7" s="504"/>
      <c r="K7" s="504"/>
      <c r="L7" s="504" t="s">
        <v>21</v>
      </c>
      <c r="M7" s="504"/>
      <c r="N7" s="504"/>
      <c r="O7" s="527">
        <f>'OG SARGI MEVCUT KADEME'!O7:Q7</f>
        <v>1330</v>
      </c>
      <c r="P7" s="504"/>
      <c r="Q7" s="504"/>
      <c r="R7" s="11"/>
    </row>
    <row r="8" spans="1:28" x14ac:dyDescent="0.25">
      <c r="A8" s="10"/>
      <c r="B8" s="3"/>
      <c r="C8" s="4"/>
      <c r="D8" s="4"/>
      <c r="E8" s="4"/>
      <c r="F8" s="4"/>
      <c r="G8" s="4"/>
      <c r="H8" s="4"/>
      <c r="I8" s="4"/>
      <c r="J8" s="4"/>
      <c r="K8" s="4"/>
      <c r="L8" s="4"/>
      <c r="M8" s="4"/>
      <c r="N8" s="4"/>
      <c r="O8" s="4"/>
      <c r="P8" s="4"/>
      <c r="Q8" s="5"/>
      <c r="R8" s="11"/>
    </row>
    <row r="9" spans="1:28" ht="18.75" x14ac:dyDescent="0.25">
      <c r="A9" s="10"/>
      <c r="B9" s="469" t="s">
        <v>3</v>
      </c>
      <c r="C9" s="470"/>
      <c r="D9" s="470"/>
      <c r="E9" s="470"/>
      <c r="F9" s="470"/>
      <c r="G9" s="470"/>
      <c r="H9" s="470"/>
      <c r="I9" s="470"/>
      <c r="J9" s="471">
        <f>'ANA SAYFA'!F72</f>
        <v>45310</v>
      </c>
      <c r="K9" s="471"/>
      <c r="L9" s="471"/>
      <c r="M9" s="471"/>
      <c r="N9" s="471"/>
      <c r="O9" s="471"/>
      <c r="P9" s="471"/>
      <c r="Q9" s="472"/>
      <c r="R9" s="11"/>
    </row>
    <row r="10" spans="1:28" x14ac:dyDescent="0.25">
      <c r="A10" s="10"/>
      <c r="B10" s="3"/>
      <c r="C10" s="4"/>
      <c r="D10" s="4"/>
      <c r="E10" s="4"/>
      <c r="F10" s="4"/>
      <c r="G10" s="4"/>
      <c r="H10" s="4"/>
      <c r="I10" s="4"/>
      <c r="J10" s="4"/>
      <c r="K10" s="4"/>
      <c r="L10" s="4"/>
      <c r="M10" s="4"/>
      <c r="N10" s="4"/>
      <c r="O10" s="4"/>
      <c r="P10" s="4"/>
      <c r="Q10" s="5"/>
      <c r="R10" s="11"/>
    </row>
    <row r="11" spans="1:28" x14ac:dyDescent="0.25">
      <c r="A11" s="10"/>
      <c r="B11" s="525" t="s">
        <v>4</v>
      </c>
      <c r="C11" s="525"/>
      <c r="D11" s="526" t="str">
        <f>'OG SARGI MEVCUT KADEME'!D11</f>
        <v>Hilmi GÜL</v>
      </c>
      <c r="E11" s="526"/>
      <c r="F11" s="526"/>
      <c r="G11" s="526"/>
      <c r="H11" s="525" t="s">
        <v>5</v>
      </c>
      <c r="I11" s="525"/>
      <c r="J11" s="504" t="s">
        <v>6</v>
      </c>
      <c r="K11" s="504"/>
      <c r="L11" s="504"/>
      <c r="M11" s="504" t="s">
        <v>7</v>
      </c>
      <c r="N11" s="504"/>
      <c r="O11" s="478" t="s">
        <v>8</v>
      </c>
      <c r="P11" s="479"/>
      <c r="Q11" s="480"/>
      <c r="R11" s="11"/>
    </row>
    <row r="12" spans="1:28" x14ac:dyDescent="0.25">
      <c r="A12" s="10"/>
      <c r="B12" s="3"/>
      <c r="C12" s="4"/>
      <c r="D12" s="4"/>
      <c r="E12" s="4"/>
      <c r="F12" s="4"/>
      <c r="G12" s="4"/>
      <c r="H12" s="4"/>
      <c r="I12" s="4"/>
      <c r="J12" s="4"/>
      <c r="K12" s="4"/>
      <c r="L12" s="4"/>
      <c r="M12" s="4"/>
      <c r="N12" s="4"/>
      <c r="O12" s="4"/>
      <c r="P12" s="4"/>
      <c r="Q12" s="5"/>
      <c r="R12" s="11"/>
    </row>
    <row r="13" spans="1:28" ht="18.75" x14ac:dyDescent="0.25">
      <c r="A13" s="10"/>
      <c r="B13" s="524" t="s">
        <v>9</v>
      </c>
      <c r="C13" s="524"/>
      <c r="D13" s="524"/>
      <c r="E13" s="524"/>
      <c r="F13" s="524"/>
      <c r="G13" s="524"/>
      <c r="H13" s="524"/>
      <c r="I13" s="524"/>
      <c r="J13" s="524"/>
      <c r="K13" s="524"/>
      <c r="L13" s="524"/>
      <c r="M13" s="524"/>
      <c r="N13" s="524"/>
      <c r="O13" s="524"/>
      <c r="P13" s="524"/>
      <c r="Q13" s="524"/>
      <c r="R13" s="11"/>
      <c r="AB13" t="s">
        <v>67</v>
      </c>
    </row>
    <row r="14" spans="1:28" x14ac:dyDescent="0.25">
      <c r="A14" s="10"/>
      <c r="B14" s="3"/>
      <c r="C14" s="4"/>
      <c r="D14" s="4"/>
      <c r="E14" s="4"/>
      <c r="F14" s="4"/>
      <c r="G14" s="4"/>
      <c r="H14" s="4"/>
      <c r="I14" s="4"/>
      <c r="J14" s="4"/>
      <c r="K14" s="4"/>
      <c r="L14" s="4"/>
      <c r="M14" s="4"/>
      <c r="N14" s="4"/>
      <c r="O14" s="4"/>
      <c r="P14" s="4"/>
      <c r="Q14" s="5"/>
      <c r="R14" s="11"/>
    </row>
    <row r="15" spans="1:28" ht="18.75" x14ac:dyDescent="0.25">
      <c r="A15" s="10"/>
      <c r="B15" s="492" t="s">
        <v>50</v>
      </c>
      <c r="C15" s="493"/>
      <c r="D15" s="493"/>
      <c r="E15" s="493"/>
      <c r="F15" s="493"/>
      <c r="G15" s="493"/>
      <c r="H15" s="493"/>
      <c r="I15" s="493"/>
      <c r="J15" s="165" t="s">
        <v>193</v>
      </c>
      <c r="K15" s="165">
        <f>'ANA SAYFA'!S11</f>
        <v>3</v>
      </c>
      <c r="L15" s="165"/>
      <c r="M15" s="165"/>
      <c r="N15" s="493" t="s">
        <v>51</v>
      </c>
      <c r="O15" s="493"/>
      <c r="P15" s="493"/>
      <c r="Q15" s="494"/>
      <c r="R15" s="11"/>
      <c r="T15">
        <f>'ANA SAYFA'!R53</f>
        <v>230.9494</v>
      </c>
      <c r="U15" s="188" t="s">
        <v>25</v>
      </c>
      <c r="V15" s="36">
        <f>O26</f>
        <v>0.104180656811592</v>
      </c>
      <c r="X15" s="36"/>
    </row>
    <row r="16" spans="1:28" x14ac:dyDescent="0.25">
      <c r="A16" s="10"/>
      <c r="B16" s="3"/>
      <c r="C16" s="4"/>
      <c r="D16" s="4"/>
      <c r="E16" s="4"/>
      <c r="F16" s="4"/>
      <c r="G16" s="4"/>
      <c r="H16" s="4"/>
      <c r="I16" s="4"/>
      <c r="J16" s="4"/>
      <c r="K16" s="4"/>
      <c r="L16" s="4"/>
      <c r="M16" s="4"/>
      <c r="N16" s="4"/>
      <c r="O16" s="4"/>
      <c r="P16" s="4"/>
      <c r="Q16" s="5"/>
      <c r="R16" s="11"/>
      <c r="U16" s="188" t="s">
        <v>26</v>
      </c>
      <c r="V16" s="36">
        <f>O27</f>
        <v>0.2688576202898591</v>
      </c>
    </row>
    <row r="17" spans="1:29" x14ac:dyDescent="0.25">
      <c r="A17" s="10"/>
      <c r="B17" s="498" t="s">
        <v>15</v>
      </c>
      <c r="C17" s="499"/>
      <c r="D17" s="499"/>
      <c r="E17" s="499"/>
      <c r="F17" s="419"/>
      <c r="G17" s="419"/>
      <c r="H17" s="419"/>
      <c r="I17" s="419"/>
      <c r="J17" s="499" t="s">
        <v>52</v>
      </c>
      <c r="K17" s="499"/>
      <c r="L17" s="499"/>
      <c r="M17" s="499"/>
      <c r="N17" s="419"/>
      <c r="O17" s="419"/>
      <c r="P17" s="419"/>
      <c r="Q17" s="420"/>
      <c r="R17" s="11"/>
      <c r="U17" s="188" t="s">
        <v>27</v>
      </c>
      <c r="V17" s="36">
        <f>O28</f>
        <v>0.13497391014493917</v>
      </c>
      <c r="X17" s="37"/>
    </row>
    <row r="18" spans="1:29" x14ac:dyDescent="0.25">
      <c r="A18" s="10"/>
      <c r="B18" s="426" t="s">
        <v>56</v>
      </c>
      <c r="C18" s="419"/>
      <c r="D18" s="419"/>
      <c r="E18" s="419"/>
      <c r="F18" s="567">
        <f>'ANA SAYFA'!O53</f>
        <v>34500</v>
      </c>
      <c r="G18" s="567"/>
      <c r="H18" s="4" t="s">
        <v>64</v>
      </c>
      <c r="I18" s="4"/>
      <c r="J18" s="419" t="s">
        <v>53</v>
      </c>
      <c r="K18" s="419"/>
      <c r="L18" s="419"/>
      <c r="M18" s="419"/>
      <c r="N18" s="568" t="s">
        <v>190</v>
      </c>
      <c r="O18" s="568"/>
      <c r="P18" s="568"/>
      <c r="Q18" s="569"/>
      <c r="R18" s="11"/>
      <c r="U18" t="s">
        <v>201</v>
      </c>
      <c r="V18">
        <v>0.5</v>
      </c>
    </row>
    <row r="19" spans="1:29" ht="15.75" x14ac:dyDescent="0.25">
      <c r="A19" s="10"/>
      <c r="B19" s="426" t="s">
        <v>57</v>
      </c>
      <c r="C19" s="419"/>
      <c r="D19" s="419"/>
      <c r="E19" s="419"/>
      <c r="F19" s="570">
        <v>231</v>
      </c>
      <c r="G19" s="570"/>
      <c r="H19" s="4" t="s">
        <v>64</v>
      </c>
      <c r="I19" s="4"/>
      <c r="J19" s="419" t="s">
        <v>54</v>
      </c>
      <c r="K19" s="419"/>
      <c r="L19" s="419"/>
      <c r="M19" s="419"/>
      <c r="N19" s="419" t="s">
        <v>55</v>
      </c>
      <c r="O19" s="419"/>
      <c r="P19" s="419"/>
      <c r="Q19" s="420"/>
      <c r="R19" s="11"/>
      <c r="V19" s="131"/>
      <c r="W19" s="128">
        <v>0.5</v>
      </c>
      <c r="X19" s="128">
        <v>-0.5</v>
      </c>
      <c r="Y19" s="128"/>
      <c r="Z19" s="128"/>
      <c r="AA19" s="128"/>
      <c r="AB19" s="128"/>
      <c r="AC19" s="128"/>
    </row>
    <row r="20" spans="1:29" ht="15.75" x14ac:dyDescent="0.25">
      <c r="A20" s="10"/>
      <c r="B20" s="426" t="s">
        <v>58</v>
      </c>
      <c r="C20" s="419"/>
      <c r="D20" s="419"/>
      <c r="E20" s="419"/>
      <c r="F20" s="571">
        <f>F18/T15</f>
        <v>149.38337142248474</v>
      </c>
      <c r="G20" s="571"/>
      <c r="H20" s="4"/>
      <c r="I20" s="4"/>
      <c r="J20" s="419"/>
      <c r="K20" s="419"/>
      <c r="L20" s="419"/>
      <c r="M20" s="419"/>
      <c r="N20" s="419"/>
      <c r="O20" s="419"/>
      <c r="P20" s="419"/>
      <c r="Q20" s="420"/>
      <c r="R20" s="11"/>
      <c r="V20" s="131"/>
      <c r="W20" s="128"/>
      <c r="X20" s="128"/>
      <c r="Y20" s="128"/>
      <c r="Z20" s="128"/>
      <c r="AA20" s="128"/>
      <c r="AB20" s="128"/>
      <c r="AC20" s="128"/>
    </row>
    <row r="21" spans="1:29" ht="15.75" x14ac:dyDescent="0.25">
      <c r="A21" s="10"/>
      <c r="B21" s="426"/>
      <c r="C21" s="419"/>
      <c r="D21" s="419"/>
      <c r="E21" s="419"/>
      <c r="F21" s="419"/>
      <c r="G21" s="419"/>
      <c r="H21" s="419"/>
      <c r="I21" s="419"/>
      <c r="J21" s="419"/>
      <c r="K21" s="419"/>
      <c r="L21" s="419"/>
      <c r="M21" s="419"/>
      <c r="N21" s="419"/>
      <c r="O21" s="419"/>
      <c r="P21" s="419"/>
      <c r="Q21" s="420"/>
      <c r="R21" s="11"/>
      <c r="V21" s="131"/>
      <c r="W21" s="128"/>
      <c r="X21" s="128"/>
      <c r="Y21" s="128"/>
      <c r="Z21" s="128"/>
      <c r="AA21" s="128"/>
      <c r="AB21" s="128"/>
      <c r="AC21" s="128"/>
    </row>
    <row r="22" spans="1:29" ht="18.75" x14ac:dyDescent="0.25">
      <c r="A22" s="10"/>
      <c r="B22" s="572" t="s">
        <v>9</v>
      </c>
      <c r="C22" s="573"/>
      <c r="D22" s="573"/>
      <c r="E22" s="573"/>
      <c r="F22" s="573"/>
      <c r="G22" s="573"/>
      <c r="H22" s="573"/>
      <c r="I22" s="573"/>
      <c r="J22" s="573"/>
      <c r="K22" s="573"/>
      <c r="L22" s="573"/>
      <c r="M22" s="573"/>
      <c r="N22" s="573"/>
      <c r="O22" s="573"/>
      <c r="P22" s="573"/>
      <c r="Q22" s="574"/>
      <c r="R22" s="11"/>
      <c r="V22" s="131"/>
      <c r="W22" s="128"/>
      <c r="X22" s="128"/>
      <c r="Y22" s="128"/>
      <c r="Z22" s="128"/>
      <c r="AA22" s="128"/>
      <c r="AB22" s="128"/>
      <c r="AC22" s="128"/>
    </row>
    <row r="23" spans="1:29" x14ac:dyDescent="0.25">
      <c r="A23" s="35"/>
      <c r="Q23" s="9"/>
      <c r="R23" s="11"/>
      <c r="V23" s="131"/>
      <c r="W23" s="1"/>
      <c r="X23" s="1"/>
      <c r="Y23" s="1"/>
      <c r="Z23" s="1"/>
      <c r="AA23" s="1"/>
      <c r="AB23" s="1"/>
      <c r="AC23" s="1"/>
    </row>
    <row r="24" spans="1:29" ht="15.75" x14ac:dyDescent="0.25">
      <c r="A24" s="10"/>
      <c r="B24" s="18"/>
      <c r="C24" s="19"/>
      <c r="D24" s="19"/>
      <c r="E24" s="19"/>
      <c r="F24" s="19"/>
      <c r="G24" s="19"/>
      <c r="H24" s="19"/>
      <c r="I24" s="19"/>
      <c r="J24" s="19"/>
      <c r="K24" s="19"/>
      <c r="L24" s="19"/>
      <c r="M24" s="19"/>
      <c r="N24" s="19"/>
      <c r="O24" s="19"/>
      <c r="P24" s="19"/>
      <c r="Q24" s="20"/>
      <c r="R24" s="11"/>
      <c r="V24" s="131"/>
      <c r="W24" s="128"/>
      <c r="X24" s="128"/>
      <c r="Y24" s="128"/>
      <c r="Z24" s="128"/>
      <c r="AA24" s="128"/>
      <c r="AB24" s="128"/>
      <c r="AC24" s="128"/>
    </row>
    <row r="25" spans="1:29" x14ac:dyDescent="0.25">
      <c r="A25" s="10"/>
      <c r="B25" s="39"/>
      <c r="C25" s="397" t="s">
        <v>59</v>
      </c>
      <c r="D25" s="399"/>
      <c r="E25" s="564" t="s">
        <v>65</v>
      </c>
      <c r="F25" s="566"/>
      <c r="G25" s="564" t="s">
        <v>66</v>
      </c>
      <c r="H25" s="566"/>
      <c r="I25" s="564" t="s">
        <v>60</v>
      </c>
      <c r="J25" s="566"/>
      <c r="K25" s="575" t="s">
        <v>63</v>
      </c>
      <c r="L25" s="566"/>
      <c r="M25" s="564" t="s">
        <v>61</v>
      </c>
      <c r="N25" s="566"/>
      <c r="O25" s="564" t="s">
        <v>62</v>
      </c>
      <c r="P25" s="565"/>
      <c r="Q25" s="566"/>
      <c r="R25" s="11"/>
      <c r="V25" s="577" t="s">
        <v>373</v>
      </c>
      <c r="W25" s="577"/>
      <c r="X25" s="577"/>
      <c r="Y25" s="577"/>
      <c r="Z25" s="577"/>
      <c r="AA25" s="577"/>
      <c r="AB25" s="577"/>
      <c r="AC25" s="577"/>
    </row>
    <row r="26" spans="1:29" ht="15.75" x14ac:dyDescent="0.25">
      <c r="A26" s="10"/>
      <c r="B26" s="39" t="s">
        <v>25</v>
      </c>
      <c r="C26" s="582">
        <v>500</v>
      </c>
      <c r="D26" s="582"/>
      <c r="E26" s="505">
        <v>500</v>
      </c>
      <c r="F26" s="505"/>
      <c r="G26" s="576">
        <f>I26/M26</f>
        <v>1.0030828078293958E-2</v>
      </c>
      <c r="H26" s="576"/>
      <c r="I26" s="505">
        <v>1.5</v>
      </c>
      <c r="J26" s="505"/>
      <c r="K26" s="505" t="s">
        <v>69</v>
      </c>
      <c r="L26" s="505"/>
      <c r="M26" s="580">
        <f>'ANA SAYFA'!AF51</f>
        <v>149.53899999999999</v>
      </c>
      <c r="N26" s="581"/>
      <c r="O26" s="561">
        <f>(M26-F20)/F20*100</f>
        <v>0.104180656811592</v>
      </c>
      <c r="P26" s="562"/>
      <c r="Q26" s="563"/>
      <c r="R26" s="11"/>
      <c r="V26" s="131"/>
      <c r="W26" s="128"/>
      <c r="X26" s="128"/>
      <c r="Y26" s="128"/>
      <c r="Z26" s="128"/>
      <c r="AA26" s="128"/>
      <c r="AB26" s="128"/>
      <c r="AC26" s="128"/>
    </row>
    <row r="27" spans="1:29" ht="15.75" x14ac:dyDescent="0.25">
      <c r="A27" s="10"/>
      <c r="B27" s="39" t="s">
        <v>26</v>
      </c>
      <c r="C27" s="582">
        <v>500</v>
      </c>
      <c r="D27" s="582"/>
      <c r="E27" s="505">
        <v>500</v>
      </c>
      <c r="F27" s="505"/>
      <c r="G27" s="576">
        <f>I27/M27</f>
        <v>1.0014353907267083E-2</v>
      </c>
      <c r="H27" s="576"/>
      <c r="I27" s="505">
        <v>1.5</v>
      </c>
      <c r="J27" s="505"/>
      <c r="K27" s="505" t="s">
        <v>69</v>
      </c>
      <c r="L27" s="505"/>
      <c r="M27" s="580">
        <f>'ANA SAYFA'!AI51</f>
        <v>149.785</v>
      </c>
      <c r="N27" s="581"/>
      <c r="O27" s="561">
        <f>(M27-F20)/F20*100</f>
        <v>0.2688576202898591</v>
      </c>
      <c r="P27" s="562"/>
      <c r="Q27" s="563"/>
      <c r="R27" s="11"/>
      <c r="V27" s="577" t="s">
        <v>140</v>
      </c>
      <c r="W27" s="577"/>
      <c r="X27" s="577"/>
      <c r="Y27" s="577"/>
      <c r="Z27" s="577"/>
      <c r="AA27" s="577"/>
      <c r="AB27" s="577"/>
      <c r="AC27" s="577"/>
    </row>
    <row r="28" spans="1:29" ht="15.75" x14ac:dyDescent="0.25">
      <c r="A28" s="10"/>
      <c r="B28" s="39" t="s">
        <v>27</v>
      </c>
      <c r="C28" s="582">
        <v>500</v>
      </c>
      <c r="D28" s="582"/>
      <c r="E28" s="505">
        <v>500</v>
      </c>
      <c r="F28" s="505"/>
      <c r="G28" s="576">
        <f>I28/M28</f>
        <v>1.0027743423471604E-2</v>
      </c>
      <c r="H28" s="576"/>
      <c r="I28" s="505">
        <v>1.5</v>
      </c>
      <c r="J28" s="505"/>
      <c r="K28" s="505" t="s">
        <v>69</v>
      </c>
      <c r="L28" s="505"/>
      <c r="M28" s="580">
        <f>'ANA SAYFA'!AL51</f>
        <v>149.58500000000001</v>
      </c>
      <c r="N28" s="581"/>
      <c r="O28" s="561">
        <f>(M28-F20)/F20*100</f>
        <v>0.13497391014493917</v>
      </c>
      <c r="P28" s="562"/>
      <c r="Q28" s="563"/>
      <c r="R28" s="11"/>
      <c r="V28" s="131"/>
      <c r="W28" s="1"/>
      <c r="X28" s="1"/>
      <c r="Y28" s="1"/>
      <c r="Z28" s="1"/>
      <c r="AA28" s="1"/>
      <c r="AB28" s="1"/>
      <c r="AC28" s="1"/>
    </row>
    <row r="29" spans="1:29" x14ac:dyDescent="0.25">
      <c r="A29" s="35"/>
      <c r="Q29" s="9"/>
      <c r="R29" s="11"/>
      <c r="V29" s="577" t="s">
        <v>374</v>
      </c>
      <c r="W29" s="577"/>
      <c r="X29" s="577"/>
      <c r="Y29" s="577"/>
      <c r="Z29" s="577"/>
      <c r="AA29" s="577"/>
      <c r="AB29" s="577"/>
      <c r="AC29" s="577"/>
    </row>
    <row r="30" spans="1:29" ht="15.75" x14ac:dyDescent="0.25">
      <c r="A30" s="35"/>
      <c r="Q30" s="9"/>
      <c r="R30" s="11"/>
      <c r="V30" s="131"/>
      <c r="W30" s="128"/>
      <c r="X30" s="128"/>
      <c r="Y30" s="128"/>
      <c r="Z30" s="128"/>
      <c r="AA30" s="128"/>
      <c r="AB30" s="128"/>
      <c r="AC30" s="128"/>
    </row>
    <row r="31" spans="1:29" x14ac:dyDescent="0.25">
      <c r="A31" s="35"/>
      <c r="Q31" s="9"/>
      <c r="R31" s="11"/>
      <c r="V31" s="577" t="s">
        <v>141</v>
      </c>
      <c r="W31" s="577"/>
      <c r="X31" s="577"/>
      <c r="Y31" s="577"/>
      <c r="Z31" s="577"/>
      <c r="AA31" s="577"/>
      <c r="AB31" s="577"/>
      <c r="AC31" s="577"/>
    </row>
    <row r="32" spans="1:29" ht="15.75" x14ac:dyDescent="0.25">
      <c r="A32" s="10"/>
      <c r="B32" s="3"/>
      <c r="C32" s="4"/>
      <c r="D32" s="4"/>
      <c r="E32" s="4"/>
      <c r="F32" s="4"/>
      <c r="G32" s="4"/>
      <c r="H32" s="4"/>
      <c r="I32" s="4"/>
      <c r="J32" s="4"/>
      <c r="K32" s="4"/>
      <c r="L32" s="4"/>
      <c r="M32" s="4"/>
      <c r="N32" s="4"/>
      <c r="O32" s="4"/>
      <c r="P32" s="4"/>
      <c r="Q32" s="5"/>
      <c r="R32" s="11"/>
      <c r="V32" s="131"/>
      <c r="W32" s="128"/>
      <c r="X32" s="128"/>
      <c r="Y32" s="128"/>
      <c r="Z32" s="128"/>
      <c r="AA32" s="128"/>
      <c r="AB32" s="128"/>
      <c r="AC32" s="128"/>
    </row>
    <row r="33" spans="1:29" s="136" customFormat="1" ht="15.75" x14ac:dyDescent="0.25">
      <c r="A33" s="10"/>
      <c r="B33" s="3"/>
      <c r="C33" s="4"/>
      <c r="D33" s="4"/>
      <c r="E33" s="4"/>
      <c r="F33" s="4"/>
      <c r="G33" s="4"/>
      <c r="H33" s="4"/>
      <c r="I33" s="4"/>
      <c r="J33" s="4"/>
      <c r="K33" s="4"/>
      <c r="L33" s="4"/>
      <c r="M33" s="4"/>
      <c r="N33" s="4"/>
      <c r="O33" s="4"/>
      <c r="P33" s="4"/>
      <c r="Q33" s="5"/>
      <c r="R33" s="11"/>
      <c r="W33" s="128"/>
      <c r="X33" s="128"/>
      <c r="Y33" s="128"/>
      <c r="Z33" s="128"/>
      <c r="AA33" s="128"/>
      <c r="AB33" s="128"/>
      <c r="AC33" s="128"/>
    </row>
    <row r="34" spans="1:29" x14ac:dyDescent="0.25">
      <c r="A34" s="10"/>
      <c r="B34" s="3"/>
      <c r="C34" s="4"/>
      <c r="D34" s="4"/>
      <c r="E34" s="4"/>
      <c r="F34" s="4"/>
      <c r="G34" s="4"/>
      <c r="H34" s="4"/>
      <c r="I34" s="4"/>
      <c r="J34" s="4"/>
      <c r="K34" s="4"/>
      <c r="L34" s="4"/>
      <c r="M34" s="4"/>
      <c r="N34" s="4"/>
      <c r="O34" s="4"/>
      <c r="P34" s="4"/>
      <c r="Q34" s="5"/>
      <c r="R34" s="11"/>
      <c r="V34" s="577" t="s">
        <v>375</v>
      </c>
      <c r="W34" s="577"/>
      <c r="X34" s="577"/>
      <c r="Y34" s="577"/>
      <c r="Z34" s="577"/>
      <c r="AA34" s="577"/>
      <c r="AB34" s="577"/>
      <c r="AC34" s="577"/>
    </row>
    <row r="35" spans="1:29" x14ac:dyDescent="0.25">
      <c r="A35" s="10"/>
      <c r="B35" s="3"/>
      <c r="C35" s="4"/>
      <c r="D35" s="4"/>
      <c r="E35" s="4"/>
      <c r="F35" s="24"/>
      <c r="G35" s="4"/>
      <c r="H35" s="4"/>
      <c r="I35" s="4"/>
      <c r="J35" s="4"/>
      <c r="K35" s="4"/>
      <c r="L35" s="4"/>
      <c r="M35" s="4"/>
      <c r="N35" s="4"/>
      <c r="O35" s="4"/>
      <c r="P35" s="4"/>
      <c r="Q35" s="5"/>
      <c r="R35" s="11"/>
      <c r="V35" s="131"/>
      <c r="W35" s="131"/>
      <c r="X35" s="131"/>
      <c r="Y35" s="131"/>
      <c r="Z35" s="131"/>
      <c r="AA35" s="131"/>
      <c r="AB35" s="131"/>
      <c r="AC35" s="131"/>
    </row>
    <row r="36" spans="1:29" x14ac:dyDescent="0.25">
      <c r="A36" s="10"/>
      <c r="B36" s="3"/>
      <c r="C36" s="4"/>
      <c r="D36" s="4"/>
      <c r="E36" s="4"/>
      <c r="F36" s="4"/>
      <c r="G36" s="4"/>
      <c r="H36" s="4"/>
      <c r="I36" s="4"/>
      <c r="J36" s="4"/>
      <c r="K36" s="4"/>
      <c r="L36" s="4"/>
      <c r="M36" s="4"/>
      <c r="N36" s="4"/>
      <c r="O36" s="4"/>
      <c r="P36" s="4"/>
      <c r="Q36" s="5"/>
      <c r="R36" s="11"/>
      <c r="V36" s="577" t="s">
        <v>142</v>
      </c>
      <c r="W36" s="577"/>
      <c r="X36" s="577"/>
      <c r="Y36" s="577"/>
      <c r="Z36" s="577"/>
      <c r="AA36" s="577"/>
      <c r="AB36" s="577"/>
      <c r="AC36" s="577"/>
    </row>
    <row r="37" spans="1:29" x14ac:dyDescent="0.25">
      <c r="A37" s="10"/>
      <c r="B37" s="3"/>
      <c r="C37" s="4"/>
      <c r="D37" s="4"/>
      <c r="E37" s="4"/>
      <c r="F37" s="4"/>
      <c r="G37" s="4"/>
      <c r="H37" s="4"/>
      <c r="I37" s="4"/>
      <c r="J37" s="4"/>
      <c r="K37" s="4"/>
      <c r="L37" s="4"/>
      <c r="M37" s="4"/>
      <c r="N37" s="4"/>
      <c r="O37" s="4"/>
      <c r="P37" s="4"/>
      <c r="Q37" s="5"/>
      <c r="R37" s="11"/>
    </row>
    <row r="38" spans="1:29" s="144" customFormat="1" x14ac:dyDescent="0.25">
      <c r="A38" s="10"/>
      <c r="B38" s="3"/>
      <c r="C38" s="4"/>
      <c r="D38" s="4"/>
      <c r="E38" s="4"/>
      <c r="F38" s="4"/>
      <c r="G38" s="4"/>
      <c r="H38" s="4"/>
      <c r="I38" s="4"/>
      <c r="J38" s="4"/>
      <c r="K38" s="4"/>
      <c r="L38" s="4"/>
      <c r="M38" s="4"/>
      <c r="N38" s="4"/>
      <c r="O38" s="4"/>
      <c r="P38" s="4"/>
      <c r="Q38" s="5"/>
      <c r="R38" s="11"/>
    </row>
    <row r="39" spans="1:29" s="158" customFormat="1" x14ac:dyDescent="0.25">
      <c r="A39" s="10"/>
      <c r="B39" s="3"/>
      <c r="C39" s="4"/>
      <c r="D39" s="4"/>
      <c r="E39" s="4"/>
      <c r="F39" s="4"/>
      <c r="G39" s="4"/>
      <c r="H39" s="4"/>
      <c r="I39" s="4"/>
      <c r="J39" s="4"/>
      <c r="K39" s="4"/>
      <c r="L39" s="4"/>
      <c r="M39" s="4"/>
      <c r="N39" s="4"/>
      <c r="O39" s="4"/>
      <c r="P39" s="4"/>
      <c r="Q39" s="5"/>
      <c r="R39" s="11"/>
    </row>
    <row r="40" spans="1:29" s="158" customFormat="1" x14ac:dyDescent="0.25">
      <c r="A40" s="10"/>
      <c r="B40" s="3"/>
      <c r="C40" s="4"/>
      <c r="D40" s="4"/>
      <c r="E40" s="4"/>
      <c r="F40" s="4"/>
      <c r="G40" s="4"/>
      <c r="H40" s="4"/>
      <c r="I40" s="4"/>
      <c r="J40" s="4"/>
      <c r="K40" s="4"/>
      <c r="L40" s="4"/>
      <c r="M40" s="4"/>
      <c r="N40" s="4"/>
      <c r="O40" s="4"/>
      <c r="P40" s="4"/>
      <c r="Q40" s="5"/>
      <c r="R40" s="11"/>
    </row>
    <row r="41" spans="1:29" s="144" customFormat="1" x14ac:dyDescent="0.25">
      <c r="A41" s="10"/>
      <c r="B41" s="3"/>
      <c r="C41" s="4"/>
      <c r="D41" s="4"/>
      <c r="E41" s="4"/>
      <c r="F41" s="4"/>
      <c r="G41" s="4"/>
      <c r="H41" s="4"/>
      <c r="I41" s="4"/>
      <c r="J41" s="4"/>
      <c r="K41" s="4"/>
      <c r="L41" s="4"/>
      <c r="M41" s="4"/>
      <c r="N41" s="4"/>
      <c r="O41" s="4"/>
      <c r="P41" s="4"/>
      <c r="Q41" s="5"/>
      <c r="R41" s="11"/>
    </row>
    <row r="42" spans="1:29" x14ac:dyDescent="0.25">
      <c r="A42" s="10"/>
      <c r="B42" s="38"/>
      <c r="C42" s="29"/>
      <c r="D42" s="29"/>
      <c r="E42" s="4"/>
      <c r="F42" s="4"/>
      <c r="G42" s="4"/>
      <c r="H42" s="4"/>
      <c r="I42" s="4"/>
      <c r="J42" s="4"/>
      <c r="K42" s="4"/>
      <c r="L42" s="4"/>
      <c r="M42" s="4"/>
      <c r="N42" s="4"/>
      <c r="O42" s="4"/>
      <c r="P42" s="4"/>
      <c r="Q42" s="7"/>
      <c r="R42" s="11"/>
    </row>
    <row r="43" spans="1:29" x14ac:dyDescent="0.25">
      <c r="A43" s="10"/>
      <c r="B43" s="38"/>
      <c r="C43" s="24"/>
      <c r="D43" s="24"/>
      <c r="E43" s="24"/>
      <c r="F43" s="24"/>
      <c r="G43" s="24"/>
      <c r="H43" s="24"/>
      <c r="I43" s="24"/>
      <c r="J43" s="24"/>
      <c r="K43" s="24"/>
      <c r="L43" s="24"/>
      <c r="M43" s="24"/>
      <c r="N43" s="24"/>
      <c r="O43" s="24"/>
      <c r="P43" s="24"/>
      <c r="Q43" s="7"/>
      <c r="R43" s="11"/>
    </row>
    <row r="44" spans="1:29" ht="15.75" customHeight="1" x14ac:dyDescent="0.25">
      <c r="A44" s="10"/>
      <c r="B44" s="512" t="s">
        <v>35</v>
      </c>
      <c r="C44" s="513"/>
      <c r="D44" s="447" t="str">
        <f>IF(OR(O26&gt;W19,O26&lt;X19),V27,V25)</f>
        <v>( A ) Fazına ait çevirme oranı hata yüzdesi uygundur.</v>
      </c>
      <c r="E44" s="447"/>
      <c r="F44" s="447"/>
      <c r="G44" s="447"/>
      <c r="H44" s="447"/>
      <c r="I44" s="447"/>
      <c r="J44" s="447"/>
      <c r="K44" s="447"/>
      <c r="L44" s="447"/>
      <c r="M44" s="447"/>
      <c r="N44" s="447"/>
      <c r="O44" s="447"/>
      <c r="P44" s="447"/>
      <c r="Q44" s="448"/>
      <c r="R44" s="11"/>
    </row>
    <row r="45" spans="1:29" ht="4.5" customHeight="1" x14ac:dyDescent="0.25">
      <c r="A45" s="10"/>
      <c r="B45" s="130"/>
      <c r="C45" s="24"/>
      <c r="D45" s="128"/>
      <c r="E45" s="128"/>
      <c r="F45" s="128"/>
      <c r="G45" s="128"/>
      <c r="H45" s="128"/>
      <c r="I45" s="128"/>
      <c r="J45" s="128"/>
      <c r="K45" s="128"/>
      <c r="L45" s="128"/>
      <c r="M45" s="128"/>
      <c r="N45" s="128"/>
      <c r="O45" s="128"/>
      <c r="P45" s="128"/>
      <c r="Q45" s="129"/>
      <c r="R45" s="11"/>
    </row>
    <row r="46" spans="1:29" ht="15" customHeight="1" x14ac:dyDescent="0.25">
      <c r="A46" s="10"/>
      <c r="B46" s="3"/>
      <c r="C46" s="4"/>
      <c r="D46" s="445" t="str">
        <f>IF(OR(O27&gt;W19,O27&lt;X19),V31,V29)</f>
        <v>( B ) Fazına ait çevirme oranı hata yüzdesi uygundur.</v>
      </c>
      <c r="E46" s="445"/>
      <c r="F46" s="445"/>
      <c r="G46" s="445"/>
      <c r="H46" s="445"/>
      <c r="I46" s="445"/>
      <c r="J46" s="445"/>
      <c r="K46" s="445"/>
      <c r="L46" s="445"/>
      <c r="M46" s="445"/>
      <c r="N46" s="445"/>
      <c r="O46" s="445"/>
      <c r="P46" s="445"/>
      <c r="Q46" s="446"/>
      <c r="R46" s="11"/>
    </row>
    <row r="47" spans="1:29" ht="4.5" customHeight="1" x14ac:dyDescent="0.25">
      <c r="A47" s="10"/>
      <c r="B47" s="3"/>
      <c r="C47" s="4"/>
      <c r="D47" s="128"/>
      <c r="E47" s="128"/>
      <c r="F47" s="128"/>
      <c r="G47" s="128"/>
      <c r="H47" s="128"/>
      <c r="I47" s="128"/>
      <c r="J47" s="128"/>
      <c r="K47" s="128"/>
      <c r="L47" s="128"/>
      <c r="M47" s="128"/>
      <c r="N47" s="128"/>
      <c r="O47" s="128"/>
      <c r="P47" s="128"/>
      <c r="Q47" s="129"/>
      <c r="R47" s="11"/>
    </row>
    <row r="48" spans="1:29" ht="15.75" x14ac:dyDescent="0.25">
      <c r="A48" s="10"/>
      <c r="B48" s="8"/>
      <c r="C48" s="1"/>
      <c r="D48" s="578" t="str">
        <f>IF(OR(O28&gt;W19,O28&lt;X19),V36,V34)</f>
        <v>( C ) Fazına ait çevirme oranı hata yüzdesi uygundur.</v>
      </c>
      <c r="E48" s="578"/>
      <c r="F48" s="578"/>
      <c r="G48" s="578"/>
      <c r="H48" s="578"/>
      <c r="I48" s="578"/>
      <c r="J48" s="578"/>
      <c r="K48" s="578"/>
      <c r="L48" s="578"/>
      <c r="M48" s="578"/>
      <c r="N48" s="578"/>
      <c r="O48" s="578"/>
      <c r="P48" s="578"/>
      <c r="Q48" s="579"/>
      <c r="R48" s="11"/>
    </row>
    <row r="49" spans="1:18" x14ac:dyDescent="0.25">
      <c r="A49" s="10"/>
      <c r="B49" s="21"/>
      <c r="C49" s="22"/>
      <c r="D49" s="22"/>
      <c r="E49" s="22"/>
      <c r="F49" s="22"/>
      <c r="G49" s="22"/>
      <c r="H49" s="22"/>
      <c r="I49" s="22"/>
      <c r="J49" s="22"/>
      <c r="K49" s="22"/>
      <c r="L49" s="22"/>
      <c r="M49" s="22"/>
      <c r="N49" s="22"/>
      <c r="O49" s="22"/>
      <c r="P49" s="22"/>
      <c r="Q49" s="23"/>
      <c r="R49" s="11"/>
    </row>
    <row r="50" spans="1:18" s="325" customFormat="1" ht="22.5" customHeight="1" x14ac:dyDescent="0.25">
      <c r="A50" s="10"/>
      <c r="B50" s="520" t="s">
        <v>357</v>
      </c>
      <c r="C50" s="521"/>
      <c r="D50" s="521"/>
      <c r="E50" s="330" t="s">
        <v>24</v>
      </c>
      <c r="F50" s="518" t="s">
        <v>395</v>
      </c>
      <c r="G50" s="518"/>
      <c r="H50" s="518"/>
      <c r="I50" s="519"/>
      <c r="J50" s="403" t="s">
        <v>322</v>
      </c>
      <c r="K50" s="404"/>
      <c r="L50" s="404"/>
      <c r="M50" s="404"/>
      <c r="N50" s="404"/>
      <c r="O50" s="404"/>
      <c r="P50" s="404"/>
      <c r="Q50" s="405"/>
      <c r="R50" s="11"/>
    </row>
    <row r="51" spans="1:18" s="325" customFormat="1" ht="22.5" customHeight="1" x14ac:dyDescent="0.25">
      <c r="A51" s="10"/>
      <c r="B51" s="520" t="s">
        <v>386</v>
      </c>
      <c r="C51" s="521"/>
      <c r="D51" s="521"/>
      <c r="E51" s="330" t="s">
        <v>24</v>
      </c>
      <c r="F51" s="522">
        <f>'ANA SAYFA'!F73</f>
        <v>45307</v>
      </c>
      <c r="G51" s="518"/>
      <c r="H51" s="518"/>
      <c r="I51" s="519"/>
      <c r="J51" s="75"/>
      <c r="K51" s="76"/>
      <c r="L51" s="176"/>
      <c r="M51" s="176"/>
      <c r="N51" s="176"/>
      <c r="O51" s="176"/>
      <c r="P51" s="176"/>
      <c r="Q51" s="178"/>
      <c r="R51" s="11"/>
    </row>
    <row r="52" spans="1:18" s="325" customFormat="1" ht="22.5" customHeight="1" x14ac:dyDescent="0.25">
      <c r="A52" s="10"/>
      <c r="B52" s="495" t="s">
        <v>192</v>
      </c>
      <c r="C52" s="496"/>
      <c r="D52" s="496"/>
      <c r="E52" s="331" t="s">
        <v>24</v>
      </c>
      <c r="F52" s="521">
        <f>'ANA SAYFA'!F75:J75</f>
        <v>88258</v>
      </c>
      <c r="G52" s="521"/>
      <c r="H52" s="521"/>
      <c r="I52" s="523"/>
      <c r="J52" s="75"/>
      <c r="K52" s="76"/>
      <c r="L52" s="176"/>
      <c r="M52" s="176"/>
      <c r="N52" s="176"/>
      <c r="O52" s="176"/>
      <c r="P52" s="176"/>
      <c r="Q52" s="178"/>
      <c r="R52" s="11"/>
    </row>
    <row r="53" spans="1:18" s="325" customFormat="1" ht="22.5" customHeight="1" x14ac:dyDescent="0.25">
      <c r="A53" s="10"/>
      <c r="B53" s="495" t="s">
        <v>358</v>
      </c>
      <c r="C53" s="496"/>
      <c r="D53" s="496"/>
      <c r="E53" s="324" t="s">
        <v>24</v>
      </c>
      <c r="F53" s="496" t="str">
        <f>'ANA SAYFA'!F76:J76</f>
        <v>K202439698</v>
      </c>
      <c r="G53" s="496"/>
      <c r="H53" s="496"/>
      <c r="I53" s="497"/>
      <c r="J53" s="336"/>
      <c r="K53" s="182"/>
      <c r="L53" s="182"/>
      <c r="M53" s="182"/>
      <c r="N53" s="182"/>
      <c r="O53" s="182"/>
      <c r="P53" s="182"/>
      <c r="Q53" s="179"/>
      <c r="R53" s="11"/>
    </row>
    <row r="54" spans="1:18" ht="15.75" thickBot="1" x14ac:dyDescent="0.3">
      <c r="A54" s="15"/>
      <c r="B54" s="16"/>
      <c r="C54" s="16"/>
      <c r="D54" s="16"/>
      <c r="E54" s="16"/>
      <c r="F54" s="16"/>
      <c r="G54" s="16"/>
      <c r="H54" s="16"/>
      <c r="I54" s="16"/>
      <c r="J54" s="16"/>
      <c r="K54" s="16"/>
      <c r="L54" s="16"/>
      <c r="M54" s="16"/>
      <c r="N54" s="16"/>
      <c r="O54" s="16"/>
      <c r="P54" s="16"/>
      <c r="Q54" s="16"/>
      <c r="R54" s="17"/>
    </row>
  </sheetData>
  <mergeCells count="91">
    <mergeCell ref="M28:N28"/>
    <mergeCell ref="M25:N25"/>
    <mergeCell ref="C27:D27"/>
    <mergeCell ref="O26:Q26"/>
    <mergeCell ref="O27:Q27"/>
    <mergeCell ref="C28:D28"/>
    <mergeCell ref="E28:F28"/>
    <mergeCell ref="G28:H28"/>
    <mergeCell ref="I28:J28"/>
    <mergeCell ref="M26:N26"/>
    <mergeCell ref="E27:F27"/>
    <mergeCell ref="G27:H27"/>
    <mergeCell ref="I27:J27"/>
    <mergeCell ref="K27:L27"/>
    <mergeCell ref="M27:N27"/>
    <mergeCell ref="C26:D26"/>
    <mergeCell ref="V25:AC25"/>
    <mergeCell ref="V27:AC27"/>
    <mergeCell ref="V29:AC29"/>
    <mergeCell ref="V31:AC31"/>
    <mergeCell ref="V34:AC34"/>
    <mergeCell ref="B53:D53"/>
    <mergeCell ref="F53:I53"/>
    <mergeCell ref="J50:Q50"/>
    <mergeCell ref="V36:AC36"/>
    <mergeCell ref="D44:Q44"/>
    <mergeCell ref="D46:Q46"/>
    <mergeCell ref="D48:Q48"/>
    <mergeCell ref="B44:C44"/>
    <mergeCell ref="B50:D50"/>
    <mergeCell ref="F50:I50"/>
    <mergeCell ref="B51:D51"/>
    <mergeCell ref="F51:I51"/>
    <mergeCell ref="B52:D52"/>
    <mergeCell ref="F52:I52"/>
    <mergeCell ref="E26:F26"/>
    <mergeCell ref="G26:H26"/>
    <mergeCell ref="I26:J26"/>
    <mergeCell ref="K26:L26"/>
    <mergeCell ref="K28:L28"/>
    <mergeCell ref="C25:D25"/>
    <mergeCell ref="E25:F25"/>
    <mergeCell ref="G25:H25"/>
    <mergeCell ref="I25:J25"/>
    <mergeCell ref="K25:L25"/>
    <mergeCell ref="B21:E21"/>
    <mergeCell ref="F21:I21"/>
    <mergeCell ref="J21:M21"/>
    <mergeCell ref="N21:Q21"/>
    <mergeCell ref="B22:Q22"/>
    <mergeCell ref="B19:E19"/>
    <mergeCell ref="F19:G19"/>
    <mergeCell ref="J19:M19"/>
    <mergeCell ref="N19:Q19"/>
    <mergeCell ref="B20:E20"/>
    <mergeCell ref="F20:G20"/>
    <mergeCell ref="J20:M20"/>
    <mergeCell ref="N20:Q20"/>
    <mergeCell ref="B17:E17"/>
    <mergeCell ref="F17:I17"/>
    <mergeCell ref="J17:M17"/>
    <mergeCell ref="N17:Q17"/>
    <mergeCell ref="B18:E18"/>
    <mergeCell ref="F18:G18"/>
    <mergeCell ref="J18:M18"/>
    <mergeCell ref="N18:Q18"/>
    <mergeCell ref="O11:Q11"/>
    <mergeCell ref="B13:Q13"/>
    <mergeCell ref="B15:I15"/>
    <mergeCell ref="N15:Q15"/>
    <mergeCell ref="B11:C11"/>
    <mergeCell ref="D11:G11"/>
    <mergeCell ref="H11:I11"/>
    <mergeCell ref="J11:L11"/>
    <mergeCell ref="M11:N11"/>
    <mergeCell ref="G2:H2"/>
    <mergeCell ref="J2:Q2"/>
    <mergeCell ref="G3:H3"/>
    <mergeCell ref="J3:Q3"/>
    <mergeCell ref="O28:Q28"/>
    <mergeCell ref="O25:Q25"/>
    <mergeCell ref="B9:I9"/>
    <mergeCell ref="J9:Q9"/>
    <mergeCell ref="B2:F3"/>
    <mergeCell ref="O7:Q7"/>
    <mergeCell ref="B7:C7"/>
    <mergeCell ref="D7:F7"/>
    <mergeCell ref="G7:H7"/>
    <mergeCell ref="I7:K7"/>
    <mergeCell ref="L7:N7"/>
    <mergeCell ref="B5:Q5"/>
  </mergeCells>
  <conditionalFormatting sqref="M26:N28">
    <cfRule type="colorScale" priority="1">
      <colorScale>
        <cfvo type="num" val="$F$20-($F$20*0.008)"/>
        <cfvo type="num" val="$F$20"/>
        <cfvo type="num" val="$F$20+($F$20*0.008)"/>
        <color rgb="FFFF4B4B"/>
        <color rgb="FF00B050"/>
        <color rgb="FFFF4B4B"/>
      </colorScale>
    </cfRule>
  </conditionalFormatting>
  <pageMargins left="0.55118110236220474" right="0.23622047244094488" top="0.3543307086614173" bottom="0.3543307086614173" header="0" footer="0"/>
  <pageSetup paperSize="9" scale="9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zoomScale="85" zoomScaleNormal="85" workbookViewId="0">
      <selection activeCell="N49" sqref="N49"/>
    </sheetView>
  </sheetViews>
  <sheetFormatPr defaultRowHeight="15" x14ac:dyDescent="0.25"/>
  <cols>
    <col min="1" max="1" width="3.5703125" customWidth="1"/>
    <col min="2" max="3" width="5.140625" customWidth="1"/>
    <col min="4" max="7" width="5.42578125" customWidth="1"/>
    <col min="8" max="9" width="4.85546875" customWidth="1"/>
    <col min="10" max="10" width="4.7109375" customWidth="1"/>
    <col min="11" max="17" width="5.85546875" customWidth="1"/>
    <col min="18" max="18" width="3.5703125" customWidth="1"/>
  </cols>
  <sheetData>
    <row r="1" spans="1:18" x14ac:dyDescent="0.25">
      <c r="A1" s="12"/>
      <c r="B1" s="13"/>
      <c r="C1" s="13"/>
      <c r="D1" s="13"/>
      <c r="E1" s="13"/>
      <c r="F1" s="13"/>
      <c r="G1" s="13"/>
      <c r="H1" s="13"/>
      <c r="I1" s="13"/>
      <c r="J1" s="13"/>
      <c r="K1" s="13"/>
      <c r="L1" s="13"/>
      <c r="M1" s="13"/>
      <c r="N1" s="13"/>
      <c r="O1" s="13"/>
      <c r="P1" s="13"/>
      <c r="Q1" s="13"/>
      <c r="R1" s="14"/>
    </row>
    <row r="2" spans="1:18" ht="29.25" customHeight="1" x14ac:dyDescent="0.25">
      <c r="A2" s="10"/>
      <c r="B2" s="59"/>
      <c r="C2" s="60"/>
      <c r="D2" s="60"/>
      <c r="E2" s="60"/>
      <c r="F2" s="61"/>
      <c r="G2" s="449" t="s">
        <v>22</v>
      </c>
      <c r="H2" s="450"/>
      <c r="I2" s="185" t="s">
        <v>24</v>
      </c>
      <c r="J2" s="486" t="str">
        <f>'ANA SAYFA'!K2</f>
        <v>BARMAK MAKİNA (ÇAĞLA ELK.)</v>
      </c>
      <c r="K2" s="486"/>
      <c r="L2" s="486"/>
      <c r="M2" s="486"/>
      <c r="N2" s="486"/>
      <c r="O2" s="486"/>
      <c r="P2" s="486"/>
      <c r="Q2" s="487"/>
      <c r="R2" s="11"/>
    </row>
    <row r="3" spans="1:18" ht="29.25" customHeight="1" x14ac:dyDescent="0.25">
      <c r="A3" s="10"/>
      <c r="B3" s="62"/>
      <c r="C3" s="63"/>
      <c r="D3" s="63"/>
      <c r="E3" s="63"/>
      <c r="F3" s="64"/>
      <c r="G3" s="484" t="s">
        <v>23</v>
      </c>
      <c r="H3" s="485"/>
      <c r="I3" s="184" t="s">
        <v>24</v>
      </c>
      <c r="J3" s="488" t="str">
        <f>'ANA SAYFA'!K5</f>
        <v>TRAFO 1</v>
      </c>
      <c r="K3" s="488"/>
      <c r="L3" s="488"/>
      <c r="M3" s="488"/>
      <c r="N3" s="488"/>
      <c r="O3" s="488"/>
      <c r="P3" s="488"/>
      <c r="Q3" s="489"/>
      <c r="R3" s="11"/>
    </row>
    <row r="4" spans="1:18" x14ac:dyDescent="0.25">
      <c r="A4" s="10"/>
      <c r="B4" s="3"/>
      <c r="C4" s="4"/>
      <c r="D4" s="4"/>
      <c r="E4" s="4"/>
      <c r="F4" s="4"/>
      <c r="G4" s="4"/>
      <c r="H4" s="4"/>
      <c r="I4" s="4"/>
      <c r="J4" s="4"/>
      <c r="K4" s="4"/>
      <c r="L4" s="4"/>
      <c r="M4" s="4"/>
      <c r="N4" s="4"/>
      <c r="O4" s="4"/>
      <c r="P4" s="4"/>
      <c r="Q4" s="5"/>
      <c r="R4" s="11"/>
    </row>
    <row r="5" spans="1:18" ht="18.75" x14ac:dyDescent="0.25">
      <c r="A5" s="10"/>
      <c r="B5" s="599" t="s">
        <v>0</v>
      </c>
      <c r="C5" s="600"/>
      <c r="D5" s="600"/>
      <c r="E5" s="493" t="s">
        <v>349</v>
      </c>
      <c r="F5" s="493"/>
      <c r="G5" s="493"/>
      <c r="H5" s="493"/>
      <c r="I5" s="493"/>
      <c r="J5" s="493"/>
      <c r="K5" s="493"/>
      <c r="L5" s="493"/>
      <c r="M5" s="493"/>
      <c r="N5" s="493"/>
      <c r="O5" s="493"/>
      <c r="P5" s="493"/>
      <c r="Q5" s="494"/>
      <c r="R5" s="11"/>
    </row>
    <row r="6" spans="1:18" x14ac:dyDescent="0.25">
      <c r="A6" s="10"/>
      <c r="B6" s="3"/>
      <c r="C6" s="4"/>
      <c r="D6" s="4"/>
      <c r="E6" s="4"/>
      <c r="F6" s="4"/>
      <c r="G6" s="4"/>
      <c r="H6" s="4"/>
      <c r="I6" s="4"/>
      <c r="J6" s="4"/>
      <c r="K6" s="4"/>
      <c r="L6" s="4"/>
      <c r="M6" s="4"/>
      <c r="N6" s="4"/>
      <c r="O6" s="4"/>
      <c r="P6" s="4"/>
      <c r="Q6" s="5"/>
      <c r="R6" s="11"/>
    </row>
    <row r="7" spans="1:18" ht="18.75" x14ac:dyDescent="0.25">
      <c r="A7" s="10"/>
      <c r="B7" s="469" t="s">
        <v>3</v>
      </c>
      <c r="C7" s="470"/>
      <c r="D7" s="470"/>
      <c r="E7" s="470"/>
      <c r="F7" s="470"/>
      <c r="G7" s="470"/>
      <c r="H7" s="470"/>
      <c r="I7" s="470"/>
      <c r="J7" s="471">
        <f>'ANA SAYFA'!F72</f>
        <v>45310</v>
      </c>
      <c r="K7" s="471"/>
      <c r="L7" s="471"/>
      <c r="M7" s="471"/>
      <c r="N7" s="471"/>
      <c r="O7" s="471"/>
      <c r="P7" s="471"/>
      <c r="Q7" s="472"/>
      <c r="R7" s="11"/>
    </row>
    <row r="8" spans="1:18" ht="11.25" customHeight="1" x14ac:dyDescent="0.25">
      <c r="A8" s="10"/>
      <c r="B8" s="3"/>
      <c r="C8" s="4"/>
      <c r="D8" s="4"/>
      <c r="E8" s="4"/>
      <c r="F8" s="4"/>
      <c r="G8" s="4"/>
      <c r="H8" s="4"/>
      <c r="I8" s="4"/>
      <c r="J8" s="4"/>
      <c r="K8" s="4"/>
      <c r="L8" s="4"/>
      <c r="M8" s="4"/>
      <c r="N8" s="4"/>
      <c r="O8" s="4"/>
      <c r="P8" s="4"/>
      <c r="Q8" s="5"/>
      <c r="R8" s="11"/>
    </row>
    <row r="9" spans="1:18" x14ac:dyDescent="0.25">
      <c r="A9" s="10"/>
      <c r="B9" s="525" t="s">
        <v>4</v>
      </c>
      <c r="C9" s="525"/>
      <c r="D9" s="526" t="str">
        <f>'OG SARGI MEVCUT KADEME'!D11</f>
        <v>Hilmi GÜL</v>
      </c>
      <c r="E9" s="526"/>
      <c r="F9" s="526"/>
      <c r="G9" s="526"/>
      <c r="H9" s="525" t="s">
        <v>5</v>
      </c>
      <c r="I9" s="525"/>
      <c r="J9" s="504" t="s">
        <v>73</v>
      </c>
      <c r="K9" s="504"/>
      <c r="L9" s="504"/>
      <c r="M9" s="504" t="s">
        <v>7</v>
      </c>
      <c r="N9" s="504"/>
      <c r="O9" s="478">
        <v>16350177</v>
      </c>
      <c r="P9" s="479"/>
      <c r="Q9" s="480"/>
      <c r="R9" s="11"/>
    </row>
    <row r="10" spans="1:18" ht="7.5" customHeight="1" x14ac:dyDescent="0.25">
      <c r="A10" s="10"/>
      <c r="B10" s="3"/>
      <c r="C10" s="4"/>
      <c r="D10" s="4"/>
      <c r="E10" s="4"/>
      <c r="F10" s="4"/>
      <c r="G10" s="4"/>
      <c r="H10" s="4"/>
      <c r="I10" s="4"/>
      <c r="J10" s="4"/>
      <c r="K10" s="4"/>
      <c r="L10" s="4"/>
      <c r="M10" s="4"/>
      <c r="N10" s="4"/>
      <c r="O10" s="4"/>
      <c r="P10" s="4"/>
      <c r="Q10" s="5"/>
      <c r="R10" s="11"/>
    </row>
    <row r="11" spans="1:18" ht="18.75" x14ac:dyDescent="0.25">
      <c r="A11" s="10"/>
      <c r="B11" s="524" t="s">
        <v>9</v>
      </c>
      <c r="C11" s="524"/>
      <c r="D11" s="524"/>
      <c r="E11" s="524"/>
      <c r="F11" s="524"/>
      <c r="G11" s="524"/>
      <c r="H11" s="524"/>
      <c r="I11" s="524"/>
      <c r="J11" s="524"/>
      <c r="K11" s="524"/>
      <c r="L11" s="524"/>
      <c r="M11" s="524"/>
      <c r="N11" s="524"/>
      <c r="O11" s="524"/>
      <c r="P11" s="524"/>
      <c r="Q11" s="524"/>
      <c r="R11" s="11"/>
    </row>
    <row r="12" spans="1:18" ht="7.5" customHeight="1" x14ac:dyDescent="0.25">
      <c r="A12" s="10"/>
      <c r="B12" s="3"/>
      <c r="C12" s="4"/>
      <c r="D12" s="4"/>
      <c r="E12" s="4"/>
      <c r="F12" s="4"/>
      <c r="G12" s="4"/>
      <c r="H12" s="4"/>
      <c r="I12" s="4"/>
      <c r="J12" s="4"/>
      <c r="K12" s="4"/>
      <c r="L12" s="4"/>
      <c r="M12" s="4"/>
      <c r="N12" s="4"/>
      <c r="O12" s="4"/>
      <c r="P12" s="4"/>
      <c r="Q12" s="5"/>
      <c r="R12" s="11"/>
    </row>
    <row r="13" spans="1:18" ht="18.75" x14ac:dyDescent="0.25">
      <c r="A13" s="10"/>
      <c r="B13" s="403" t="s">
        <v>74</v>
      </c>
      <c r="C13" s="404"/>
      <c r="D13" s="404"/>
      <c r="E13" s="404"/>
      <c r="F13" s="404"/>
      <c r="G13" s="404"/>
      <c r="H13" s="404"/>
      <c r="I13" s="404"/>
      <c r="J13" s="404"/>
      <c r="K13" s="404"/>
      <c r="L13" s="404"/>
      <c r="M13" s="404"/>
      <c r="N13" s="404"/>
      <c r="O13" s="404"/>
      <c r="P13" s="404"/>
      <c r="Q13" s="405"/>
      <c r="R13" s="11"/>
    </row>
    <row r="14" spans="1:18" ht="7.5" customHeight="1" x14ac:dyDescent="0.25">
      <c r="A14" s="10"/>
      <c r="B14" s="3"/>
      <c r="C14" s="4"/>
      <c r="D14" s="4"/>
      <c r="E14" s="4"/>
      <c r="F14" s="4"/>
      <c r="G14" s="4"/>
      <c r="H14" s="4"/>
      <c r="I14" s="4"/>
      <c r="J14" s="4"/>
      <c r="K14" s="4"/>
      <c r="L14" s="4"/>
      <c r="M14" s="4"/>
      <c r="N14" s="4"/>
      <c r="O14" s="4"/>
      <c r="P14" s="4"/>
      <c r="Q14" s="5"/>
      <c r="R14" s="11"/>
    </row>
    <row r="15" spans="1:18" x14ac:dyDescent="0.25">
      <c r="A15" s="10"/>
      <c r="B15" s="397"/>
      <c r="C15" s="398"/>
      <c r="D15" s="398"/>
      <c r="E15" s="398"/>
      <c r="F15" s="398"/>
      <c r="G15" s="398"/>
      <c r="H15" s="398"/>
      <c r="I15" s="398"/>
      <c r="J15" s="398"/>
      <c r="K15" s="398"/>
      <c r="L15" s="398"/>
      <c r="M15" s="399"/>
      <c r="N15" s="398" t="s">
        <v>43</v>
      </c>
      <c r="O15" s="398"/>
      <c r="P15" s="398"/>
      <c r="Q15" s="399"/>
      <c r="R15" s="11"/>
    </row>
    <row r="16" spans="1:18" x14ac:dyDescent="0.25">
      <c r="A16" s="10"/>
      <c r="B16" s="583" t="s">
        <v>75</v>
      </c>
      <c r="C16" s="593"/>
      <c r="D16" s="583">
        <v>2</v>
      </c>
      <c r="E16" s="593"/>
      <c r="F16" s="594" t="s">
        <v>34</v>
      </c>
      <c r="G16" s="593"/>
      <c r="H16" s="478" t="s">
        <v>70</v>
      </c>
      <c r="I16" s="479"/>
      <c r="J16" s="65" t="s">
        <v>34</v>
      </c>
      <c r="K16" s="506">
        <f>'ANA SAYFA'!H42</f>
        <v>0.15</v>
      </c>
      <c r="L16" s="595"/>
      <c r="M16" s="65" t="s">
        <v>34</v>
      </c>
      <c r="N16" s="397" t="str">
        <f>IF(K16&lt;D16,W18,Y18)</f>
        <v>UYGUN</v>
      </c>
      <c r="O16" s="398"/>
      <c r="P16" s="398"/>
      <c r="Q16" s="399"/>
      <c r="R16" s="11"/>
    </row>
    <row r="17" spans="1:35" x14ac:dyDescent="0.25">
      <c r="A17" s="10"/>
      <c r="B17" s="66"/>
      <c r="C17" s="67"/>
      <c r="D17" s="67"/>
      <c r="E17" s="67"/>
      <c r="F17" s="67"/>
      <c r="G17" s="67"/>
      <c r="H17" s="45"/>
      <c r="I17" s="45"/>
      <c r="J17" s="45"/>
      <c r="K17" s="68"/>
      <c r="L17" s="68"/>
      <c r="M17" s="45"/>
      <c r="N17" s="69"/>
      <c r="O17" s="69"/>
      <c r="P17" s="70"/>
      <c r="Q17" s="42"/>
      <c r="R17" s="11"/>
    </row>
    <row r="18" spans="1:35" x14ac:dyDescent="0.25">
      <c r="A18" s="10"/>
      <c r="B18" s="71"/>
      <c r="C18" s="57"/>
      <c r="D18" s="57"/>
      <c r="E18" s="57"/>
      <c r="F18" s="57"/>
      <c r="G18" s="57"/>
      <c r="H18" s="57"/>
      <c r="I18" s="57"/>
      <c r="J18" s="57"/>
      <c r="K18" s="57"/>
      <c r="L18" s="57"/>
      <c r="M18" s="57"/>
      <c r="N18" s="57"/>
      <c r="O18" s="57"/>
      <c r="P18" s="57"/>
      <c r="Q18" s="72"/>
      <c r="R18" s="11"/>
      <c r="W18" s="132" t="s">
        <v>47</v>
      </c>
      <c r="Y18" s="385" t="s">
        <v>155</v>
      </c>
      <c r="Z18" s="385"/>
    </row>
    <row r="19" spans="1:35" x14ac:dyDescent="0.25">
      <c r="A19" s="10"/>
      <c r="B19" s="71"/>
      <c r="C19" s="57"/>
      <c r="D19" s="57"/>
      <c r="E19" s="57"/>
      <c r="F19" s="57"/>
      <c r="G19" s="57"/>
      <c r="H19" s="57"/>
      <c r="I19" s="57"/>
      <c r="J19" s="57"/>
      <c r="K19" s="57"/>
      <c r="L19" s="57"/>
      <c r="M19" s="57"/>
      <c r="N19" s="57"/>
      <c r="O19" s="57"/>
      <c r="P19" s="57"/>
      <c r="Q19" s="72"/>
      <c r="R19" s="11"/>
    </row>
    <row r="20" spans="1:35" x14ac:dyDescent="0.25">
      <c r="A20" s="10"/>
      <c r="B20" s="71"/>
      <c r="C20" s="57"/>
      <c r="D20" s="57"/>
      <c r="E20" s="57"/>
      <c r="F20" s="57"/>
      <c r="G20" s="57"/>
      <c r="H20" s="57"/>
      <c r="I20" s="57"/>
      <c r="J20" s="57"/>
      <c r="K20" s="57"/>
      <c r="L20" s="57"/>
      <c r="M20" s="57"/>
      <c r="N20" s="57"/>
      <c r="O20" s="57"/>
      <c r="P20" s="57"/>
      <c r="Q20" s="72"/>
      <c r="R20" s="11"/>
    </row>
    <row r="21" spans="1:35" x14ac:dyDescent="0.25">
      <c r="A21" s="10"/>
      <c r="B21" s="71"/>
      <c r="C21" s="57"/>
      <c r="D21" s="57"/>
      <c r="E21" s="57"/>
      <c r="F21" s="57"/>
      <c r="G21" s="57"/>
      <c r="H21" s="57"/>
      <c r="I21" s="57"/>
      <c r="J21" s="57"/>
      <c r="K21" s="57"/>
      <c r="L21" s="57"/>
      <c r="M21" s="57"/>
      <c r="N21" s="57"/>
      <c r="O21" s="57"/>
      <c r="P21" s="57"/>
      <c r="Q21" s="72"/>
      <c r="R21" s="11"/>
    </row>
    <row r="22" spans="1:35" x14ac:dyDescent="0.25">
      <c r="A22" s="10"/>
      <c r="B22" s="71"/>
      <c r="C22" s="57"/>
      <c r="D22" s="57"/>
      <c r="E22" s="57"/>
      <c r="F22" s="57"/>
      <c r="G22" s="57"/>
      <c r="H22" s="57"/>
      <c r="I22" s="57"/>
      <c r="J22" s="57"/>
      <c r="K22" s="57"/>
      <c r="L22" s="57"/>
      <c r="M22" s="57"/>
      <c r="N22" s="57"/>
      <c r="O22" s="57"/>
      <c r="P22" s="57"/>
      <c r="Q22" s="72"/>
      <c r="R22" s="11"/>
    </row>
    <row r="23" spans="1:35" ht="18.75" x14ac:dyDescent="0.25">
      <c r="A23" s="10"/>
      <c r="B23" s="403" t="s">
        <v>76</v>
      </c>
      <c r="C23" s="404"/>
      <c r="D23" s="404"/>
      <c r="E23" s="404"/>
      <c r="F23" s="404"/>
      <c r="G23" s="404"/>
      <c r="H23" s="404"/>
      <c r="I23" s="404"/>
      <c r="J23" s="404"/>
      <c r="K23" s="404"/>
      <c r="L23" s="404"/>
      <c r="M23" s="404"/>
      <c r="N23" s="404"/>
      <c r="O23" s="404"/>
      <c r="P23" s="404"/>
      <c r="Q23" s="405"/>
      <c r="R23" s="11"/>
    </row>
    <row r="24" spans="1:35" ht="7.5" customHeight="1" x14ac:dyDescent="0.25">
      <c r="A24" s="10"/>
      <c r="B24" s="3"/>
      <c r="C24" s="4"/>
      <c r="D24" s="4"/>
      <c r="E24" s="4"/>
      <c r="F24" s="4"/>
      <c r="G24" s="4"/>
      <c r="H24" s="4"/>
      <c r="I24" s="4"/>
      <c r="J24" s="4"/>
      <c r="K24" s="4"/>
      <c r="L24" s="4"/>
      <c r="M24" s="4"/>
      <c r="N24" s="4"/>
      <c r="O24" s="4"/>
      <c r="P24" s="4"/>
      <c r="Q24" s="5"/>
      <c r="R24" s="11"/>
    </row>
    <row r="25" spans="1:35" ht="15.75" x14ac:dyDescent="0.25">
      <c r="A25" s="10"/>
      <c r="B25" s="397"/>
      <c r="C25" s="398"/>
      <c r="D25" s="398"/>
      <c r="E25" s="398"/>
      <c r="F25" s="398"/>
      <c r="G25" s="398"/>
      <c r="H25" s="398"/>
      <c r="I25" s="398"/>
      <c r="J25" s="398"/>
      <c r="K25" s="398"/>
      <c r="L25" s="398"/>
      <c r="M25" s="399"/>
      <c r="N25" s="398" t="s">
        <v>43</v>
      </c>
      <c r="O25" s="398"/>
      <c r="P25" s="398"/>
      <c r="Q25" s="399"/>
      <c r="R25" s="11"/>
      <c r="V25" s="516" t="s">
        <v>143</v>
      </c>
      <c r="W25" s="516"/>
      <c r="X25" s="516"/>
      <c r="Y25" s="516"/>
      <c r="Z25" s="516"/>
      <c r="AA25" s="516"/>
      <c r="AB25" s="516"/>
      <c r="AC25" s="516"/>
      <c r="AD25" s="516"/>
      <c r="AE25" s="516"/>
      <c r="AF25" s="516"/>
      <c r="AG25" s="516"/>
      <c r="AH25" s="516"/>
      <c r="AI25" s="516"/>
    </row>
    <row r="26" spans="1:35" ht="15.75" x14ac:dyDescent="0.25">
      <c r="A26" s="10"/>
      <c r="B26" s="589" t="s">
        <v>77</v>
      </c>
      <c r="C26" s="590"/>
      <c r="D26" s="591" t="s">
        <v>78</v>
      </c>
      <c r="E26" s="592"/>
      <c r="F26" s="73">
        <v>2</v>
      </c>
      <c r="G26" s="74" t="s">
        <v>34</v>
      </c>
      <c r="H26" s="478" t="s">
        <v>70</v>
      </c>
      <c r="I26" s="479"/>
      <c r="J26" s="65" t="s">
        <v>34</v>
      </c>
      <c r="K26" s="583">
        <f>'ANA SAYFA'!H40</f>
        <v>0.16</v>
      </c>
      <c r="L26" s="584"/>
      <c r="M26" s="65" t="s">
        <v>34</v>
      </c>
      <c r="N26" s="397" t="str">
        <f>IF(K26&lt;F26,W18,Y18)</f>
        <v>UYGUN</v>
      </c>
      <c r="O26" s="398"/>
      <c r="P26" s="398"/>
      <c r="Q26" s="399"/>
      <c r="R26" s="11"/>
      <c r="V26" s="516" t="s">
        <v>144</v>
      </c>
      <c r="W26" s="516"/>
      <c r="X26" s="516"/>
      <c r="Y26" s="516"/>
      <c r="Z26" s="516"/>
      <c r="AA26" s="516"/>
      <c r="AB26" s="516"/>
      <c r="AC26" s="516"/>
      <c r="AD26" s="516"/>
      <c r="AE26" s="516"/>
      <c r="AF26" s="516"/>
      <c r="AG26" s="516"/>
      <c r="AH26" s="516"/>
      <c r="AI26" s="516"/>
    </row>
    <row r="27" spans="1:35" ht="15.75" x14ac:dyDescent="0.25">
      <c r="A27" s="10"/>
      <c r="B27" s="589" t="s">
        <v>79</v>
      </c>
      <c r="C27" s="590"/>
      <c r="D27" s="591" t="s">
        <v>78</v>
      </c>
      <c r="E27" s="592"/>
      <c r="F27" s="73">
        <v>2</v>
      </c>
      <c r="G27" s="74" t="s">
        <v>34</v>
      </c>
      <c r="H27" s="478" t="s">
        <v>70</v>
      </c>
      <c r="I27" s="479"/>
      <c r="J27" s="65" t="s">
        <v>34</v>
      </c>
      <c r="K27" s="583">
        <f>'ANA SAYFA'!H44</f>
        <v>0.16</v>
      </c>
      <c r="L27" s="584"/>
      <c r="M27" s="65" t="s">
        <v>34</v>
      </c>
      <c r="N27" s="397" t="str">
        <f>IF(K27&lt;F27,W18,Y18)</f>
        <v>UYGUN</v>
      </c>
      <c r="O27" s="398"/>
      <c r="P27" s="398"/>
      <c r="Q27" s="399"/>
      <c r="R27" s="11"/>
      <c r="V27" s="516" t="s">
        <v>145</v>
      </c>
      <c r="W27" s="516"/>
      <c r="X27" s="516"/>
      <c r="Y27" s="516"/>
      <c r="Z27" s="516"/>
      <c r="AA27" s="516"/>
      <c r="AB27" s="516"/>
      <c r="AC27" s="516"/>
      <c r="AD27" s="516"/>
      <c r="AE27" s="516"/>
      <c r="AF27" s="516"/>
      <c r="AG27" s="516"/>
      <c r="AH27" s="516"/>
      <c r="AI27" s="516"/>
    </row>
    <row r="28" spans="1:35" ht="15.75" x14ac:dyDescent="0.25">
      <c r="A28" s="10"/>
      <c r="B28" s="589" t="s">
        <v>80</v>
      </c>
      <c r="C28" s="590"/>
      <c r="D28" s="591" t="s">
        <v>78</v>
      </c>
      <c r="E28" s="592"/>
      <c r="F28" s="73">
        <v>2</v>
      </c>
      <c r="G28" s="74" t="s">
        <v>34</v>
      </c>
      <c r="H28" s="478" t="s">
        <v>70</v>
      </c>
      <c r="I28" s="479"/>
      <c r="J28" s="65" t="s">
        <v>34</v>
      </c>
      <c r="K28" s="583">
        <f>'ANA SAYFA'!Q42</f>
        <v>0.16</v>
      </c>
      <c r="L28" s="584"/>
      <c r="M28" s="65" t="s">
        <v>34</v>
      </c>
      <c r="N28" s="397" t="str">
        <f>IF(K28&lt;F28,W18,Y18)</f>
        <v>UYGUN</v>
      </c>
      <c r="O28" s="398"/>
      <c r="P28" s="398"/>
      <c r="Q28" s="399"/>
      <c r="R28" s="11"/>
      <c r="V28" s="516" t="s">
        <v>146</v>
      </c>
      <c r="W28" s="516"/>
      <c r="X28" s="516"/>
      <c r="Y28" s="516"/>
      <c r="Z28" s="516"/>
      <c r="AA28" s="516"/>
      <c r="AB28" s="516"/>
      <c r="AC28" s="516"/>
      <c r="AD28" s="516"/>
      <c r="AE28" s="516"/>
      <c r="AF28" s="516"/>
      <c r="AG28" s="516"/>
      <c r="AH28" s="516"/>
      <c r="AI28" s="516"/>
    </row>
    <row r="29" spans="1:35" s="158" customFormat="1" ht="15.75" x14ac:dyDescent="0.25">
      <c r="A29" s="10"/>
      <c r="B29" s="589" t="s">
        <v>158</v>
      </c>
      <c r="C29" s="590"/>
      <c r="D29" s="591" t="s">
        <v>78</v>
      </c>
      <c r="E29" s="592"/>
      <c r="F29" s="73">
        <v>2</v>
      </c>
      <c r="G29" s="74" t="s">
        <v>34</v>
      </c>
      <c r="H29" s="478" t="s">
        <v>70</v>
      </c>
      <c r="I29" s="479"/>
      <c r="J29" s="65" t="s">
        <v>34</v>
      </c>
      <c r="K29" s="583">
        <f>'ANA SAYFA'!Q40</f>
        <v>0</v>
      </c>
      <c r="L29" s="584"/>
      <c r="M29" s="65" t="s">
        <v>34</v>
      </c>
      <c r="N29" s="397" t="str">
        <f>IF(K29&lt;F29,W18,Y18)</f>
        <v>UYGUN</v>
      </c>
      <c r="O29" s="398"/>
      <c r="P29" s="398"/>
      <c r="Q29" s="399"/>
      <c r="R29" s="11"/>
      <c r="V29" s="157"/>
      <c r="W29" s="157"/>
      <c r="X29" s="157"/>
      <c r="Y29" s="157"/>
      <c r="Z29" s="157"/>
      <c r="AA29" s="157"/>
      <c r="AB29" s="157"/>
      <c r="AC29" s="157"/>
      <c r="AD29" s="157"/>
      <c r="AE29" s="157"/>
      <c r="AF29" s="157"/>
      <c r="AG29" s="157"/>
      <c r="AH29" s="157"/>
      <c r="AI29" s="157"/>
    </row>
    <row r="30" spans="1:35" ht="15.75" x14ac:dyDescent="0.25">
      <c r="A30" s="10"/>
      <c r="B30" s="3"/>
      <c r="C30" s="4"/>
      <c r="D30" s="4"/>
      <c r="E30" s="4"/>
      <c r="F30" s="4"/>
      <c r="G30" s="4"/>
      <c r="H30" s="4"/>
      <c r="I30" s="4"/>
      <c r="J30" s="4"/>
      <c r="K30" s="4"/>
      <c r="L30" s="4"/>
      <c r="M30" s="4"/>
      <c r="N30" s="4"/>
      <c r="O30" s="4"/>
      <c r="P30" s="4"/>
      <c r="Q30" s="5"/>
      <c r="R30" s="11"/>
      <c r="V30" s="516" t="s">
        <v>147</v>
      </c>
      <c r="W30" s="516"/>
      <c r="X30" s="516"/>
      <c r="Y30" s="516"/>
      <c r="Z30" s="516"/>
      <c r="AA30" s="516"/>
      <c r="AB30" s="516"/>
      <c r="AC30" s="516"/>
      <c r="AD30" s="516"/>
      <c r="AE30" s="516"/>
      <c r="AF30" s="516"/>
      <c r="AG30" s="516"/>
      <c r="AH30" s="516"/>
      <c r="AI30" s="516"/>
    </row>
    <row r="31" spans="1:35" ht="15.75" x14ac:dyDescent="0.25">
      <c r="A31" s="10"/>
      <c r="B31" s="3"/>
      <c r="C31" s="4"/>
      <c r="D31" s="4"/>
      <c r="E31" s="4"/>
      <c r="F31" s="24"/>
      <c r="G31" s="4"/>
      <c r="H31" s="4"/>
      <c r="I31" s="4"/>
      <c r="J31" s="4"/>
      <c r="K31" s="4"/>
      <c r="L31" s="4"/>
      <c r="M31" s="4"/>
      <c r="N31" s="4"/>
      <c r="O31" s="4"/>
      <c r="P31" s="4"/>
      <c r="Q31" s="5"/>
      <c r="R31" s="11"/>
      <c r="V31" s="516" t="s">
        <v>148</v>
      </c>
      <c r="W31" s="516"/>
      <c r="X31" s="516"/>
      <c r="Y31" s="516"/>
      <c r="Z31" s="516"/>
      <c r="AA31" s="516"/>
      <c r="AB31" s="516"/>
      <c r="AC31" s="516"/>
      <c r="AD31" s="516"/>
      <c r="AE31" s="516"/>
      <c r="AF31" s="516"/>
      <c r="AG31" s="516"/>
      <c r="AH31" s="516"/>
      <c r="AI31" s="516"/>
    </row>
    <row r="32" spans="1:35" x14ac:dyDescent="0.25">
      <c r="A32" s="10"/>
      <c r="B32" s="3"/>
      <c r="C32" s="4"/>
      <c r="D32" s="4"/>
      <c r="E32" s="4"/>
      <c r="F32" s="24"/>
      <c r="G32" s="4"/>
      <c r="H32" s="4"/>
      <c r="I32" s="4"/>
      <c r="J32" s="4"/>
      <c r="K32" s="4"/>
      <c r="L32" s="4"/>
      <c r="M32" s="4"/>
      <c r="N32" s="4"/>
      <c r="O32" s="4"/>
      <c r="P32" s="4"/>
      <c r="Q32" s="5"/>
      <c r="R32" s="11"/>
    </row>
    <row r="33" spans="1:35" ht="18.75" x14ac:dyDescent="0.25">
      <c r="A33" s="10"/>
      <c r="B33" s="75"/>
      <c r="C33" s="76"/>
      <c r="D33" s="76"/>
      <c r="E33" s="76"/>
      <c r="F33" s="76"/>
      <c r="G33" s="76"/>
      <c r="H33" s="76"/>
      <c r="I33" s="76"/>
      <c r="J33" s="76"/>
      <c r="K33" s="76"/>
      <c r="L33" s="76"/>
      <c r="M33" s="76"/>
      <c r="N33" s="76"/>
      <c r="O33" s="76"/>
      <c r="P33" s="76"/>
      <c r="Q33" s="77"/>
      <c r="R33" s="11"/>
      <c r="V33" s="516" t="s">
        <v>149</v>
      </c>
      <c r="W33" s="516"/>
      <c r="X33" s="516"/>
      <c r="Y33" s="516"/>
      <c r="Z33" s="516"/>
      <c r="AA33" s="516"/>
      <c r="AB33" s="516"/>
      <c r="AC33" s="516"/>
      <c r="AD33" s="516"/>
      <c r="AE33" s="516"/>
      <c r="AF33" s="516"/>
      <c r="AG33" s="516"/>
      <c r="AH33" s="516"/>
      <c r="AI33" s="516"/>
    </row>
    <row r="34" spans="1:35" ht="18.75" x14ac:dyDescent="0.25">
      <c r="A34" s="10"/>
      <c r="B34" s="52"/>
      <c r="C34" s="53"/>
      <c r="D34" s="53"/>
      <c r="E34" s="53"/>
      <c r="F34" s="53"/>
      <c r="G34" s="53"/>
      <c r="H34" s="53"/>
      <c r="I34" s="53"/>
      <c r="J34" s="53"/>
      <c r="K34" s="53"/>
      <c r="L34" s="53"/>
      <c r="M34" s="53"/>
      <c r="N34" s="53"/>
      <c r="O34" s="53"/>
      <c r="P34" s="53"/>
      <c r="Q34" s="54"/>
      <c r="R34" s="11"/>
      <c r="V34" s="516" t="s">
        <v>150</v>
      </c>
      <c r="W34" s="516"/>
      <c r="X34" s="516"/>
      <c r="Y34" s="516"/>
      <c r="Z34" s="516"/>
      <c r="AA34" s="516"/>
      <c r="AB34" s="516"/>
      <c r="AC34" s="516"/>
      <c r="AD34" s="516"/>
      <c r="AE34" s="516"/>
      <c r="AF34" s="516"/>
      <c r="AG34" s="516"/>
      <c r="AH34" s="516"/>
      <c r="AI34" s="516"/>
    </row>
    <row r="35" spans="1:35" x14ac:dyDescent="0.25">
      <c r="A35" s="10"/>
      <c r="B35" s="3"/>
      <c r="C35" s="4"/>
      <c r="D35" s="4"/>
      <c r="E35" s="4"/>
      <c r="F35" s="4"/>
      <c r="G35" s="4"/>
      <c r="H35" s="4"/>
      <c r="I35" s="4"/>
      <c r="J35" s="4"/>
      <c r="K35" s="4"/>
      <c r="L35" s="4"/>
      <c r="M35" s="4"/>
      <c r="N35" s="4"/>
      <c r="O35" s="4"/>
      <c r="P35" s="4"/>
      <c r="Q35" s="5"/>
      <c r="R35" s="11"/>
    </row>
    <row r="36" spans="1:35" ht="15.75" x14ac:dyDescent="0.25">
      <c r="A36" s="10"/>
      <c r="B36" s="56"/>
      <c r="C36" s="4"/>
      <c r="D36" s="4"/>
      <c r="E36" s="4"/>
      <c r="F36" s="4"/>
      <c r="G36" s="4"/>
      <c r="H36" s="4"/>
      <c r="I36" s="4"/>
      <c r="J36" s="4"/>
      <c r="K36" s="4"/>
      <c r="L36" s="57"/>
      <c r="M36" s="57"/>
      <c r="N36" s="4"/>
      <c r="O36" s="57"/>
      <c r="P36" s="57"/>
      <c r="Q36" s="5"/>
      <c r="R36" s="11"/>
      <c r="V36" s="516" t="s">
        <v>151</v>
      </c>
      <c r="W36" s="516"/>
      <c r="X36" s="516"/>
      <c r="Y36" s="516"/>
      <c r="Z36" s="516"/>
      <c r="AA36" s="516"/>
      <c r="AB36" s="516"/>
      <c r="AC36" s="516"/>
      <c r="AD36" s="516"/>
      <c r="AE36" s="516"/>
      <c r="AF36" s="516"/>
      <c r="AG36" s="516"/>
      <c r="AH36" s="516"/>
      <c r="AI36" s="516"/>
    </row>
    <row r="37" spans="1:35" ht="15.75" x14ac:dyDescent="0.25">
      <c r="A37" s="10"/>
      <c r="B37" s="56"/>
      <c r="C37" s="4"/>
      <c r="D37" s="4"/>
      <c r="E37" s="4"/>
      <c r="F37" s="4"/>
      <c r="G37" s="4"/>
      <c r="H37" s="4"/>
      <c r="I37" s="4"/>
      <c r="J37" s="4"/>
      <c r="K37" s="4"/>
      <c r="L37" s="57"/>
      <c r="M37" s="57"/>
      <c r="N37" s="4"/>
      <c r="O37" s="57"/>
      <c r="P37" s="57"/>
      <c r="Q37" s="5"/>
      <c r="R37" s="11"/>
      <c r="V37" s="516" t="s">
        <v>152</v>
      </c>
      <c r="W37" s="516"/>
      <c r="X37" s="516"/>
      <c r="Y37" s="516"/>
      <c r="Z37" s="516"/>
      <c r="AA37" s="516"/>
      <c r="AB37" s="516"/>
      <c r="AC37" s="516"/>
      <c r="AD37" s="516"/>
      <c r="AE37" s="516"/>
      <c r="AF37" s="516"/>
      <c r="AG37" s="516"/>
      <c r="AH37" s="516"/>
      <c r="AI37" s="516"/>
    </row>
    <row r="38" spans="1:35" ht="15.75" x14ac:dyDescent="0.25">
      <c r="A38" s="10"/>
      <c r="B38" s="56"/>
      <c r="C38" s="4"/>
      <c r="D38" s="4"/>
      <c r="E38" s="4"/>
      <c r="F38" s="4"/>
      <c r="G38" s="4"/>
      <c r="H38" s="4"/>
      <c r="I38" s="4"/>
      <c r="J38" s="4"/>
      <c r="K38" s="4"/>
      <c r="L38" s="57"/>
      <c r="M38" s="57"/>
      <c r="N38" s="4"/>
      <c r="O38" s="57"/>
      <c r="P38" s="57"/>
      <c r="Q38" s="5"/>
      <c r="R38" s="11"/>
      <c r="V38" s="516" t="s">
        <v>153</v>
      </c>
      <c r="W38" s="516"/>
      <c r="X38" s="516"/>
      <c r="Y38" s="516"/>
      <c r="Z38" s="516"/>
      <c r="AA38" s="516"/>
      <c r="AB38" s="516"/>
      <c r="AC38" s="516"/>
      <c r="AD38" s="516"/>
      <c r="AE38" s="516"/>
      <c r="AF38" s="516"/>
      <c r="AG38" s="516"/>
      <c r="AH38" s="516"/>
      <c r="AI38" s="516"/>
    </row>
    <row r="39" spans="1:35" ht="15.75" x14ac:dyDescent="0.25">
      <c r="A39" s="10"/>
      <c r="B39" s="150"/>
      <c r="C39" s="24"/>
      <c r="D39" s="24"/>
      <c r="E39" s="24"/>
      <c r="F39" s="24"/>
      <c r="G39" s="24"/>
      <c r="H39" s="24"/>
      <c r="I39" s="24"/>
      <c r="J39" s="24"/>
      <c r="K39" s="24"/>
      <c r="L39" s="24"/>
      <c r="M39" s="24"/>
      <c r="N39" s="24"/>
      <c r="O39" s="24"/>
      <c r="P39" s="24"/>
      <c r="Q39" s="148"/>
      <c r="R39" s="11"/>
      <c r="V39" s="516" t="s">
        <v>154</v>
      </c>
      <c r="W39" s="516"/>
      <c r="X39" s="516"/>
      <c r="Y39" s="516"/>
      <c r="Z39" s="516"/>
      <c r="AA39" s="516"/>
      <c r="AB39" s="516"/>
      <c r="AC39" s="516"/>
      <c r="AD39" s="516"/>
      <c r="AE39" s="516"/>
      <c r="AF39" s="516"/>
      <c r="AG39" s="516"/>
      <c r="AH39" s="516"/>
      <c r="AI39" s="516"/>
    </row>
    <row r="40" spans="1:35" s="151" customFormat="1" ht="9" customHeight="1" x14ac:dyDescent="0.25">
      <c r="A40" s="10"/>
      <c r="B40" s="147"/>
      <c r="C40" s="41"/>
      <c r="D40" s="24"/>
      <c r="E40" s="24"/>
      <c r="F40" s="24"/>
      <c r="G40" s="24"/>
      <c r="H40" s="24"/>
      <c r="I40" s="24"/>
      <c r="J40" s="24"/>
      <c r="K40" s="24"/>
      <c r="L40" s="24"/>
      <c r="M40" s="24"/>
      <c r="N40" s="24"/>
      <c r="O40" s="24"/>
      <c r="P40" s="24"/>
      <c r="Q40" s="148"/>
      <c r="R40" s="11"/>
      <c r="V40" s="149"/>
      <c r="W40" s="149"/>
      <c r="X40" s="149"/>
      <c r="Y40" s="149"/>
      <c r="Z40" s="149"/>
      <c r="AA40" s="149"/>
      <c r="AB40" s="149"/>
      <c r="AC40" s="149"/>
      <c r="AD40" s="149"/>
      <c r="AE40" s="149"/>
      <c r="AF40" s="149"/>
      <c r="AG40" s="149"/>
      <c r="AH40" s="149"/>
      <c r="AI40" s="149"/>
    </row>
    <row r="41" spans="1:35" ht="15.75" customHeight="1" x14ac:dyDescent="0.25">
      <c r="A41" s="10"/>
      <c r="B41" s="545" t="s">
        <v>35</v>
      </c>
      <c r="C41" s="545"/>
      <c r="D41" s="596" t="str">
        <f>IF(K16&lt;D16,V25,V26)</f>
        <v>İşletme (NÖTR) topraklaması direnç değeri normaldir.</v>
      </c>
      <c r="E41" s="597"/>
      <c r="F41" s="597"/>
      <c r="G41" s="597"/>
      <c r="H41" s="597"/>
      <c r="I41" s="597"/>
      <c r="J41" s="597"/>
      <c r="K41" s="597"/>
      <c r="L41" s="597"/>
      <c r="M41" s="597"/>
      <c r="N41" s="597"/>
      <c r="O41" s="597"/>
      <c r="P41" s="597"/>
      <c r="Q41" s="598"/>
      <c r="R41" s="11"/>
    </row>
    <row r="42" spans="1:35" ht="15" customHeight="1" x14ac:dyDescent="0.25">
      <c r="A42" s="10"/>
      <c r="B42" s="43"/>
      <c r="C42" s="24"/>
      <c r="D42" s="445" t="str">
        <f>IF(K26&lt;F26,V27,V28)</f>
        <v>Trafo topraklaması direnç değeri normaldir.</v>
      </c>
      <c r="E42" s="445"/>
      <c r="F42" s="445"/>
      <c r="G42" s="445"/>
      <c r="H42" s="445"/>
      <c r="I42" s="445"/>
      <c r="J42" s="445"/>
      <c r="K42" s="445"/>
      <c r="L42" s="445"/>
      <c r="M42" s="445"/>
      <c r="N42" s="445"/>
      <c r="O42" s="445"/>
      <c r="P42" s="445"/>
      <c r="Q42" s="446"/>
      <c r="R42" s="11"/>
    </row>
    <row r="43" spans="1:35" s="134" customFormat="1" ht="15.75" x14ac:dyDescent="0.25">
      <c r="A43" s="10"/>
      <c r="B43" s="133"/>
      <c r="C43" s="24"/>
      <c r="D43" s="445" t="str">
        <f>IF(K27&lt;F27,V30,V31)</f>
        <v>Hücre topraklaması direnç değeri normaldir.</v>
      </c>
      <c r="E43" s="445"/>
      <c r="F43" s="445"/>
      <c r="G43" s="445"/>
      <c r="H43" s="445"/>
      <c r="I43" s="445"/>
      <c r="J43" s="445"/>
      <c r="K43" s="445"/>
      <c r="L43" s="445"/>
      <c r="M43" s="445"/>
      <c r="N43" s="445"/>
      <c r="O43" s="445"/>
      <c r="P43" s="445"/>
      <c r="Q43" s="446"/>
      <c r="R43" s="11"/>
    </row>
    <row r="44" spans="1:35" s="134" customFormat="1" ht="15.75" x14ac:dyDescent="0.25">
      <c r="A44" s="10"/>
      <c r="B44" s="133"/>
      <c r="C44" s="24"/>
      <c r="D44" s="445" t="str">
        <f>IF(K28&lt;F28,V36,V37)</f>
        <v>Kapı topraklaması direnç değeri normaldir.</v>
      </c>
      <c r="E44" s="445"/>
      <c r="F44" s="445"/>
      <c r="G44" s="445"/>
      <c r="H44" s="445"/>
      <c r="I44" s="445"/>
      <c r="J44" s="445"/>
      <c r="K44" s="445"/>
      <c r="L44" s="445"/>
      <c r="M44" s="445"/>
      <c r="N44" s="445"/>
      <c r="O44" s="445"/>
      <c r="P44" s="445"/>
      <c r="Q44" s="446"/>
      <c r="R44" s="11"/>
    </row>
    <row r="45" spans="1:35" ht="15.75" x14ac:dyDescent="0.25">
      <c r="A45" s="10"/>
      <c r="B45" s="43"/>
      <c r="C45" s="24"/>
      <c r="D45" s="445" t="str">
        <f>IF(K29&lt;F29,V33,V34)</f>
        <v>A.G. Pano topraklaması direnç değeri normaldir.</v>
      </c>
      <c r="E45" s="445"/>
      <c r="F45" s="445"/>
      <c r="G45" s="445"/>
      <c r="H45" s="445"/>
      <c r="I45" s="445"/>
      <c r="J45" s="445"/>
      <c r="K45" s="445"/>
      <c r="L45" s="445"/>
      <c r="M45" s="445"/>
      <c r="N45" s="445"/>
      <c r="O45" s="445"/>
      <c r="P45" s="445"/>
      <c r="Q45" s="446"/>
      <c r="R45" s="11"/>
    </row>
    <row r="46" spans="1:35" ht="9" customHeight="1" x14ac:dyDescent="0.25">
      <c r="A46" s="10"/>
      <c r="B46" s="58"/>
      <c r="C46" s="135"/>
      <c r="D46" s="585"/>
      <c r="E46" s="585"/>
      <c r="F46" s="585"/>
      <c r="G46" s="585"/>
      <c r="H46" s="585"/>
      <c r="I46" s="585"/>
      <c r="J46" s="585"/>
      <c r="K46" s="585"/>
      <c r="L46" s="585"/>
      <c r="M46" s="585"/>
      <c r="N46" s="585"/>
      <c r="O46" s="585"/>
      <c r="P46" s="585"/>
      <c r="Q46" s="586"/>
      <c r="R46" s="11"/>
    </row>
    <row r="47" spans="1:35" s="325" customFormat="1" ht="22.5" customHeight="1" x14ac:dyDescent="0.25">
      <c r="A47" s="10"/>
      <c r="B47" s="520" t="s">
        <v>357</v>
      </c>
      <c r="C47" s="521"/>
      <c r="D47" s="521"/>
      <c r="E47" s="330" t="s">
        <v>24</v>
      </c>
      <c r="F47" s="587" t="s">
        <v>395</v>
      </c>
      <c r="G47" s="587"/>
      <c r="H47" s="587"/>
      <c r="I47" s="588"/>
      <c r="J47" s="403" t="s">
        <v>322</v>
      </c>
      <c r="K47" s="404"/>
      <c r="L47" s="404"/>
      <c r="M47" s="404"/>
      <c r="N47" s="404"/>
      <c r="O47" s="404"/>
      <c r="P47" s="404"/>
      <c r="Q47" s="405"/>
      <c r="R47" s="11"/>
    </row>
    <row r="48" spans="1:35" s="325" customFormat="1" ht="22.5" customHeight="1" x14ac:dyDescent="0.25">
      <c r="A48" s="10"/>
      <c r="B48" s="520" t="s">
        <v>386</v>
      </c>
      <c r="C48" s="521"/>
      <c r="D48" s="521"/>
      <c r="E48" s="330" t="s">
        <v>24</v>
      </c>
      <c r="F48" s="522">
        <f>'ANA SAYFA'!F73</f>
        <v>45307</v>
      </c>
      <c r="G48" s="518"/>
      <c r="H48" s="518"/>
      <c r="I48" s="519"/>
      <c r="J48" s="75"/>
      <c r="K48" s="76"/>
      <c r="L48" s="176"/>
      <c r="M48" s="176"/>
      <c r="N48" s="176"/>
      <c r="O48" s="176"/>
      <c r="P48" s="176"/>
      <c r="Q48" s="178"/>
      <c r="R48" s="11"/>
    </row>
    <row r="49" spans="1:18" s="325" customFormat="1" ht="22.5" customHeight="1" x14ac:dyDescent="0.25">
      <c r="A49" s="10"/>
      <c r="B49" s="495" t="s">
        <v>192</v>
      </c>
      <c r="C49" s="496"/>
      <c r="D49" s="496"/>
      <c r="E49" s="331" t="s">
        <v>24</v>
      </c>
      <c r="F49" s="521">
        <f>'ANA SAYFA'!F75:J75</f>
        <v>88258</v>
      </c>
      <c r="G49" s="521"/>
      <c r="H49" s="521"/>
      <c r="I49" s="523"/>
      <c r="J49" s="75"/>
      <c r="K49" s="76"/>
      <c r="L49" s="176"/>
      <c r="M49" s="176"/>
      <c r="N49" s="176"/>
      <c r="O49" s="176"/>
      <c r="P49" s="176"/>
      <c r="Q49" s="178"/>
      <c r="R49" s="11"/>
    </row>
    <row r="50" spans="1:18" s="325" customFormat="1" ht="22.5" customHeight="1" x14ac:dyDescent="0.25">
      <c r="A50" s="10"/>
      <c r="B50" s="495" t="s">
        <v>358</v>
      </c>
      <c r="C50" s="496"/>
      <c r="D50" s="496"/>
      <c r="E50" s="324" t="s">
        <v>24</v>
      </c>
      <c r="F50" s="496" t="str">
        <f>'ANA SAYFA'!F76:J76</f>
        <v>K202439698</v>
      </c>
      <c r="G50" s="496"/>
      <c r="H50" s="496"/>
      <c r="I50" s="497"/>
      <c r="J50" s="336"/>
      <c r="K50" s="182"/>
      <c r="L50" s="182"/>
      <c r="M50" s="182"/>
      <c r="N50" s="182"/>
      <c r="O50" s="182"/>
      <c r="P50" s="182"/>
      <c r="Q50" s="179"/>
      <c r="R50" s="11"/>
    </row>
    <row r="51" spans="1:18" ht="15.75" thickBot="1" x14ac:dyDescent="0.3">
      <c r="A51" s="15"/>
      <c r="B51" s="16"/>
      <c r="C51" s="16"/>
      <c r="D51" s="16"/>
      <c r="E51" s="16"/>
      <c r="F51" s="16"/>
      <c r="G51" s="16"/>
      <c r="H51" s="16"/>
      <c r="I51" s="16"/>
      <c r="J51" s="16"/>
      <c r="K51" s="16"/>
      <c r="L51" s="16"/>
      <c r="M51" s="16"/>
      <c r="N51" s="16"/>
      <c r="O51" s="16"/>
      <c r="P51" s="16"/>
      <c r="Q51" s="16"/>
      <c r="R51" s="17"/>
    </row>
  </sheetData>
  <mergeCells count="80">
    <mergeCell ref="N29:Q29"/>
    <mergeCell ref="K29:L29"/>
    <mergeCell ref="H29:I29"/>
    <mergeCell ref="D29:E29"/>
    <mergeCell ref="B29:C29"/>
    <mergeCell ref="B5:D5"/>
    <mergeCell ref="E5:Q5"/>
    <mergeCell ref="G2:H2"/>
    <mergeCell ref="J2:Q2"/>
    <mergeCell ref="G3:H3"/>
    <mergeCell ref="J3:Q3"/>
    <mergeCell ref="B7:I7"/>
    <mergeCell ref="J7:Q7"/>
    <mergeCell ref="B9:C9"/>
    <mergeCell ref="D9:G9"/>
    <mergeCell ref="H9:I9"/>
    <mergeCell ref="J9:L9"/>
    <mergeCell ref="M9:N9"/>
    <mergeCell ref="O9:Q9"/>
    <mergeCell ref="B26:C26"/>
    <mergeCell ref="D26:E26"/>
    <mergeCell ref="B41:C41"/>
    <mergeCell ref="V33:AI33"/>
    <mergeCell ref="B11:Q11"/>
    <mergeCell ref="B13:Q13"/>
    <mergeCell ref="B15:G15"/>
    <mergeCell ref="H15:J15"/>
    <mergeCell ref="K15:M15"/>
    <mergeCell ref="N15:Q15"/>
    <mergeCell ref="B16:C16"/>
    <mergeCell ref="D16:E16"/>
    <mergeCell ref="F16:G16"/>
    <mergeCell ref="H16:I16"/>
    <mergeCell ref="K16:L16"/>
    <mergeCell ref="D41:Q41"/>
    <mergeCell ref="B27:C27"/>
    <mergeCell ref="D27:E27"/>
    <mergeCell ref="H27:I27"/>
    <mergeCell ref="K27:L27"/>
    <mergeCell ref="N27:Q27"/>
    <mergeCell ref="B28:C28"/>
    <mergeCell ref="D28:E28"/>
    <mergeCell ref="H28:I28"/>
    <mergeCell ref="K28:L28"/>
    <mergeCell ref="N28:Q28"/>
    <mergeCell ref="B50:D50"/>
    <mergeCell ref="D42:Q42"/>
    <mergeCell ref="D43:Q43"/>
    <mergeCell ref="D44:Q44"/>
    <mergeCell ref="D45:Q45"/>
    <mergeCell ref="D46:Q46"/>
    <mergeCell ref="B47:D47"/>
    <mergeCell ref="F47:I47"/>
    <mergeCell ref="B48:D48"/>
    <mergeCell ref="F48:I48"/>
    <mergeCell ref="B49:D49"/>
    <mergeCell ref="F49:I49"/>
    <mergeCell ref="F50:I50"/>
    <mergeCell ref="J47:Q47"/>
    <mergeCell ref="V30:AI30"/>
    <mergeCell ref="V31:AI31"/>
    <mergeCell ref="N16:Q16"/>
    <mergeCell ref="Y18:Z18"/>
    <mergeCell ref="V26:AI26"/>
    <mergeCell ref="V27:AI27"/>
    <mergeCell ref="V28:AI28"/>
    <mergeCell ref="N26:Q26"/>
    <mergeCell ref="B23:Q23"/>
    <mergeCell ref="B25:G25"/>
    <mergeCell ref="H25:J25"/>
    <mergeCell ref="H26:I26"/>
    <mergeCell ref="K26:L26"/>
    <mergeCell ref="K25:M25"/>
    <mergeCell ref="N25:Q25"/>
    <mergeCell ref="V25:AI25"/>
    <mergeCell ref="V39:AI39"/>
    <mergeCell ref="V34:AI34"/>
    <mergeCell ref="V36:AI36"/>
    <mergeCell ref="V37:AI37"/>
    <mergeCell ref="V38:AI38"/>
  </mergeCells>
  <conditionalFormatting sqref="N26:Q26">
    <cfRule type="dataBar" priority="3">
      <dataBar>
        <cfvo type="num" val="0"/>
        <cfvo type="num" val="4"/>
        <color rgb="FF638EC6"/>
      </dataBar>
      <extLst>
        <ext xmlns:x14="http://schemas.microsoft.com/office/spreadsheetml/2009/9/main" uri="{B025F937-C7B1-47D3-B67F-A62EFF666E3E}">
          <x14:id>{E2E53DF1-5966-446A-AF53-DB65836A3B56}</x14:id>
        </ext>
      </extLst>
    </cfRule>
  </conditionalFormatting>
  <conditionalFormatting sqref="AE21">
    <cfRule type="dataBar" priority="2">
      <dataBar>
        <cfvo type="num" val="0"/>
        <cfvo type="num" val="4"/>
        <color rgb="FF638EC6"/>
      </dataBar>
      <extLst>
        <ext xmlns:x14="http://schemas.microsoft.com/office/spreadsheetml/2009/9/main" uri="{B025F937-C7B1-47D3-B67F-A62EFF666E3E}">
          <x14:id>{37EADD0E-C88A-4B56-80D1-83D0C5FBDB53}</x14:id>
        </ext>
      </extLst>
    </cfRule>
  </conditionalFormatting>
  <pageMargins left="0.55118110236220474" right="0.23622047244094491" top="0.35433070866141736" bottom="0.35433070866141736" header="0" footer="0"/>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E2E53DF1-5966-446A-AF53-DB65836A3B56}">
            <x14:dataBar minLength="0" maxLength="100" gradient="0">
              <x14:cfvo type="num">
                <xm:f>0</xm:f>
              </x14:cfvo>
              <x14:cfvo type="num">
                <xm:f>4</xm:f>
              </x14:cfvo>
              <x14:negativeFillColor rgb="FFFF0000"/>
              <x14:axisColor rgb="FF000000"/>
            </x14:dataBar>
          </x14:cfRule>
          <xm:sqref>N26:Q26</xm:sqref>
        </x14:conditionalFormatting>
        <x14:conditionalFormatting xmlns:xm="http://schemas.microsoft.com/office/excel/2006/main">
          <x14:cfRule type="dataBar" id="{37EADD0E-C88A-4B56-80D1-83D0C5FBDB53}">
            <x14:dataBar minLength="0" maxLength="100">
              <x14:cfvo type="num">
                <xm:f>0</xm:f>
              </x14:cfvo>
              <x14:cfvo type="num">
                <xm:f>4</xm:f>
              </x14:cfvo>
              <x14:negativeFillColor rgb="FFFF0000"/>
              <x14:axisColor rgb="FF000000"/>
            </x14:dataBar>
          </x14:cfRule>
          <xm:sqref>AE21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48"/>
  <sheetViews>
    <sheetView topLeftCell="A27" zoomScale="85" zoomScaleNormal="85" workbookViewId="0">
      <selection activeCell="N46" sqref="N46"/>
    </sheetView>
  </sheetViews>
  <sheetFormatPr defaultRowHeight="15" x14ac:dyDescent="0.25"/>
  <cols>
    <col min="1" max="1" width="3.5703125" style="163" customWidth="1"/>
    <col min="2" max="5" width="5.42578125" style="163" customWidth="1"/>
    <col min="6" max="6" width="6.5703125" style="163" customWidth="1"/>
    <col min="7" max="10" width="5.42578125" style="163" customWidth="1"/>
    <col min="11" max="17" width="6" style="163" customWidth="1"/>
    <col min="18" max="18" width="3.5703125" style="163" customWidth="1"/>
    <col min="19" max="19" width="10.5703125" style="163" customWidth="1"/>
    <col min="20" max="20" width="12.28515625" style="163" customWidth="1"/>
    <col min="21" max="21" width="9.7109375" style="163" customWidth="1"/>
    <col min="22" max="22" width="9" style="163" customWidth="1"/>
    <col min="23" max="23" width="11.7109375" style="163" customWidth="1"/>
    <col min="24" max="25" width="11" style="163" customWidth="1"/>
    <col min="26" max="26" width="9.140625" style="163"/>
    <col min="27" max="27" width="16.7109375" style="163" customWidth="1"/>
    <col min="28" max="16384" width="9.140625" style="163"/>
  </cols>
  <sheetData>
    <row r="1" spans="1:29" x14ac:dyDescent="0.25">
      <c r="A1" s="12"/>
      <c r="B1" s="13"/>
      <c r="C1" s="13"/>
      <c r="D1" s="13"/>
      <c r="E1" s="13"/>
      <c r="F1" s="13"/>
      <c r="G1" s="13"/>
      <c r="H1" s="13"/>
      <c r="I1" s="13"/>
      <c r="J1" s="13"/>
      <c r="K1" s="13"/>
      <c r="L1" s="13"/>
      <c r="M1" s="13"/>
      <c r="N1" s="13"/>
      <c r="O1" s="13"/>
      <c r="P1" s="13"/>
      <c r="Q1" s="13"/>
      <c r="R1" s="14"/>
    </row>
    <row r="2" spans="1:29" ht="29.25" customHeight="1" x14ac:dyDescent="0.25">
      <c r="A2" s="10"/>
      <c r="B2" s="554"/>
      <c r="C2" s="555"/>
      <c r="D2" s="555"/>
      <c r="E2" s="555"/>
      <c r="F2" s="556"/>
      <c r="G2" s="449" t="s">
        <v>22</v>
      </c>
      <c r="H2" s="450"/>
      <c r="I2" s="185" t="s">
        <v>24</v>
      </c>
      <c r="J2" s="486" t="str">
        <f>'ANA SAYFA'!K2</f>
        <v>BARMAK MAKİNA (ÇAĞLA ELK.)</v>
      </c>
      <c r="K2" s="486"/>
      <c r="L2" s="486"/>
      <c r="M2" s="486"/>
      <c r="N2" s="486"/>
      <c r="O2" s="486"/>
      <c r="P2" s="486"/>
      <c r="Q2" s="487"/>
      <c r="R2" s="11"/>
    </row>
    <row r="3" spans="1:29" ht="29.25" customHeight="1" x14ac:dyDescent="0.25">
      <c r="A3" s="10"/>
      <c r="B3" s="557"/>
      <c r="C3" s="558"/>
      <c r="D3" s="558"/>
      <c r="E3" s="558"/>
      <c r="F3" s="559"/>
      <c r="G3" s="484" t="s">
        <v>23</v>
      </c>
      <c r="H3" s="485"/>
      <c r="I3" s="184" t="s">
        <v>24</v>
      </c>
      <c r="J3" s="488" t="str">
        <f>'ANA SAYFA'!K5</f>
        <v>TRAFO 1</v>
      </c>
      <c r="K3" s="488"/>
      <c r="L3" s="488"/>
      <c r="M3" s="488"/>
      <c r="N3" s="488"/>
      <c r="O3" s="488"/>
      <c r="P3" s="488"/>
      <c r="Q3" s="489"/>
      <c r="R3" s="11"/>
      <c r="V3" s="577"/>
      <c r="W3" s="577"/>
      <c r="X3" s="577"/>
      <c r="Y3" s="577"/>
      <c r="Z3" s="577"/>
      <c r="AA3" s="577"/>
      <c r="AB3" s="577"/>
      <c r="AC3" s="577"/>
    </row>
    <row r="4" spans="1:29" ht="15.75" x14ac:dyDescent="0.25">
      <c r="A4" s="10"/>
      <c r="B4" s="3"/>
      <c r="C4" s="4"/>
      <c r="D4" s="4"/>
      <c r="E4" s="4"/>
      <c r="F4" s="4"/>
      <c r="G4" s="4"/>
      <c r="H4" s="4"/>
      <c r="I4" s="4"/>
      <c r="J4" s="4"/>
      <c r="K4" s="4"/>
      <c r="L4" s="4"/>
      <c r="M4" s="4"/>
      <c r="N4" s="4"/>
      <c r="O4" s="4"/>
      <c r="P4" s="4"/>
      <c r="Q4" s="5"/>
      <c r="R4" s="11"/>
      <c r="W4" s="128"/>
      <c r="X4" s="128"/>
      <c r="Y4" s="128"/>
      <c r="Z4" s="128"/>
      <c r="AA4" s="128"/>
      <c r="AB4" s="128"/>
      <c r="AC4" s="128"/>
    </row>
    <row r="5" spans="1:29" ht="18.75" x14ac:dyDescent="0.25">
      <c r="A5" s="10"/>
      <c r="B5" s="403" t="s">
        <v>344</v>
      </c>
      <c r="C5" s="404"/>
      <c r="D5" s="404"/>
      <c r="E5" s="404"/>
      <c r="F5" s="404"/>
      <c r="G5" s="404"/>
      <c r="H5" s="404"/>
      <c r="I5" s="404"/>
      <c r="J5" s="404"/>
      <c r="K5" s="404"/>
      <c r="L5" s="404"/>
      <c r="M5" s="404"/>
      <c r="N5" s="404"/>
      <c r="O5" s="404"/>
      <c r="P5" s="404"/>
      <c r="Q5" s="405"/>
      <c r="R5" s="11"/>
      <c r="V5" s="577"/>
      <c r="W5" s="577"/>
      <c r="X5" s="577"/>
      <c r="Y5" s="577"/>
      <c r="Z5" s="577"/>
      <c r="AA5" s="577"/>
      <c r="AB5" s="577"/>
      <c r="AC5" s="577"/>
    </row>
    <row r="6" spans="1:29" x14ac:dyDescent="0.25">
      <c r="A6" s="10"/>
      <c r="B6" s="3"/>
      <c r="C6" s="4"/>
      <c r="D6" s="4"/>
      <c r="E6" s="4"/>
      <c r="F6" s="4"/>
      <c r="G6" s="4"/>
      <c r="H6" s="4"/>
      <c r="I6" s="4"/>
      <c r="J6" s="4"/>
      <c r="K6" s="4"/>
      <c r="L6" s="4"/>
      <c r="M6" s="4"/>
      <c r="N6" s="4"/>
      <c r="O6" s="4"/>
      <c r="P6" s="4"/>
      <c r="Q6" s="5"/>
      <c r="R6" s="11"/>
      <c r="V6" s="541" t="s">
        <v>161</v>
      </c>
      <c r="W6" s="541"/>
      <c r="X6" s="541" t="s">
        <v>162</v>
      </c>
      <c r="Y6" s="541"/>
      <c r="Z6" s="1"/>
      <c r="AA6" s="1"/>
      <c r="AB6" s="1"/>
      <c r="AC6" s="1"/>
    </row>
    <row r="7" spans="1:29" x14ac:dyDescent="0.25">
      <c r="A7" s="10"/>
      <c r="B7" s="504" t="s">
        <v>1</v>
      </c>
      <c r="C7" s="504"/>
      <c r="D7" s="504" t="str">
        <f>'OG SARGI MEVCUT KADEME'!D7:F7</f>
        <v>BEST</v>
      </c>
      <c r="E7" s="504"/>
      <c r="F7" s="504"/>
      <c r="G7" s="527" t="s">
        <v>2</v>
      </c>
      <c r="H7" s="527"/>
      <c r="I7" s="527" t="str">
        <f>'OG SARGI MEVCUT KADEME'!I7:K7</f>
        <v>06/2013</v>
      </c>
      <c r="J7" s="504"/>
      <c r="K7" s="504"/>
      <c r="L7" s="504" t="s">
        <v>21</v>
      </c>
      <c r="M7" s="504"/>
      <c r="N7" s="504"/>
      <c r="O7" s="527">
        <f>'OG SARGI MEVCUT KADEME'!O7:Q7</f>
        <v>1330</v>
      </c>
      <c r="P7" s="504"/>
      <c r="Q7" s="504"/>
      <c r="R7" s="11"/>
      <c r="V7" s="541"/>
      <c r="W7" s="541"/>
      <c r="X7" s="541"/>
      <c r="Y7" s="541"/>
      <c r="Z7" s="164"/>
      <c r="AA7" s="164"/>
      <c r="AB7" s="164"/>
      <c r="AC7" s="164"/>
    </row>
    <row r="8" spans="1:29" ht="15.75" x14ac:dyDescent="0.25">
      <c r="A8" s="10"/>
      <c r="B8" s="3"/>
      <c r="C8" s="4"/>
      <c r="D8" s="4"/>
      <c r="E8" s="4"/>
      <c r="F8" s="4"/>
      <c r="G8" s="4"/>
      <c r="H8" s="4"/>
      <c r="I8" s="4"/>
      <c r="J8" s="4"/>
      <c r="K8" s="4"/>
      <c r="L8" s="4"/>
      <c r="M8" s="4"/>
      <c r="N8" s="4"/>
      <c r="O8" s="4"/>
      <c r="P8" s="4"/>
      <c r="Q8" s="5"/>
      <c r="R8" s="11"/>
      <c r="V8" s="608">
        <v>10</v>
      </c>
      <c r="W8" s="608"/>
      <c r="X8" s="609">
        <v>0.8</v>
      </c>
      <c r="Y8" s="609"/>
      <c r="Z8" s="128"/>
      <c r="AA8" s="128">
        <f>IF(P15=10,X8,
IF(P15=15,X9,
IF(P15=20,X10,
IF(P15=25,X11,
IF(P15=30,X12,
IF(P15=35,X13, IF(P15=40,X14, IF(P15=45,X15, IF(P15=50,X16)))))))))</f>
        <v>1.4</v>
      </c>
      <c r="AB8" s="128"/>
      <c r="AC8" s="128"/>
    </row>
    <row r="9" spans="1:29" ht="18.75" x14ac:dyDescent="0.25">
      <c r="A9" s="10"/>
      <c r="B9" s="469" t="s">
        <v>3</v>
      </c>
      <c r="C9" s="470"/>
      <c r="D9" s="470"/>
      <c r="E9" s="470"/>
      <c r="F9" s="470"/>
      <c r="G9" s="470"/>
      <c r="H9" s="470"/>
      <c r="I9" s="470"/>
      <c r="J9" s="471">
        <f>'ANA SAYFA'!F72</f>
        <v>45310</v>
      </c>
      <c r="K9" s="471"/>
      <c r="L9" s="471"/>
      <c r="M9" s="471"/>
      <c r="N9" s="471"/>
      <c r="O9" s="471"/>
      <c r="P9" s="471"/>
      <c r="Q9" s="472"/>
      <c r="R9" s="11"/>
      <c r="V9" s="608">
        <v>15</v>
      </c>
      <c r="W9" s="608"/>
      <c r="X9" s="609">
        <v>0.9</v>
      </c>
      <c r="Y9" s="609"/>
      <c r="Z9" s="164"/>
      <c r="AA9" s="164"/>
      <c r="AB9" s="164"/>
      <c r="AC9" s="164"/>
    </row>
    <row r="10" spans="1:29" ht="15.75" x14ac:dyDescent="0.25">
      <c r="A10" s="10"/>
      <c r="B10" s="3"/>
      <c r="C10" s="4"/>
      <c r="D10" s="4"/>
      <c r="E10" s="4"/>
      <c r="F10" s="4"/>
      <c r="G10" s="4"/>
      <c r="H10" s="4"/>
      <c r="I10" s="4"/>
      <c r="J10" s="4"/>
      <c r="K10" s="4"/>
      <c r="L10" s="4"/>
      <c r="M10" s="4"/>
      <c r="N10" s="4"/>
      <c r="O10" s="4"/>
      <c r="P10" s="4"/>
      <c r="Q10" s="5"/>
      <c r="R10" s="11"/>
      <c r="V10" s="608">
        <v>20</v>
      </c>
      <c r="W10" s="608"/>
      <c r="X10" s="609">
        <v>1</v>
      </c>
      <c r="Y10" s="609"/>
      <c r="Z10" s="128"/>
      <c r="AA10" s="128"/>
      <c r="AB10" s="128"/>
      <c r="AC10" s="128"/>
    </row>
    <row r="11" spans="1:29" ht="15.75" x14ac:dyDescent="0.25">
      <c r="A11" s="10"/>
      <c r="B11" s="525" t="s">
        <v>4</v>
      </c>
      <c r="C11" s="525"/>
      <c r="D11" s="526" t="str">
        <f>'OG SARGI MEVCUT KADEME'!D11</f>
        <v>Hilmi GÜL</v>
      </c>
      <c r="E11" s="526"/>
      <c r="F11" s="526"/>
      <c r="G11" s="526"/>
      <c r="H11" s="525" t="s">
        <v>5</v>
      </c>
      <c r="I11" s="525"/>
      <c r="J11" s="504" t="s">
        <v>6</v>
      </c>
      <c r="K11" s="504"/>
      <c r="L11" s="504"/>
      <c r="M11" s="504" t="s">
        <v>7</v>
      </c>
      <c r="N11" s="504"/>
      <c r="O11" s="478" t="s">
        <v>8</v>
      </c>
      <c r="P11" s="479"/>
      <c r="Q11" s="480"/>
      <c r="R11" s="11"/>
      <c r="V11" s="608">
        <v>25</v>
      </c>
      <c r="W11" s="608"/>
      <c r="X11" s="609">
        <v>1.2</v>
      </c>
      <c r="Y11" s="609"/>
      <c r="Z11" s="128"/>
      <c r="AA11" s="128"/>
      <c r="AB11" s="128"/>
      <c r="AC11" s="128"/>
    </row>
    <row r="12" spans="1:29" ht="15.75" x14ac:dyDescent="0.25">
      <c r="A12" s="10"/>
      <c r="B12" s="3"/>
      <c r="C12" s="4"/>
      <c r="D12" s="4"/>
      <c r="E12" s="4"/>
      <c r="F12" s="4"/>
      <c r="G12" s="4"/>
      <c r="H12" s="4"/>
      <c r="I12" s="4"/>
      <c r="J12" s="4"/>
      <c r="K12" s="4"/>
      <c r="L12" s="4"/>
      <c r="M12" s="4"/>
      <c r="N12" s="4"/>
      <c r="O12" s="4"/>
      <c r="P12" s="4"/>
      <c r="Q12" s="5"/>
      <c r="R12" s="11"/>
      <c r="V12" s="608">
        <v>30</v>
      </c>
      <c r="W12" s="608"/>
      <c r="X12" s="609">
        <v>1.25</v>
      </c>
      <c r="Y12" s="609"/>
      <c r="Z12" s="164"/>
      <c r="AA12" s="164"/>
      <c r="AB12" s="164"/>
      <c r="AC12" s="164"/>
    </row>
    <row r="13" spans="1:29" ht="18.75" x14ac:dyDescent="0.25">
      <c r="A13" s="10"/>
      <c r="B13" s="524" t="s">
        <v>9</v>
      </c>
      <c r="C13" s="524"/>
      <c r="D13" s="524"/>
      <c r="E13" s="524"/>
      <c r="F13" s="524"/>
      <c r="G13" s="524"/>
      <c r="H13" s="524"/>
      <c r="I13" s="524"/>
      <c r="J13" s="524"/>
      <c r="K13" s="524"/>
      <c r="L13" s="524"/>
      <c r="M13" s="524"/>
      <c r="N13" s="524"/>
      <c r="O13" s="524"/>
      <c r="P13" s="524"/>
      <c r="Q13" s="524"/>
      <c r="R13" s="11"/>
      <c r="V13" s="608">
        <v>35</v>
      </c>
      <c r="W13" s="608"/>
      <c r="X13" s="609">
        <v>1.4</v>
      </c>
      <c r="Y13" s="609"/>
    </row>
    <row r="14" spans="1:29" ht="15.75" x14ac:dyDescent="0.25">
      <c r="A14" s="10"/>
      <c r="B14" s="3"/>
      <c r="C14" s="4"/>
      <c r="D14" s="4"/>
      <c r="E14" s="4"/>
      <c r="F14" s="4"/>
      <c r="G14" s="4"/>
      <c r="H14" s="4"/>
      <c r="I14" s="4"/>
      <c r="J14" s="4"/>
      <c r="K14" s="4"/>
      <c r="L14" s="4"/>
      <c r="M14" s="4"/>
      <c r="N14" s="4"/>
      <c r="O14" s="4"/>
      <c r="P14" s="4"/>
      <c r="Q14" s="5"/>
      <c r="R14" s="11"/>
      <c r="V14" s="608">
        <v>40</v>
      </c>
      <c r="W14" s="608"/>
      <c r="X14" s="609">
        <v>1.55</v>
      </c>
      <c r="Y14" s="609"/>
      <c r="Z14" s="164"/>
      <c r="AA14" s="164"/>
      <c r="AB14" s="164"/>
      <c r="AC14" s="164"/>
    </row>
    <row r="15" spans="1:29" ht="21" x14ac:dyDescent="0.25">
      <c r="A15" s="10"/>
      <c r="B15" s="611" t="s">
        <v>163</v>
      </c>
      <c r="C15" s="612"/>
      <c r="D15" s="612"/>
      <c r="E15" s="612"/>
      <c r="F15" s="612"/>
      <c r="G15" s="612"/>
      <c r="H15" s="612"/>
      <c r="I15" s="612"/>
      <c r="J15" s="613"/>
      <c r="K15" s="403" t="s">
        <v>164</v>
      </c>
      <c r="L15" s="404"/>
      <c r="M15" s="404"/>
      <c r="N15" s="404"/>
      <c r="O15" s="282" t="s">
        <v>320</v>
      </c>
      <c r="P15" s="165">
        <f>'ANA SAYFA'!G26</f>
        <v>35</v>
      </c>
      <c r="Q15" s="166" t="s">
        <v>165</v>
      </c>
      <c r="R15" s="11"/>
      <c r="V15" s="608">
        <v>45</v>
      </c>
      <c r="W15" s="608"/>
      <c r="X15" s="609">
        <v>1.75</v>
      </c>
      <c r="Y15" s="609"/>
    </row>
    <row r="16" spans="1:29" ht="18.75" customHeight="1" x14ac:dyDescent="0.25">
      <c r="A16" s="10"/>
      <c r="B16" s="614" t="s">
        <v>166</v>
      </c>
      <c r="C16" s="161" t="s">
        <v>167</v>
      </c>
      <c r="D16" s="161"/>
      <c r="E16" s="504" t="s">
        <v>168</v>
      </c>
      <c r="F16" s="504"/>
      <c r="G16" s="504"/>
      <c r="H16" s="504" t="s">
        <v>169</v>
      </c>
      <c r="I16" s="504"/>
      <c r="J16" s="504"/>
      <c r="K16" s="504" t="s">
        <v>170</v>
      </c>
      <c r="L16" s="504"/>
      <c r="M16" s="504"/>
      <c r="N16" s="504" t="s">
        <v>171</v>
      </c>
      <c r="O16" s="504"/>
      <c r="P16" s="504" t="s">
        <v>172</v>
      </c>
      <c r="Q16" s="504"/>
      <c r="R16" s="11"/>
      <c r="V16" s="608">
        <v>50</v>
      </c>
      <c r="W16" s="608"/>
      <c r="X16" s="609">
        <v>1.95</v>
      </c>
      <c r="Y16" s="609"/>
    </row>
    <row r="17" spans="1:29" ht="18.75" x14ac:dyDescent="0.25">
      <c r="A17" s="10"/>
      <c r="B17" s="614"/>
      <c r="C17" s="55">
        <v>1</v>
      </c>
      <c r="D17" s="162">
        <v>1</v>
      </c>
      <c r="E17" s="504" t="s">
        <v>173</v>
      </c>
      <c r="F17" s="504"/>
      <c r="G17" s="504"/>
      <c r="H17" s="504" t="s">
        <v>174</v>
      </c>
      <c r="I17" s="504"/>
      <c r="J17" s="504"/>
      <c r="K17" s="582" t="s">
        <v>175</v>
      </c>
      <c r="L17" s="582"/>
      <c r="M17" s="582"/>
      <c r="N17" s="504">
        <v>10000</v>
      </c>
      <c r="O17" s="504"/>
      <c r="P17" s="582">
        <v>50</v>
      </c>
      <c r="Q17" s="582"/>
      <c r="R17" s="11"/>
      <c r="V17" s="608">
        <v>55</v>
      </c>
      <c r="W17" s="608"/>
      <c r="X17" s="609">
        <v>2.1800000000000002</v>
      </c>
      <c r="Y17" s="609"/>
    </row>
    <row r="18" spans="1:29" ht="18.75" customHeight="1" x14ac:dyDescent="0.25">
      <c r="A18" s="10"/>
      <c r="B18" s="614"/>
      <c r="C18" s="55">
        <v>2</v>
      </c>
      <c r="D18" s="162">
        <v>1</v>
      </c>
      <c r="E18" s="504" t="s">
        <v>176</v>
      </c>
      <c r="F18" s="504"/>
      <c r="G18" s="504"/>
      <c r="H18" s="504" t="s">
        <v>174</v>
      </c>
      <c r="I18" s="504"/>
      <c r="J18" s="504"/>
      <c r="K18" s="582" t="s">
        <v>177</v>
      </c>
      <c r="L18" s="582"/>
      <c r="M18" s="582"/>
      <c r="N18" s="504">
        <v>10000</v>
      </c>
      <c r="O18" s="504"/>
      <c r="P18" s="582">
        <v>50</v>
      </c>
      <c r="Q18" s="582"/>
      <c r="R18" s="11"/>
      <c r="V18" s="608">
        <v>60</v>
      </c>
      <c r="W18" s="608"/>
      <c r="X18" s="609">
        <v>2.42</v>
      </c>
      <c r="Y18" s="609"/>
      <c r="Z18" s="128"/>
      <c r="AA18" s="128"/>
      <c r="AB18" s="128"/>
      <c r="AC18" s="128"/>
    </row>
    <row r="19" spans="1:29" ht="18.75" customHeight="1" x14ac:dyDescent="0.25">
      <c r="A19" s="10"/>
      <c r="B19" s="614"/>
      <c r="C19" s="55">
        <v>3</v>
      </c>
      <c r="D19" s="162">
        <v>1</v>
      </c>
      <c r="E19" s="504" t="s">
        <v>178</v>
      </c>
      <c r="F19" s="504"/>
      <c r="G19" s="504"/>
      <c r="H19" s="504" t="s">
        <v>174</v>
      </c>
      <c r="I19" s="504"/>
      <c r="J19" s="504"/>
      <c r="K19" s="582" t="s">
        <v>179</v>
      </c>
      <c r="L19" s="582"/>
      <c r="M19" s="582"/>
      <c r="N19" s="504">
        <v>10000</v>
      </c>
      <c r="O19" s="504"/>
      <c r="P19" s="582">
        <v>50</v>
      </c>
      <c r="Q19" s="582"/>
      <c r="R19" s="11"/>
      <c r="V19" s="608">
        <v>65</v>
      </c>
      <c r="W19" s="608"/>
      <c r="X19" s="609">
        <v>2.7</v>
      </c>
      <c r="Y19" s="609"/>
      <c r="Z19" s="128"/>
      <c r="AA19" s="128"/>
      <c r="AB19" s="128"/>
      <c r="AC19" s="128"/>
    </row>
    <row r="20" spans="1:29" ht="18.75" x14ac:dyDescent="0.25">
      <c r="A20" s="10"/>
      <c r="B20" s="75"/>
      <c r="C20" s="76"/>
      <c r="D20" s="76"/>
      <c r="E20" s="76"/>
      <c r="F20" s="76"/>
      <c r="G20" s="76"/>
      <c r="H20" s="76"/>
      <c r="I20" s="76"/>
      <c r="J20" s="76"/>
      <c r="K20" s="76"/>
      <c r="L20" s="76"/>
      <c r="M20" s="76"/>
      <c r="N20" s="76"/>
      <c r="O20" s="76"/>
      <c r="P20" s="76"/>
      <c r="Q20" s="77"/>
      <c r="R20" s="11"/>
      <c r="V20" s="608">
        <v>70</v>
      </c>
      <c r="W20" s="608"/>
      <c r="X20" s="609">
        <v>3</v>
      </c>
      <c r="Y20" s="609"/>
      <c r="Z20" s="128"/>
      <c r="AA20" s="128"/>
      <c r="AB20" s="128"/>
      <c r="AC20" s="128"/>
    </row>
    <row r="21" spans="1:29" ht="15.75" customHeight="1" x14ac:dyDescent="0.25">
      <c r="A21" s="10"/>
      <c r="B21" s="610" t="s">
        <v>9</v>
      </c>
      <c r="C21" s="423" t="s">
        <v>173</v>
      </c>
      <c r="D21" s="423"/>
      <c r="E21" s="423"/>
      <c r="F21" s="423"/>
      <c r="G21" s="423"/>
      <c r="H21" s="423"/>
      <c r="I21" s="423"/>
      <c r="J21" s="423"/>
      <c r="K21" s="423"/>
      <c r="L21" s="423"/>
      <c r="M21" s="423"/>
      <c r="N21" s="423"/>
      <c r="O21" s="423"/>
      <c r="P21" s="423"/>
      <c r="Q21" s="539"/>
      <c r="R21" s="11"/>
      <c r="W21" s="128"/>
      <c r="X21" s="128"/>
      <c r="Y21" s="128"/>
      <c r="Z21" s="128"/>
      <c r="AA21" s="128"/>
      <c r="AB21" s="128"/>
      <c r="AC21" s="128"/>
    </row>
    <row r="22" spans="1:29" ht="15" customHeight="1" x14ac:dyDescent="0.25">
      <c r="A22" s="10"/>
      <c r="B22" s="610"/>
      <c r="C22" s="160" t="s">
        <v>167</v>
      </c>
      <c r="D22" s="607" t="s">
        <v>171</v>
      </c>
      <c r="E22" s="607"/>
      <c r="F22" s="607" t="s">
        <v>172</v>
      </c>
      <c r="G22" s="607"/>
      <c r="H22" s="607" t="s">
        <v>180</v>
      </c>
      <c r="I22" s="607"/>
      <c r="J22" s="607" t="s">
        <v>183</v>
      </c>
      <c r="K22" s="607"/>
      <c r="L22" s="541" t="s">
        <v>181</v>
      </c>
      <c r="M22" s="541"/>
      <c r="N22" s="607" t="s">
        <v>182</v>
      </c>
      <c r="O22" s="607"/>
      <c r="P22" s="607" t="s">
        <v>184</v>
      </c>
      <c r="Q22" s="607"/>
      <c r="R22" s="11"/>
    </row>
    <row r="23" spans="1:29" x14ac:dyDescent="0.25">
      <c r="A23" s="10"/>
      <c r="B23" s="610"/>
      <c r="C23" s="160">
        <v>1</v>
      </c>
      <c r="D23" s="582">
        <v>10000</v>
      </c>
      <c r="E23" s="582"/>
      <c r="F23" s="582">
        <v>50</v>
      </c>
      <c r="G23" s="582"/>
      <c r="H23" s="505">
        <v>0.20200000000000001</v>
      </c>
      <c r="I23" s="505"/>
      <c r="J23" s="576">
        <v>0.10592</v>
      </c>
      <c r="K23" s="576"/>
      <c r="L23" s="505">
        <v>1919.95</v>
      </c>
      <c r="M23" s="505"/>
      <c r="N23" s="505">
        <v>52.423000000000002</v>
      </c>
      <c r="O23" s="505"/>
      <c r="P23" s="505">
        <f>H23/AA8</f>
        <v>0.14428571428571429</v>
      </c>
      <c r="Q23" s="505"/>
      <c r="R23" s="11"/>
    </row>
    <row r="24" spans="1:29" x14ac:dyDescent="0.25">
      <c r="A24" s="35"/>
      <c r="B24" s="610"/>
      <c r="C24" s="4"/>
      <c r="D24" s="4"/>
      <c r="E24" s="4"/>
      <c r="F24" s="4"/>
      <c r="G24" s="4"/>
      <c r="H24" s="4"/>
      <c r="I24" s="4"/>
      <c r="J24" s="4"/>
      <c r="K24" s="4"/>
      <c r="L24" s="4"/>
      <c r="M24" s="4"/>
      <c r="N24" s="4"/>
      <c r="O24" s="4"/>
      <c r="P24" s="4"/>
      <c r="Q24" s="5"/>
      <c r="R24" s="11"/>
    </row>
    <row r="25" spans="1:29" ht="15.75" x14ac:dyDescent="0.25">
      <c r="A25" s="35"/>
      <c r="B25" s="610"/>
      <c r="C25" s="423" t="s">
        <v>176</v>
      </c>
      <c r="D25" s="423"/>
      <c r="E25" s="423"/>
      <c r="F25" s="423"/>
      <c r="G25" s="423"/>
      <c r="H25" s="423"/>
      <c r="I25" s="423"/>
      <c r="J25" s="423"/>
      <c r="K25" s="423"/>
      <c r="L25" s="423"/>
      <c r="M25" s="423"/>
      <c r="N25" s="423"/>
      <c r="O25" s="423"/>
      <c r="P25" s="423"/>
      <c r="Q25" s="539"/>
      <c r="R25" s="11"/>
    </row>
    <row r="26" spans="1:29" x14ac:dyDescent="0.25">
      <c r="A26" s="35"/>
      <c r="B26" s="610"/>
      <c r="C26" s="160" t="s">
        <v>167</v>
      </c>
      <c r="D26" s="607" t="s">
        <v>171</v>
      </c>
      <c r="E26" s="607"/>
      <c r="F26" s="607" t="s">
        <v>172</v>
      </c>
      <c r="G26" s="607"/>
      <c r="H26" s="607" t="s">
        <v>180</v>
      </c>
      <c r="I26" s="607"/>
      <c r="J26" s="607" t="s">
        <v>183</v>
      </c>
      <c r="K26" s="607"/>
      <c r="L26" s="541" t="s">
        <v>181</v>
      </c>
      <c r="M26" s="541"/>
      <c r="N26" s="607" t="s">
        <v>182</v>
      </c>
      <c r="O26" s="607"/>
      <c r="P26" s="607" t="s">
        <v>184</v>
      </c>
      <c r="Q26" s="607"/>
      <c r="R26" s="11"/>
    </row>
    <row r="27" spans="1:29" x14ac:dyDescent="0.25">
      <c r="A27" s="10"/>
      <c r="B27" s="610"/>
      <c r="C27" s="160">
        <v>2</v>
      </c>
      <c r="D27" s="582">
        <v>10000</v>
      </c>
      <c r="E27" s="582"/>
      <c r="F27" s="582">
        <v>50</v>
      </c>
      <c r="G27" s="582"/>
      <c r="H27" s="505">
        <v>0.32</v>
      </c>
      <c r="I27" s="505"/>
      <c r="J27" s="576">
        <v>0.36837999999999999</v>
      </c>
      <c r="K27" s="576"/>
      <c r="L27" s="505">
        <v>888.67499999999995</v>
      </c>
      <c r="M27" s="505"/>
      <c r="N27" s="505">
        <v>113.255</v>
      </c>
      <c r="O27" s="505"/>
      <c r="P27" s="505">
        <f>H27/AA8</f>
        <v>0.22857142857142859</v>
      </c>
      <c r="Q27" s="505"/>
      <c r="R27" s="11"/>
    </row>
    <row r="28" spans="1:29" x14ac:dyDescent="0.25">
      <c r="A28" s="10"/>
      <c r="B28" s="610"/>
      <c r="C28" s="4"/>
      <c r="D28" s="4"/>
      <c r="E28" s="4"/>
      <c r="F28" s="24"/>
      <c r="G28" s="4"/>
      <c r="H28" s="4"/>
      <c r="I28" s="4"/>
      <c r="J28" s="4"/>
      <c r="K28" s="4"/>
      <c r="L28" s="4"/>
      <c r="M28" s="4"/>
      <c r="N28" s="4"/>
      <c r="O28" s="4"/>
      <c r="P28" s="4"/>
      <c r="Q28" s="5"/>
      <c r="R28" s="11"/>
    </row>
    <row r="29" spans="1:29" ht="15.75" x14ac:dyDescent="0.25">
      <c r="A29" s="10"/>
      <c r="B29" s="610"/>
      <c r="C29" s="423" t="s">
        <v>178</v>
      </c>
      <c r="D29" s="423"/>
      <c r="E29" s="423"/>
      <c r="F29" s="423"/>
      <c r="G29" s="423"/>
      <c r="H29" s="423"/>
      <c r="I29" s="423"/>
      <c r="J29" s="423"/>
      <c r="K29" s="423"/>
      <c r="L29" s="423"/>
      <c r="M29" s="423"/>
      <c r="N29" s="423"/>
      <c r="O29" s="423"/>
      <c r="P29" s="423"/>
      <c r="Q29" s="539"/>
      <c r="R29" s="11"/>
    </row>
    <row r="30" spans="1:29" x14ac:dyDescent="0.25">
      <c r="A30" s="10"/>
      <c r="B30" s="610"/>
      <c r="C30" s="160" t="s">
        <v>167</v>
      </c>
      <c r="D30" s="607" t="s">
        <v>171</v>
      </c>
      <c r="E30" s="607"/>
      <c r="F30" s="607" t="s">
        <v>172</v>
      </c>
      <c r="G30" s="607"/>
      <c r="H30" s="607" t="s">
        <v>180</v>
      </c>
      <c r="I30" s="607"/>
      <c r="J30" s="607" t="s">
        <v>183</v>
      </c>
      <c r="K30" s="607"/>
      <c r="L30" s="541" t="s">
        <v>181</v>
      </c>
      <c r="M30" s="541"/>
      <c r="N30" s="607" t="s">
        <v>182</v>
      </c>
      <c r="O30" s="607"/>
      <c r="P30" s="607" t="s">
        <v>184</v>
      </c>
      <c r="Q30" s="607"/>
      <c r="R30" s="11"/>
    </row>
    <row r="31" spans="1:29" x14ac:dyDescent="0.25">
      <c r="A31" s="10"/>
      <c r="B31" s="610"/>
      <c r="C31" s="160">
        <v>3</v>
      </c>
      <c r="D31" s="582">
        <v>10000</v>
      </c>
      <c r="E31" s="582"/>
      <c r="F31" s="582">
        <v>50</v>
      </c>
      <c r="G31" s="582"/>
      <c r="H31" s="505">
        <v>0.34499999999999997</v>
      </c>
      <c r="I31" s="505"/>
      <c r="J31" s="576">
        <v>0.47395999999999999</v>
      </c>
      <c r="K31" s="576"/>
      <c r="L31" s="505">
        <v>607.447</v>
      </c>
      <c r="M31" s="505"/>
      <c r="N31" s="505">
        <f>N23+N27</f>
        <v>165.678</v>
      </c>
      <c r="O31" s="505"/>
      <c r="P31" s="505">
        <f>H31/AA8</f>
        <v>0.24642857142857141</v>
      </c>
      <c r="Q31" s="505"/>
      <c r="R31" s="11"/>
    </row>
    <row r="32" spans="1:29" x14ac:dyDescent="0.25">
      <c r="A32" s="10"/>
      <c r="B32" s="167"/>
      <c r="C32" s="4"/>
      <c r="D32" s="4"/>
      <c r="E32" s="4"/>
      <c r="F32" s="4"/>
      <c r="G32" s="4"/>
      <c r="H32" s="4"/>
      <c r="I32" s="4"/>
      <c r="J32" s="4"/>
      <c r="K32" s="4"/>
      <c r="L32" s="4"/>
      <c r="M32" s="4"/>
      <c r="N32" s="4"/>
      <c r="O32" s="4"/>
      <c r="P32" s="4"/>
      <c r="Q32" s="5"/>
      <c r="R32" s="11"/>
    </row>
    <row r="33" spans="1:22" x14ac:dyDescent="0.25">
      <c r="A33" s="10"/>
      <c r="B33" s="601" t="s">
        <v>185</v>
      </c>
      <c r="C33" s="602"/>
      <c r="D33" s="602"/>
      <c r="E33" s="602"/>
      <c r="F33" s="602"/>
      <c r="G33" s="602"/>
      <c r="H33" s="602"/>
      <c r="I33" s="602"/>
      <c r="J33" s="602"/>
      <c r="K33" s="602"/>
      <c r="L33" s="602"/>
      <c r="M33" s="602"/>
      <c r="N33" s="602"/>
      <c r="O33" s="602"/>
      <c r="P33" s="602"/>
      <c r="Q33" s="603"/>
      <c r="R33" s="11"/>
    </row>
    <row r="34" spans="1:22" ht="15" customHeight="1" x14ac:dyDescent="0.25">
      <c r="A34" s="10"/>
      <c r="B34" s="604"/>
      <c r="C34" s="602"/>
      <c r="D34" s="602"/>
      <c r="E34" s="602"/>
      <c r="F34" s="602"/>
      <c r="G34" s="602"/>
      <c r="H34" s="602"/>
      <c r="I34" s="602"/>
      <c r="J34" s="602"/>
      <c r="K34" s="602"/>
      <c r="L34" s="602"/>
      <c r="M34" s="602"/>
      <c r="N34" s="602"/>
      <c r="O34" s="602"/>
      <c r="P34" s="602"/>
      <c r="Q34" s="603"/>
      <c r="R34" s="11"/>
      <c r="U34" s="1"/>
      <c r="V34" s="4"/>
    </row>
    <row r="35" spans="1:22" x14ac:dyDescent="0.25">
      <c r="A35" s="10"/>
      <c r="B35" s="604"/>
      <c r="C35" s="602"/>
      <c r="D35" s="602"/>
      <c r="E35" s="602"/>
      <c r="F35" s="602"/>
      <c r="G35" s="602"/>
      <c r="H35" s="602"/>
      <c r="I35" s="602"/>
      <c r="J35" s="602"/>
      <c r="K35" s="602"/>
      <c r="L35" s="602"/>
      <c r="M35" s="602"/>
      <c r="N35" s="602"/>
      <c r="O35" s="602"/>
      <c r="P35" s="602"/>
      <c r="Q35" s="603"/>
      <c r="R35" s="11"/>
    </row>
    <row r="36" spans="1:22" ht="15.75" x14ac:dyDescent="0.25">
      <c r="A36" s="10"/>
      <c r="B36" s="545" t="s">
        <v>186</v>
      </c>
      <c r="C36" s="545"/>
      <c r="D36" s="545"/>
      <c r="E36" s="545"/>
      <c r="F36" s="545"/>
      <c r="G36" s="545"/>
      <c r="H36" s="545"/>
      <c r="I36" s="545"/>
      <c r="J36" s="545"/>
      <c r="K36" s="545"/>
      <c r="L36" s="545"/>
      <c r="M36" s="545"/>
      <c r="N36" s="545"/>
      <c r="O36" s="545"/>
      <c r="P36" s="545"/>
      <c r="Q36" s="545"/>
      <c r="R36" s="11"/>
    </row>
    <row r="37" spans="1:22" ht="15" customHeight="1" x14ac:dyDescent="0.25">
      <c r="A37" s="10"/>
      <c r="B37" s="605" t="s">
        <v>370</v>
      </c>
      <c r="C37" s="606"/>
      <c r="D37" s="606"/>
      <c r="E37" s="606"/>
      <c r="F37" s="606"/>
      <c r="G37" s="606"/>
      <c r="H37" s="606"/>
      <c r="I37" s="606"/>
      <c r="J37" s="606"/>
      <c r="K37" s="606"/>
      <c r="L37" s="606"/>
      <c r="M37" s="606"/>
      <c r="N37" s="606"/>
      <c r="O37" s="606"/>
      <c r="P37" s="606"/>
      <c r="Q37" s="606"/>
      <c r="R37" s="11"/>
    </row>
    <row r="38" spans="1:22" x14ac:dyDescent="0.25">
      <c r="A38" s="10"/>
      <c r="B38" s="606"/>
      <c r="C38" s="606"/>
      <c r="D38" s="606"/>
      <c r="E38" s="606"/>
      <c r="F38" s="606"/>
      <c r="G38" s="606"/>
      <c r="H38" s="606"/>
      <c r="I38" s="606"/>
      <c r="J38" s="606"/>
      <c r="K38" s="606"/>
      <c r="L38" s="606"/>
      <c r="M38" s="606"/>
      <c r="N38" s="606"/>
      <c r="O38" s="606"/>
      <c r="P38" s="606"/>
      <c r="Q38" s="606"/>
      <c r="R38" s="11"/>
    </row>
    <row r="39" spans="1:22" x14ac:dyDescent="0.25">
      <c r="A39" s="10"/>
      <c r="B39" s="605" t="s">
        <v>371</v>
      </c>
      <c r="C39" s="606"/>
      <c r="D39" s="606"/>
      <c r="E39" s="606"/>
      <c r="F39" s="606"/>
      <c r="G39" s="606"/>
      <c r="H39" s="606"/>
      <c r="I39" s="606"/>
      <c r="J39" s="606"/>
      <c r="K39" s="606"/>
      <c r="L39" s="606"/>
      <c r="M39" s="606"/>
      <c r="N39" s="606"/>
      <c r="O39" s="606"/>
      <c r="P39" s="606"/>
      <c r="Q39" s="606"/>
      <c r="R39" s="11"/>
    </row>
    <row r="40" spans="1:22" ht="15.75" customHeight="1" x14ac:dyDescent="0.25">
      <c r="A40" s="10"/>
      <c r="B40" s="606"/>
      <c r="C40" s="606"/>
      <c r="D40" s="606"/>
      <c r="E40" s="606"/>
      <c r="F40" s="606"/>
      <c r="G40" s="606"/>
      <c r="H40" s="606"/>
      <c r="I40" s="606"/>
      <c r="J40" s="606"/>
      <c r="K40" s="606"/>
      <c r="L40" s="606"/>
      <c r="M40" s="606"/>
      <c r="N40" s="606"/>
      <c r="O40" s="606"/>
      <c r="P40" s="606"/>
      <c r="Q40" s="606"/>
      <c r="R40" s="11"/>
    </row>
    <row r="41" spans="1:22" ht="15" customHeight="1" x14ac:dyDescent="0.25">
      <c r="A41" s="10"/>
      <c r="B41" s="605" t="s">
        <v>372</v>
      </c>
      <c r="C41" s="606"/>
      <c r="D41" s="606"/>
      <c r="E41" s="606"/>
      <c r="F41" s="606"/>
      <c r="G41" s="606"/>
      <c r="H41" s="606"/>
      <c r="I41" s="606"/>
      <c r="J41" s="606"/>
      <c r="K41" s="606"/>
      <c r="L41" s="606"/>
      <c r="M41" s="606"/>
      <c r="N41" s="606"/>
      <c r="O41" s="606"/>
      <c r="P41" s="606"/>
      <c r="Q41" s="606"/>
      <c r="R41" s="11"/>
    </row>
    <row r="42" spans="1:22" ht="15.75" customHeight="1" x14ac:dyDescent="0.25">
      <c r="A42" s="10"/>
      <c r="B42" s="606"/>
      <c r="C42" s="606"/>
      <c r="D42" s="606"/>
      <c r="E42" s="606"/>
      <c r="F42" s="606"/>
      <c r="G42" s="606"/>
      <c r="H42" s="606"/>
      <c r="I42" s="606"/>
      <c r="J42" s="606"/>
      <c r="K42" s="606"/>
      <c r="L42" s="606"/>
      <c r="M42" s="606"/>
      <c r="N42" s="606"/>
      <c r="O42" s="606"/>
      <c r="P42" s="606"/>
      <c r="Q42" s="606"/>
      <c r="R42" s="11"/>
    </row>
    <row r="43" spans="1:22" ht="15" customHeight="1" x14ac:dyDescent="0.25">
      <c r="A43" s="10"/>
      <c r="B43" s="21"/>
      <c r="C43" s="22"/>
      <c r="D43" s="22"/>
      <c r="E43" s="22"/>
      <c r="F43" s="22"/>
      <c r="G43" s="22"/>
      <c r="H43" s="22"/>
      <c r="I43" s="22"/>
      <c r="J43" s="22"/>
      <c r="K43" s="22"/>
      <c r="L43" s="22"/>
      <c r="M43" s="22"/>
      <c r="N43" s="22"/>
      <c r="O43" s="22"/>
      <c r="P43" s="22"/>
      <c r="Q43" s="23"/>
      <c r="R43" s="11"/>
    </row>
    <row r="44" spans="1:22" s="325" customFormat="1" ht="22.5" customHeight="1" x14ac:dyDescent="0.25">
      <c r="A44" s="10"/>
      <c r="B44" s="520" t="s">
        <v>357</v>
      </c>
      <c r="C44" s="521"/>
      <c r="D44" s="521"/>
      <c r="E44" s="330" t="s">
        <v>24</v>
      </c>
      <c r="F44" s="518" t="s">
        <v>395</v>
      </c>
      <c r="G44" s="518"/>
      <c r="H44" s="518"/>
      <c r="I44" s="519"/>
      <c r="J44" s="403" t="s">
        <v>322</v>
      </c>
      <c r="K44" s="404"/>
      <c r="L44" s="404"/>
      <c r="M44" s="404"/>
      <c r="N44" s="404"/>
      <c r="O44" s="404"/>
      <c r="P44" s="404"/>
      <c r="Q44" s="405"/>
      <c r="R44" s="11"/>
    </row>
    <row r="45" spans="1:22" s="325" customFormat="1" ht="22.5" customHeight="1" x14ac:dyDescent="0.25">
      <c r="A45" s="10"/>
      <c r="B45" s="520" t="s">
        <v>386</v>
      </c>
      <c r="C45" s="521"/>
      <c r="D45" s="521"/>
      <c r="E45" s="330" t="s">
        <v>24</v>
      </c>
      <c r="F45" s="522">
        <f>'ANA SAYFA'!F73</f>
        <v>45307</v>
      </c>
      <c r="G45" s="518"/>
      <c r="H45" s="518"/>
      <c r="I45" s="519"/>
      <c r="J45" s="75"/>
      <c r="K45" s="76"/>
      <c r="L45" s="176"/>
      <c r="M45" s="176"/>
      <c r="N45" s="176"/>
      <c r="O45" s="176"/>
      <c r="P45" s="176"/>
      <c r="Q45" s="178"/>
      <c r="R45" s="11"/>
    </row>
    <row r="46" spans="1:22" s="325" customFormat="1" ht="22.5" customHeight="1" x14ac:dyDescent="0.25">
      <c r="A46" s="10"/>
      <c r="B46" s="495" t="s">
        <v>192</v>
      </c>
      <c r="C46" s="496"/>
      <c r="D46" s="496"/>
      <c r="E46" s="331" t="s">
        <v>24</v>
      </c>
      <c r="F46" s="521">
        <f>'ANA SAYFA'!F75</f>
        <v>88258</v>
      </c>
      <c r="G46" s="521"/>
      <c r="H46" s="521"/>
      <c r="I46" s="523"/>
      <c r="J46" s="75"/>
      <c r="K46" s="76"/>
      <c r="L46" s="176"/>
      <c r="M46" s="176"/>
      <c r="N46" s="176"/>
      <c r="O46" s="176"/>
      <c r="P46" s="176"/>
      <c r="Q46" s="178"/>
      <c r="R46" s="11"/>
    </row>
    <row r="47" spans="1:22" s="325" customFormat="1" ht="22.5" customHeight="1" x14ac:dyDescent="0.25">
      <c r="A47" s="10"/>
      <c r="B47" s="495" t="s">
        <v>358</v>
      </c>
      <c r="C47" s="496"/>
      <c r="D47" s="496"/>
      <c r="E47" s="324" t="s">
        <v>24</v>
      </c>
      <c r="F47" s="496" t="str">
        <f>'ANA SAYFA'!F76</f>
        <v>K202439698</v>
      </c>
      <c r="G47" s="496"/>
      <c r="H47" s="496"/>
      <c r="I47" s="497"/>
      <c r="J47" s="336"/>
      <c r="K47" s="182"/>
      <c r="L47" s="182"/>
      <c r="M47" s="182"/>
      <c r="N47" s="182"/>
      <c r="O47" s="182"/>
      <c r="P47" s="182"/>
      <c r="Q47" s="179"/>
      <c r="R47" s="11"/>
    </row>
    <row r="48" spans="1:22" ht="15.75" thickBot="1" x14ac:dyDescent="0.3">
      <c r="A48" s="15"/>
      <c r="B48" s="16"/>
      <c r="C48" s="16"/>
      <c r="D48" s="16"/>
      <c r="E48" s="16"/>
      <c r="F48" s="16"/>
      <c r="G48" s="16"/>
      <c r="H48" s="16"/>
      <c r="I48" s="16"/>
      <c r="J48" s="16"/>
      <c r="K48" s="16"/>
      <c r="L48" s="16"/>
      <c r="M48" s="16"/>
      <c r="N48" s="16"/>
      <c r="O48" s="16"/>
      <c r="P48" s="16"/>
      <c r="Q48" s="16"/>
      <c r="R48" s="17"/>
    </row>
  </sheetData>
  <mergeCells count="134">
    <mergeCell ref="B2:F3"/>
    <mergeCell ref="V3:AC3"/>
    <mergeCell ref="V8:W8"/>
    <mergeCell ref="X8:Y8"/>
    <mergeCell ref="B9:I9"/>
    <mergeCell ref="J9:Q9"/>
    <mergeCell ref="V9:W9"/>
    <mergeCell ref="X9:Y9"/>
    <mergeCell ref="B5:Q5"/>
    <mergeCell ref="V5:AC5"/>
    <mergeCell ref="V6:W7"/>
    <mergeCell ref="X6:Y7"/>
    <mergeCell ref="B7:C7"/>
    <mergeCell ref="D7:F7"/>
    <mergeCell ref="G7:H7"/>
    <mergeCell ref="I7:K7"/>
    <mergeCell ref="L7:N7"/>
    <mergeCell ref="O7:Q7"/>
    <mergeCell ref="G2:H2"/>
    <mergeCell ref="J2:Q2"/>
    <mergeCell ref="G3:H3"/>
    <mergeCell ref="J3:Q3"/>
    <mergeCell ref="V12:W12"/>
    <mergeCell ref="X12:Y12"/>
    <mergeCell ref="B13:Q13"/>
    <mergeCell ref="V13:W13"/>
    <mergeCell ref="X13:Y13"/>
    <mergeCell ref="V14:W14"/>
    <mergeCell ref="X14:Y14"/>
    <mergeCell ref="V10:W10"/>
    <mergeCell ref="X10:Y10"/>
    <mergeCell ref="B11:C11"/>
    <mergeCell ref="D11:G11"/>
    <mergeCell ref="H11:I11"/>
    <mergeCell ref="J11:L11"/>
    <mergeCell ref="M11:N11"/>
    <mergeCell ref="O11:Q11"/>
    <mergeCell ref="V11:W11"/>
    <mergeCell ref="X11:Y11"/>
    <mergeCell ref="B15:J15"/>
    <mergeCell ref="K15:N15"/>
    <mergeCell ref="V15:W15"/>
    <mergeCell ref="X15:Y15"/>
    <mergeCell ref="B16:B19"/>
    <mergeCell ref="E16:G16"/>
    <mergeCell ref="H16:J16"/>
    <mergeCell ref="K16:M16"/>
    <mergeCell ref="N16:O16"/>
    <mergeCell ref="P16:Q16"/>
    <mergeCell ref="V16:W16"/>
    <mergeCell ref="X16:Y16"/>
    <mergeCell ref="E17:G17"/>
    <mergeCell ref="H17:J17"/>
    <mergeCell ref="K17:M17"/>
    <mergeCell ref="N17:O17"/>
    <mergeCell ref="P17:Q17"/>
    <mergeCell ref="V17:W17"/>
    <mergeCell ref="X17:Y17"/>
    <mergeCell ref="X18:Y18"/>
    <mergeCell ref="E19:G19"/>
    <mergeCell ref="H19:J19"/>
    <mergeCell ref="K19:M19"/>
    <mergeCell ref="N19:O19"/>
    <mergeCell ref="P19:Q19"/>
    <mergeCell ref="V19:W19"/>
    <mergeCell ref="X19:Y19"/>
    <mergeCell ref="E18:G18"/>
    <mergeCell ref="H18:J18"/>
    <mergeCell ref="K18:M18"/>
    <mergeCell ref="N18:O18"/>
    <mergeCell ref="P18:Q18"/>
    <mergeCell ref="V18:W18"/>
    <mergeCell ref="V20:W20"/>
    <mergeCell ref="X20:Y20"/>
    <mergeCell ref="B21:B31"/>
    <mergeCell ref="C21:Q21"/>
    <mergeCell ref="D22:E22"/>
    <mergeCell ref="F22:G22"/>
    <mergeCell ref="H22:I22"/>
    <mergeCell ref="L22:M22"/>
    <mergeCell ref="N22:O22"/>
    <mergeCell ref="J22:K22"/>
    <mergeCell ref="C25:Q25"/>
    <mergeCell ref="D26:E26"/>
    <mergeCell ref="F26:G26"/>
    <mergeCell ref="H26:I26"/>
    <mergeCell ref="L26:M26"/>
    <mergeCell ref="N26:O26"/>
    <mergeCell ref="J26:K26"/>
    <mergeCell ref="P26:Q26"/>
    <mergeCell ref="P22:Q22"/>
    <mergeCell ref="D23:E23"/>
    <mergeCell ref="F23:G23"/>
    <mergeCell ref="H23:I23"/>
    <mergeCell ref="L23:M23"/>
    <mergeCell ref="N23:O23"/>
    <mergeCell ref="P23:Q23"/>
    <mergeCell ref="P27:Q27"/>
    <mergeCell ref="C29:Q29"/>
    <mergeCell ref="D30:E30"/>
    <mergeCell ref="F30:G30"/>
    <mergeCell ref="H30:I30"/>
    <mergeCell ref="L30:M30"/>
    <mergeCell ref="N30:O30"/>
    <mergeCell ref="J30:K30"/>
    <mergeCell ref="P30:Q30"/>
    <mergeCell ref="D27:E27"/>
    <mergeCell ref="F27:G27"/>
    <mergeCell ref="H27:I27"/>
    <mergeCell ref="L27:M27"/>
    <mergeCell ref="N27:O27"/>
    <mergeCell ref="J27:K27"/>
    <mergeCell ref="J23:K23"/>
    <mergeCell ref="F45:I45"/>
    <mergeCell ref="B46:D46"/>
    <mergeCell ref="F46:I46"/>
    <mergeCell ref="B47:D47"/>
    <mergeCell ref="F47:I47"/>
    <mergeCell ref="P31:Q31"/>
    <mergeCell ref="B33:Q35"/>
    <mergeCell ref="B36:Q36"/>
    <mergeCell ref="B37:Q38"/>
    <mergeCell ref="B39:Q40"/>
    <mergeCell ref="B41:Q42"/>
    <mergeCell ref="D31:E31"/>
    <mergeCell ref="F31:G31"/>
    <mergeCell ref="H31:I31"/>
    <mergeCell ref="L31:M31"/>
    <mergeCell ref="N31:O31"/>
    <mergeCell ref="J31:K31"/>
    <mergeCell ref="B44:D44"/>
    <mergeCell ref="F44:I44"/>
    <mergeCell ref="B45:D45"/>
    <mergeCell ref="J44:Q44"/>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dxfId="25" priority="7" operator="greaterThan">
      <formula>1</formula>
    </cfRule>
    <cfRule type="cellIs" dxfId="24" priority="8" operator="lessThanOrEqual">
      <formula>0.5</formula>
    </cfRule>
    <cfRule type="cellIs" dxfId="23" priority="9" operator="greaterThan">
      <formula>0.5</formula>
    </cfRule>
  </conditionalFormatting>
  <conditionalFormatting sqref="P27:Q27">
    <cfRule type="cellIs" dxfId="22" priority="4" operator="greaterThan">
      <formula>1</formula>
    </cfRule>
    <cfRule type="cellIs" dxfId="21" priority="5" operator="lessThanOrEqual">
      <formula>0.5</formula>
    </cfRule>
    <cfRule type="cellIs" dxfId="20" priority="6" operator="greaterThan">
      <formula>0.5</formula>
    </cfRule>
  </conditionalFormatting>
  <conditionalFormatting sqref="P31:Q31">
    <cfRule type="cellIs" dxfId="19" priority="1" operator="greaterThan">
      <formula>1</formula>
    </cfRule>
    <cfRule type="cellIs" dxfId="18" priority="2" operator="lessThanOrEqual">
      <formula>0.5</formula>
    </cfRule>
    <cfRule type="cellIs" dxfId="17" priority="3" operator="greaterThan">
      <formula>0.5</formula>
    </cfRule>
  </conditionalFormatting>
  <pageMargins left="0.55118110236220474" right="0.23622047244094488" top="0.3543307086614173" bottom="0.3543307086614173" header="0" footer="0"/>
  <pageSetup paperSize="9" scale="9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48"/>
  <sheetViews>
    <sheetView topLeftCell="A35" zoomScale="85" zoomScaleNormal="85" workbookViewId="0">
      <selection activeCell="N46" sqref="N46"/>
    </sheetView>
  </sheetViews>
  <sheetFormatPr defaultRowHeight="15" x14ac:dyDescent="0.25"/>
  <cols>
    <col min="1" max="1" width="3.5703125" style="163" customWidth="1"/>
    <col min="2" max="5" width="5.42578125" style="163" customWidth="1"/>
    <col min="6" max="6" width="6.5703125" style="163" customWidth="1"/>
    <col min="7" max="10" width="5.42578125" style="163" customWidth="1"/>
    <col min="11" max="17" width="6" style="163" customWidth="1"/>
    <col min="18" max="18" width="3.5703125" style="163" customWidth="1"/>
    <col min="19" max="19" width="10.5703125" style="163" customWidth="1"/>
    <col min="20" max="20" width="12.28515625" style="163" customWidth="1"/>
    <col min="21" max="21" width="9.7109375" style="163" customWidth="1"/>
    <col min="22" max="22" width="9" style="163" customWidth="1"/>
    <col min="23" max="23" width="11.7109375" style="163" customWidth="1"/>
    <col min="24" max="25" width="11" style="163" customWidth="1"/>
    <col min="26" max="26" width="9.140625" style="163"/>
    <col min="27" max="27" width="16.7109375" style="163" customWidth="1"/>
    <col min="28" max="16384" width="9.140625" style="163"/>
  </cols>
  <sheetData>
    <row r="1" spans="1:29" x14ac:dyDescent="0.25">
      <c r="A1" s="12"/>
      <c r="B1" s="13"/>
      <c r="C1" s="13"/>
      <c r="D1" s="13"/>
      <c r="E1" s="13"/>
      <c r="F1" s="13"/>
      <c r="G1" s="13"/>
      <c r="H1" s="13"/>
      <c r="I1" s="13"/>
      <c r="J1" s="13"/>
      <c r="K1" s="13"/>
      <c r="L1" s="13"/>
      <c r="M1" s="13"/>
      <c r="N1" s="13"/>
      <c r="O1" s="13"/>
      <c r="P1" s="13"/>
      <c r="Q1" s="13"/>
      <c r="R1" s="14"/>
    </row>
    <row r="2" spans="1:29" ht="29.25" customHeight="1" x14ac:dyDescent="0.25">
      <c r="A2" s="10"/>
      <c r="B2" s="554"/>
      <c r="C2" s="555"/>
      <c r="D2" s="555"/>
      <c r="E2" s="555"/>
      <c r="F2" s="556"/>
      <c r="G2" s="449" t="s">
        <v>22</v>
      </c>
      <c r="H2" s="450"/>
      <c r="I2" s="185" t="s">
        <v>24</v>
      </c>
      <c r="J2" s="486" t="str">
        <f>'ANA SAYFA'!K2</f>
        <v>BARMAK MAKİNA (ÇAĞLA ELK.)</v>
      </c>
      <c r="K2" s="486"/>
      <c r="L2" s="486"/>
      <c r="M2" s="486"/>
      <c r="N2" s="486"/>
      <c r="O2" s="486"/>
      <c r="P2" s="486"/>
      <c r="Q2" s="487"/>
      <c r="R2" s="11"/>
    </row>
    <row r="3" spans="1:29" ht="29.25" customHeight="1" x14ac:dyDescent="0.25">
      <c r="A3" s="10"/>
      <c r="B3" s="557"/>
      <c r="C3" s="558"/>
      <c r="D3" s="558"/>
      <c r="E3" s="558"/>
      <c r="F3" s="559"/>
      <c r="G3" s="484" t="s">
        <v>23</v>
      </c>
      <c r="H3" s="485"/>
      <c r="I3" s="184" t="s">
        <v>24</v>
      </c>
      <c r="J3" s="488" t="str">
        <f>'ANA SAYFA'!K5</f>
        <v>TRAFO 1</v>
      </c>
      <c r="K3" s="488"/>
      <c r="L3" s="488"/>
      <c r="M3" s="488"/>
      <c r="N3" s="488"/>
      <c r="O3" s="488"/>
      <c r="P3" s="488"/>
      <c r="Q3" s="489"/>
      <c r="R3" s="11"/>
      <c r="V3" s="577"/>
      <c r="W3" s="577"/>
      <c r="X3" s="577"/>
      <c r="Y3" s="577"/>
      <c r="Z3" s="577"/>
      <c r="AA3" s="577"/>
      <c r="AB3" s="577"/>
      <c r="AC3" s="577"/>
    </row>
    <row r="4" spans="1:29" ht="15.75" x14ac:dyDescent="0.25">
      <c r="A4" s="10"/>
      <c r="B4" s="3"/>
      <c r="C4" s="4"/>
      <c r="D4" s="4"/>
      <c r="E4" s="4"/>
      <c r="F4" s="4"/>
      <c r="G4" s="4"/>
      <c r="H4" s="4"/>
      <c r="I4" s="4"/>
      <c r="J4" s="4"/>
      <c r="K4" s="4"/>
      <c r="L4" s="4"/>
      <c r="M4" s="4"/>
      <c r="N4" s="4"/>
      <c r="O4" s="4"/>
      <c r="P4" s="4"/>
      <c r="Q4" s="5"/>
      <c r="R4" s="11"/>
      <c r="W4" s="128"/>
      <c r="X4" s="128"/>
      <c r="Y4" s="128"/>
      <c r="Z4" s="128"/>
      <c r="AA4" s="128"/>
      <c r="AB4" s="128"/>
      <c r="AC4" s="128"/>
    </row>
    <row r="5" spans="1:29" ht="18.75" x14ac:dyDescent="0.25">
      <c r="A5" s="10"/>
      <c r="B5" s="403" t="s">
        <v>345</v>
      </c>
      <c r="C5" s="404"/>
      <c r="D5" s="404"/>
      <c r="E5" s="404"/>
      <c r="F5" s="404"/>
      <c r="G5" s="404"/>
      <c r="H5" s="404"/>
      <c r="I5" s="404"/>
      <c r="J5" s="404"/>
      <c r="K5" s="404"/>
      <c r="L5" s="404"/>
      <c r="M5" s="404"/>
      <c r="N5" s="404"/>
      <c r="O5" s="404"/>
      <c r="P5" s="404"/>
      <c r="Q5" s="405"/>
      <c r="R5" s="11"/>
      <c r="V5" s="577"/>
      <c r="W5" s="577"/>
      <c r="X5" s="577"/>
      <c r="Y5" s="577"/>
      <c r="Z5" s="577"/>
      <c r="AA5" s="577"/>
      <c r="AB5" s="577"/>
      <c r="AC5" s="577"/>
    </row>
    <row r="6" spans="1:29" x14ac:dyDescent="0.25">
      <c r="A6" s="10"/>
      <c r="B6" s="3"/>
      <c r="C6" s="4"/>
      <c r="D6" s="4"/>
      <c r="E6" s="4"/>
      <c r="F6" s="4"/>
      <c r="G6" s="4"/>
      <c r="H6" s="4"/>
      <c r="I6" s="4"/>
      <c r="J6" s="4"/>
      <c r="K6" s="4"/>
      <c r="L6" s="4"/>
      <c r="M6" s="4"/>
      <c r="N6" s="4"/>
      <c r="O6" s="4"/>
      <c r="P6" s="4"/>
      <c r="Q6" s="5"/>
      <c r="R6" s="11"/>
      <c r="V6" s="541" t="s">
        <v>161</v>
      </c>
      <c r="W6" s="541"/>
      <c r="X6" s="541" t="s">
        <v>162</v>
      </c>
      <c r="Y6" s="541"/>
      <c r="Z6" s="1"/>
      <c r="AA6" s="1"/>
      <c r="AB6" s="1"/>
      <c r="AC6" s="1"/>
    </row>
    <row r="7" spans="1:29" x14ac:dyDescent="0.25">
      <c r="A7" s="10"/>
      <c r="B7" s="504" t="s">
        <v>1</v>
      </c>
      <c r="C7" s="504"/>
      <c r="D7" s="504" t="str">
        <f>'OG SARGI MEVCUT KADEME'!D7:F7</f>
        <v>BEST</v>
      </c>
      <c r="E7" s="504"/>
      <c r="F7" s="504"/>
      <c r="G7" s="527" t="s">
        <v>2</v>
      </c>
      <c r="H7" s="527"/>
      <c r="I7" s="527" t="str">
        <f>'OG SARGI MEVCUT KADEME'!I7:K7</f>
        <v>06/2013</v>
      </c>
      <c r="J7" s="504"/>
      <c r="K7" s="504"/>
      <c r="L7" s="504" t="s">
        <v>21</v>
      </c>
      <c r="M7" s="504"/>
      <c r="N7" s="504"/>
      <c r="O7" s="527">
        <f>'OG SARGI MEVCUT KADEME'!O7:Q7</f>
        <v>1330</v>
      </c>
      <c r="P7" s="504"/>
      <c r="Q7" s="504"/>
      <c r="R7" s="11"/>
      <c r="V7" s="541"/>
      <c r="W7" s="541"/>
      <c r="X7" s="541"/>
      <c r="Y7" s="541"/>
      <c r="Z7" s="164"/>
      <c r="AA7" s="164"/>
      <c r="AB7" s="164"/>
      <c r="AC7" s="164"/>
    </row>
    <row r="8" spans="1:29" ht="15.75" x14ac:dyDescent="0.25">
      <c r="A8" s="10"/>
      <c r="B8" s="3"/>
      <c r="C8" s="4"/>
      <c r="D8" s="4"/>
      <c r="E8" s="4"/>
      <c r="F8" s="4"/>
      <c r="G8" s="4"/>
      <c r="H8" s="4"/>
      <c r="I8" s="4"/>
      <c r="J8" s="4"/>
      <c r="K8" s="4"/>
      <c r="L8" s="4"/>
      <c r="M8" s="4"/>
      <c r="N8" s="4"/>
      <c r="O8" s="4"/>
      <c r="P8" s="4"/>
      <c r="Q8" s="5"/>
      <c r="R8" s="11"/>
      <c r="V8" s="608">
        <v>10</v>
      </c>
      <c r="W8" s="608"/>
      <c r="X8" s="609">
        <v>0.8</v>
      </c>
      <c r="Y8" s="609"/>
      <c r="Z8" s="128"/>
      <c r="AA8" s="128">
        <f>IF(P15=10,X8,
IF(P15=15,X9,
IF(P15=20,X10,
IF(P15=25,X11,
IF(P15=30,X12,
IF(P15=35,X13, IF(P15=40,X14, IF(P15=45,X15, IF(P15=50,X16,IF(P15=55,X17,IF(P15=60,X18)))))))))))</f>
        <v>1.4</v>
      </c>
      <c r="AB8" s="128"/>
      <c r="AC8" s="128"/>
    </row>
    <row r="9" spans="1:29" ht="18.75" x14ac:dyDescent="0.25">
      <c r="A9" s="10"/>
      <c r="B9" s="469" t="s">
        <v>3</v>
      </c>
      <c r="C9" s="470"/>
      <c r="D9" s="470"/>
      <c r="E9" s="470"/>
      <c r="F9" s="470"/>
      <c r="G9" s="470"/>
      <c r="H9" s="470"/>
      <c r="I9" s="470"/>
      <c r="J9" s="471">
        <f>'ANA SAYFA'!F72</f>
        <v>45310</v>
      </c>
      <c r="K9" s="471"/>
      <c r="L9" s="471"/>
      <c r="M9" s="471"/>
      <c r="N9" s="471"/>
      <c r="O9" s="471"/>
      <c r="P9" s="471"/>
      <c r="Q9" s="472"/>
      <c r="R9" s="11"/>
      <c r="V9" s="608">
        <v>15</v>
      </c>
      <c r="W9" s="608"/>
      <c r="X9" s="609">
        <v>0.9</v>
      </c>
      <c r="Y9" s="609"/>
      <c r="Z9" s="164"/>
      <c r="AA9" s="164"/>
      <c r="AB9" s="164"/>
      <c r="AC9" s="164"/>
    </row>
    <row r="10" spans="1:29" ht="15.75" x14ac:dyDescent="0.25">
      <c r="A10" s="10"/>
      <c r="B10" s="3"/>
      <c r="C10" s="4"/>
      <c r="D10" s="4"/>
      <c r="E10" s="4"/>
      <c r="F10" s="4"/>
      <c r="G10" s="4"/>
      <c r="H10" s="4"/>
      <c r="I10" s="4"/>
      <c r="J10" s="4"/>
      <c r="K10" s="4"/>
      <c r="L10" s="4"/>
      <c r="M10" s="4"/>
      <c r="N10" s="4"/>
      <c r="O10" s="4"/>
      <c r="P10" s="4"/>
      <c r="Q10" s="5"/>
      <c r="R10" s="11"/>
      <c r="V10" s="608">
        <v>20</v>
      </c>
      <c r="W10" s="608"/>
      <c r="X10" s="609">
        <v>1</v>
      </c>
      <c r="Y10" s="609"/>
      <c r="Z10" s="128"/>
      <c r="AA10" s="128"/>
      <c r="AB10" s="128"/>
      <c r="AC10" s="128"/>
    </row>
    <row r="11" spans="1:29" ht="15.75" x14ac:dyDescent="0.25">
      <c r="A11" s="10"/>
      <c r="B11" s="525" t="s">
        <v>4</v>
      </c>
      <c r="C11" s="525"/>
      <c r="D11" s="526" t="str">
        <f>'OG SARGI MEVCUT KADEME'!D11</f>
        <v>Hilmi GÜL</v>
      </c>
      <c r="E11" s="526"/>
      <c r="F11" s="526"/>
      <c r="G11" s="526"/>
      <c r="H11" s="525" t="s">
        <v>5</v>
      </c>
      <c r="I11" s="525"/>
      <c r="J11" s="504" t="s">
        <v>6</v>
      </c>
      <c r="K11" s="504"/>
      <c r="L11" s="504"/>
      <c r="M11" s="504" t="s">
        <v>7</v>
      </c>
      <c r="N11" s="504"/>
      <c r="O11" s="478" t="s">
        <v>8</v>
      </c>
      <c r="P11" s="479"/>
      <c r="Q11" s="480"/>
      <c r="R11" s="11"/>
      <c r="V11" s="608">
        <v>25</v>
      </c>
      <c r="W11" s="608"/>
      <c r="X11" s="609">
        <v>1.2</v>
      </c>
      <c r="Y11" s="609"/>
      <c r="Z11" s="128"/>
      <c r="AA11" s="128"/>
      <c r="AB11" s="128"/>
      <c r="AC11" s="128"/>
    </row>
    <row r="12" spans="1:29" ht="15.75" x14ac:dyDescent="0.25">
      <c r="A12" s="10"/>
      <c r="B12" s="3"/>
      <c r="C12" s="4"/>
      <c r="D12" s="4"/>
      <c r="E12" s="4"/>
      <c r="F12" s="4"/>
      <c r="G12" s="4"/>
      <c r="H12" s="4"/>
      <c r="I12" s="4"/>
      <c r="J12" s="4"/>
      <c r="K12" s="4"/>
      <c r="L12" s="4"/>
      <c r="M12" s="4"/>
      <c r="N12" s="4"/>
      <c r="O12" s="4"/>
      <c r="P12" s="4"/>
      <c r="Q12" s="5"/>
      <c r="R12" s="11"/>
      <c r="V12" s="608">
        <v>30</v>
      </c>
      <c r="W12" s="608"/>
      <c r="X12" s="609">
        <v>1.25</v>
      </c>
      <c r="Y12" s="609"/>
      <c r="Z12" s="164"/>
      <c r="AA12" s="164"/>
      <c r="AB12" s="164"/>
      <c r="AC12" s="164"/>
    </row>
    <row r="13" spans="1:29" ht="18.75" x14ac:dyDescent="0.25">
      <c r="A13" s="10"/>
      <c r="B13" s="524" t="s">
        <v>9</v>
      </c>
      <c r="C13" s="524"/>
      <c r="D13" s="524"/>
      <c r="E13" s="524"/>
      <c r="F13" s="524"/>
      <c r="G13" s="524"/>
      <c r="H13" s="524"/>
      <c r="I13" s="524"/>
      <c r="J13" s="524"/>
      <c r="K13" s="524"/>
      <c r="L13" s="524"/>
      <c r="M13" s="524"/>
      <c r="N13" s="524"/>
      <c r="O13" s="524"/>
      <c r="P13" s="524"/>
      <c r="Q13" s="524"/>
      <c r="R13" s="11"/>
      <c r="V13" s="608">
        <v>35</v>
      </c>
      <c r="W13" s="608"/>
      <c r="X13" s="609">
        <v>1.4</v>
      </c>
      <c r="Y13" s="609"/>
    </row>
    <row r="14" spans="1:29" ht="15.75" x14ac:dyDescent="0.25">
      <c r="A14" s="10"/>
      <c r="B14" s="3"/>
      <c r="C14" s="4"/>
      <c r="D14" s="4"/>
      <c r="E14" s="4"/>
      <c r="F14" s="4"/>
      <c r="G14" s="4"/>
      <c r="H14" s="4"/>
      <c r="I14" s="4"/>
      <c r="J14" s="4"/>
      <c r="K14" s="4"/>
      <c r="L14" s="4"/>
      <c r="M14" s="4"/>
      <c r="N14" s="4"/>
      <c r="O14" s="4"/>
      <c r="P14" s="4"/>
      <c r="Q14" s="5"/>
      <c r="R14" s="11"/>
      <c r="V14" s="608">
        <v>40</v>
      </c>
      <c r="W14" s="608"/>
      <c r="X14" s="609">
        <v>1.55</v>
      </c>
      <c r="Y14" s="609"/>
      <c r="Z14" s="164"/>
      <c r="AA14" s="164"/>
      <c r="AB14" s="164"/>
      <c r="AC14" s="164"/>
    </row>
    <row r="15" spans="1:29" ht="21" x14ac:dyDescent="0.25">
      <c r="A15" s="10"/>
      <c r="B15" s="611" t="s">
        <v>187</v>
      </c>
      <c r="C15" s="612"/>
      <c r="D15" s="612"/>
      <c r="E15" s="612"/>
      <c r="F15" s="612"/>
      <c r="G15" s="612"/>
      <c r="H15" s="612"/>
      <c r="I15" s="612"/>
      <c r="J15" s="613"/>
      <c r="K15" s="403" t="s">
        <v>164</v>
      </c>
      <c r="L15" s="404"/>
      <c r="M15" s="404"/>
      <c r="N15" s="404"/>
      <c r="O15" s="282" t="s">
        <v>320</v>
      </c>
      <c r="P15" s="165">
        <f>'HV PF'!P15</f>
        <v>35</v>
      </c>
      <c r="Q15" s="166" t="s">
        <v>165</v>
      </c>
      <c r="R15" s="11"/>
      <c r="V15" s="608">
        <v>45</v>
      </c>
      <c r="W15" s="608"/>
      <c r="X15" s="609">
        <v>1.75</v>
      </c>
      <c r="Y15" s="609"/>
    </row>
    <row r="16" spans="1:29" ht="18.75" customHeight="1" x14ac:dyDescent="0.25">
      <c r="A16" s="10"/>
      <c r="B16" s="614" t="s">
        <v>166</v>
      </c>
      <c r="C16" s="161" t="s">
        <v>167</v>
      </c>
      <c r="D16" s="161"/>
      <c r="E16" s="504" t="s">
        <v>168</v>
      </c>
      <c r="F16" s="504"/>
      <c r="G16" s="504"/>
      <c r="H16" s="504" t="s">
        <v>169</v>
      </c>
      <c r="I16" s="504"/>
      <c r="J16" s="504"/>
      <c r="K16" s="504" t="s">
        <v>170</v>
      </c>
      <c r="L16" s="504"/>
      <c r="M16" s="504"/>
      <c r="N16" s="504" t="s">
        <v>171</v>
      </c>
      <c r="O16" s="504"/>
      <c r="P16" s="504" t="s">
        <v>172</v>
      </c>
      <c r="Q16" s="504"/>
      <c r="R16" s="11"/>
      <c r="V16" s="608">
        <v>50</v>
      </c>
      <c r="W16" s="608"/>
      <c r="X16" s="609">
        <v>1.95</v>
      </c>
      <c r="Y16" s="609"/>
    </row>
    <row r="17" spans="1:37" ht="18.75" x14ac:dyDescent="0.25">
      <c r="A17" s="10"/>
      <c r="B17" s="614"/>
      <c r="C17" s="55">
        <v>1</v>
      </c>
      <c r="D17" s="162">
        <v>1</v>
      </c>
      <c r="E17" s="504" t="s">
        <v>188</v>
      </c>
      <c r="F17" s="504"/>
      <c r="G17" s="504"/>
      <c r="H17" s="504" t="s">
        <v>174</v>
      </c>
      <c r="I17" s="504"/>
      <c r="J17" s="504"/>
      <c r="K17" s="582" t="s">
        <v>175</v>
      </c>
      <c r="L17" s="582"/>
      <c r="M17" s="582"/>
      <c r="N17" s="504">
        <v>10000</v>
      </c>
      <c r="O17" s="504"/>
      <c r="P17" s="582">
        <v>50</v>
      </c>
      <c r="Q17" s="582"/>
      <c r="R17" s="11"/>
      <c r="V17" s="608">
        <v>55</v>
      </c>
      <c r="W17" s="608"/>
      <c r="X17" s="609">
        <v>2.1800000000000002</v>
      </c>
      <c r="Y17" s="609"/>
    </row>
    <row r="18" spans="1:37" ht="18.75" customHeight="1" x14ac:dyDescent="0.25">
      <c r="A18" s="10"/>
      <c r="B18" s="614"/>
      <c r="C18" s="55">
        <v>2</v>
      </c>
      <c r="D18" s="162">
        <v>1</v>
      </c>
      <c r="E18" s="504" t="s">
        <v>176</v>
      </c>
      <c r="F18" s="504"/>
      <c r="G18" s="504"/>
      <c r="H18" s="504" t="s">
        <v>174</v>
      </c>
      <c r="I18" s="504"/>
      <c r="J18" s="504"/>
      <c r="K18" s="582" t="s">
        <v>177</v>
      </c>
      <c r="L18" s="582"/>
      <c r="M18" s="582"/>
      <c r="N18" s="504">
        <v>10000</v>
      </c>
      <c r="O18" s="504"/>
      <c r="P18" s="582">
        <v>50</v>
      </c>
      <c r="Q18" s="582"/>
      <c r="R18" s="11"/>
      <c r="V18" s="608">
        <v>60</v>
      </c>
      <c r="W18" s="608"/>
      <c r="X18" s="609">
        <v>2.42</v>
      </c>
      <c r="Y18" s="609"/>
      <c r="Z18" s="128"/>
      <c r="AA18" s="128"/>
      <c r="AB18" s="128"/>
      <c r="AC18" s="128"/>
    </row>
    <row r="19" spans="1:37" ht="18.75" customHeight="1" x14ac:dyDescent="0.25">
      <c r="A19" s="10"/>
      <c r="B19" s="614"/>
      <c r="C19" s="55">
        <v>3</v>
      </c>
      <c r="D19" s="162">
        <v>1</v>
      </c>
      <c r="E19" s="504" t="s">
        <v>189</v>
      </c>
      <c r="F19" s="504"/>
      <c r="G19" s="504"/>
      <c r="H19" s="504" t="s">
        <v>174</v>
      </c>
      <c r="I19" s="504"/>
      <c r="J19" s="504"/>
      <c r="K19" s="582" t="s">
        <v>179</v>
      </c>
      <c r="L19" s="582"/>
      <c r="M19" s="582"/>
      <c r="N19" s="504">
        <v>10000</v>
      </c>
      <c r="O19" s="504"/>
      <c r="P19" s="582">
        <v>50</v>
      </c>
      <c r="Q19" s="582"/>
      <c r="R19" s="11"/>
      <c r="V19" s="608">
        <v>65</v>
      </c>
      <c r="W19" s="608"/>
      <c r="X19" s="609">
        <v>2.7</v>
      </c>
      <c r="Y19" s="609"/>
      <c r="Z19" s="128"/>
      <c r="AA19" s="128"/>
      <c r="AB19" s="128"/>
      <c r="AC19" s="128"/>
    </row>
    <row r="20" spans="1:37" ht="18.75" x14ac:dyDescent="0.25">
      <c r="A20" s="10"/>
      <c r="B20" s="75"/>
      <c r="C20" s="76"/>
      <c r="D20" s="76"/>
      <c r="E20" s="76"/>
      <c r="F20" s="76"/>
      <c r="G20" s="76"/>
      <c r="H20" s="76"/>
      <c r="I20" s="76"/>
      <c r="J20" s="76"/>
      <c r="K20" s="76"/>
      <c r="L20" s="76"/>
      <c r="M20" s="76"/>
      <c r="N20" s="76"/>
      <c r="O20" s="76"/>
      <c r="P20" s="76"/>
      <c r="Q20" s="77"/>
      <c r="R20" s="11"/>
      <c r="V20" s="608">
        <v>70</v>
      </c>
      <c r="W20" s="608"/>
      <c r="X20" s="609">
        <v>3</v>
      </c>
      <c r="Y20" s="609"/>
      <c r="Z20" s="128"/>
      <c r="AA20" s="128"/>
      <c r="AB20" s="128"/>
      <c r="AC20" s="128"/>
    </row>
    <row r="21" spans="1:37" ht="15.75" customHeight="1" x14ac:dyDescent="0.25">
      <c r="A21" s="10"/>
      <c r="B21" s="610" t="s">
        <v>9</v>
      </c>
      <c r="C21" s="423" t="s">
        <v>188</v>
      </c>
      <c r="D21" s="423"/>
      <c r="E21" s="423"/>
      <c r="F21" s="423"/>
      <c r="G21" s="423"/>
      <c r="H21" s="423"/>
      <c r="I21" s="423"/>
      <c r="J21" s="423"/>
      <c r="K21" s="423"/>
      <c r="L21" s="423"/>
      <c r="M21" s="423"/>
      <c r="N21" s="423"/>
      <c r="O21" s="423"/>
      <c r="P21" s="423"/>
      <c r="Q21" s="539"/>
      <c r="R21" s="11"/>
      <c r="W21" s="128"/>
      <c r="X21" s="128"/>
      <c r="Y21" s="128"/>
      <c r="Z21" s="128"/>
      <c r="AA21" s="128"/>
      <c r="AB21" s="128"/>
      <c r="AC21" s="128"/>
    </row>
    <row r="22" spans="1:37" ht="15" customHeight="1" x14ac:dyDescent="0.25">
      <c r="A22" s="10"/>
      <c r="B22" s="610"/>
      <c r="C22" s="160" t="s">
        <v>167</v>
      </c>
      <c r="D22" s="607" t="s">
        <v>171</v>
      </c>
      <c r="E22" s="607"/>
      <c r="F22" s="607" t="s">
        <v>172</v>
      </c>
      <c r="G22" s="607"/>
      <c r="H22" s="607" t="s">
        <v>180</v>
      </c>
      <c r="I22" s="607"/>
      <c r="J22" s="607" t="s">
        <v>183</v>
      </c>
      <c r="K22" s="607"/>
      <c r="L22" s="541" t="s">
        <v>181</v>
      </c>
      <c r="M22" s="541"/>
      <c r="N22" s="607" t="s">
        <v>182</v>
      </c>
      <c r="O22" s="607"/>
      <c r="P22" s="607" t="s">
        <v>184</v>
      </c>
      <c r="Q22" s="607"/>
      <c r="R22" s="11"/>
    </row>
    <row r="23" spans="1:37" x14ac:dyDescent="0.25">
      <c r="A23" s="10"/>
      <c r="B23" s="610"/>
      <c r="C23" s="160">
        <v>1</v>
      </c>
      <c r="D23" s="582">
        <v>1000</v>
      </c>
      <c r="E23" s="582"/>
      <c r="F23" s="582">
        <v>50</v>
      </c>
      <c r="G23" s="582"/>
      <c r="H23" s="505">
        <v>0.51300000000000001</v>
      </c>
      <c r="I23" s="505"/>
      <c r="J23" s="576">
        <v>0.10228</v>
      </c>
      <c r="K23" s="576"/>
      <c r="L23" s="505">
        <v>202.124</v>
      </c>
      <c r="M23" s="505"/>
      <c r="N23" s="505">
        <v>19.914999999999999</v>
      </c>
      <c r="O23" s="505"/>
      <c r="P23" s="505">
        <f>H23/AA8</f>
        <v>0.36642857142857144</v>
      </c>
      <c r="Q23" s="505"/>
      <c r="R23" s="11"/>
    </row>
    <row r="24" spans="1:37" x14ac:dyDescent="0.25">
      <c r="A24" s="35"/>
      <c r="B24" s="610"/>
      <c r="C24" s="4"/>
      <c r="D24" s="4"/>
      <c r="E24" s="4"/>
      <c r="F24" s="4"/>
      <c r="G24" s="4"/>
      <c r="H24" s="4"/>
      <c r="I24" s="4"/>
      <c r="J24" s="4"/>
      <c r="K24" s="4"/>
      <c r="L24" s="4"/>
      <c r="M24" s="4"/>
      <c r="N24" s="4"/>
      <c r="O24" s="4"/>
      <c r="P24" s="4"/>
      <c r="Q24" s="5"/>
      <c r="R24" s="11"/>
    </row>
    <row r="25" spans="1:37" ht="15.75" x14ac:dyDescent="0.25">
      <c r="A25" s="35"/>
      <c r="B25" s="610"/>
      <c r="C25" s="423" t="s">
        <v>176</v>
      </c>
      <c r="D25" s="423"/>
      <c r="E25" s="423"/>
      <c r="F25" s="423"/>
      <c r="G25" s="423"/>
      <c r="H25" s="423"/>
      <c r="I25" s="423"/>
      <c r="J25" s="423"/>
      <c r="K25" s="423"/>
      <c r="L25" s="423"/>
      <c r="M25" s="423"/>
      <c r="N25" s="423"/>
      <c r="O25" s="423"/>
      <c r="P25" s="423"/>
      <c r="Q25" s="539"/>
      <c r="R25" s="11"/>
    </row>
    <row r="26" spans="1:37" x14ac:dyDescent="0.25">
      <c r="A26" s="35"/>
      <c r="B26" s="610"/>
      <c r="C26" s="160" t="s">
        <v>167</v>
      </c>
      <c r="D26" s="607" t="s">
        <v>171</v>
      </c>
      <c r="E26" s="607"/>
      <c r="F26" s="607" t="s">
        <v>172</v>
      </c>
      <c r="G26" s="607"/>
      <c r="H26" s="607" t="s">
        <v>180</v>
      </c>
      <c r="I26" s="607"/>
      <c r="J26" s="607" t="s">
        <v>183</v>
      </c>
      <c r="K26" s="607"/>
      <c r="L26" s="541" t="s">
        <v>181</v>
      </c>
      <c r="M26" s="541"/>
      <c r="N26" s="607" t="s">
        <v>182</v>
      </c>
      <c r="O26" s="607"/>
      <c r="P26" s="607" t="s">
        <v>184</v>
      </c>
      <c r="Q26" s="607"/>
      <c r="R26" s="11"/>
    </row>
    <row r="27" spans="1:37" x14ac:dyDescent="0.25">
      <c r="A27" s="10"/>
      <c r="B27" s="610"/>
      <c r="C27" s="160">
        <v>2</v>
      </c>
      <c r="D27" s="582">
        <v>1000</v>
      </c>
      <c r="E27" s="582"/>
      <c r="F27" s="582">
        <v>50</v>
      </c>
      <c r="G27" s="582"/>
      <c r="H27" s="505">
        <v>0.32300000000000001</v>
      </c>
      <c r="I27" s="505"/>
      <c r="J27" s="576">
        <v>1.46573E-2</v>
      </c>
      <c r="K27" s="576"/>
      <c r="L27" s="505"/>
      <c r="M27" s="505"/>
      <c r="N27" s="505">
        <v>4.5279999999999996</v>
      </c>
      <c r="O27" s="505"/>
      <c r="P27" s="505">
        <f>H27/AA8</f>
        <v>0.23071428571428573</v>
      </c>
      <c r="Q27" s="505"/>
      <c r="R27" s="11"/>
    </row>
    <row r="28" spans="1:37" ht="15" customHeight="1" x14ac:dyDescent="0.25">
      <c r="A28" s="10"/>
      <c r="B28" s="610"/>
      <c r="C28" s="4"/>
      <c r="D28" s="4"/>
      <c r="E28" s="4"/>
      <c r="F28" s="24"/>
      <c r="G28" s="4"/>
      <c r="H28" s="4"/>
      <c r="I28" s="4"/>
      <c r="J28" s="4"/>
      <c r="K28" s="4"/>
      <c r="L28" s="4"/>
      <c r="M28" s="4"/>
      <c r="N28" s="4"/>
      <c r="O28" s="4"/>
      <c r="P28" s="4"/>
      <c r="Q28" s="5"/>
      <c r="R28" s="11"/>
      <c r="Z28" s="49"/>
      <c r="AA28" s="49"/>
      <c r="AB28" s="49"/>
      <c r="AC28" s="49"/>
      <c r="AD28" s="49"/>
      <c r="AE28" s="49"/>
      <c r="AF28" s="49"/>
      <c r="AG28" s="49"/>
      <c r="AH28" s="49"/>
      <c r="AI28" s="49"/>
      <c r="AJ28" s="49"/>
      <c r="AK28" s="49"/>
    </row>
    <row r="29" spans="1:37" ht="15.75" x14ac:dyDescent="0.25">
      <c r="A29" s="10"/>
      <c r="B29" s="610"/>
      <c r="C29" s="423" t="s">
        <v>189</v>
      </c>
      <c r="D29" s="423"/>
      <c r="E29" s="423"/>
      <c r="F29" s="423"/>
      <c r="G29" s="423"/>
      <c r="H29" s="423"/>
      <c r="I29" s="423"/>
      <c r="J29" s="423"/>
      <c r="K29" s="423"/>
      <c r="L29" s="423"/>
      <c r="M29" s="423"/>
      <c r="N29" s="423"/>
      <c r="O29" s="423"/>
      <c r="P29" s="423"/>
      <c r="Q29" s="539"/>
      <c r="R29" s="11"/>
      <c r="V29" s="49"/>
      <c r="W29" s="49"/>
      <c r="X29" s="49"/>
      <c r="Y29" s="49"/>
      <c r="Z29" s="49"/>
      <c r="AA29" s="49"/>
      <c r="AB29" s="49"/>
      <c r="AC29" s="49"/>
      <c r="AD29" s="49"/>
      <c r="AE29" s="49"/>
      <c r="AF29" s="49"/>
      <c r="AG29" s="49"/>
      <c r="AH29" s="49"/>
      <c r="AI29" s="49"/>
      <c r="AJ29" s="49"/>
      <c r="AK29" s="49"/>
    </row>
    <row r="30" spans="1:37" ht="15.75" customHeight="1" x14ac:dyDescent="0.25">
      <c r="A30" s="10"/>
      <c r="B30" s="610"/>
      <c r="C30" s="160" t="s">
        <v>167</v>
      </c>
      <c r="D30" s="607" t="s">
        <v>171</v>
      </c>
      <c r="E30" s="607"/>
      <c r="F30" s="607" t="s">
        <v>172</v>
      </c>
      <c r="G30" s="607"/>
      <c r="H30" s="607" t="s">
        <v>180</v>
      </c>
      <c r="I30" s="607"/>
      <c r="J30" s="607" t="s">
        <v>183</v>
      </c>
      <c r="K30" s="607"/>
      <c r="L30" s="541" t="s">
        <v>181</v>
      </c>
      <c r="M30" s="541"/>
      <c r="N30" s="607" t="s">
        <v>182</v>
      </c>
      <c r="O30" s="607"/>
      <c r="P30" s="607" t="s">
        <v>184</v>
      </c>
      <c r="Q30" s="607"/>
      <c r="R30" s="11"/>
      <c r="Z30" s="49"/>
      <c r="AA30" s="49"/>
      <c r="AB30" s="49"/>
      <c r="AC30" s="49"/>
      <c r="AD30" s="49"/>
      <c r="AE30" s="49"/>
      <c r="AF30" s="49"/>
      <c r="AG30" s="49"/>
      <c r="AH30" s="49"/>
      <c r="AI30" s="49"/>
      <c r="AJ30" s="49"/>
      <c r="AK30" s="49"/>
    </row>
    <row r="31" spans="1:37" ht="15.75" customHeight="1" x14ac:dyDescent="0.25">
      <c r="A31" s="10"/>
      <c r="B31" s="610"/>
      <c r="C31" s="160">
        <v>3</v>
      </c>
      <c r="D31" s="582">
        <v>1000</v>
      </c>
      <c r="E31" s="582"/>
      <c r="F31" s="582">
        <v>50</v>
      </c>
      <c r="G31" s="582"/>
      <c r="H31" s="505">
        <v>0.47699999999999998</v>
      </c>
      <c r="I31" s="505"/>
      <c r="J31" s="576">
        <v>0.11662</v>
      </c>
      <c r="K31" s="576"/>
      <c r="L31" s="505">
        <v>164.684</v>
      </c>
      <c r="M31" s="505"/>
      <c r="N31" s="505">
        <f>N23+N27</f>
        <v>24.442999999999998</v>
      </c>
      <c r="O31" s="505"/>
      <c r="P31" s="505">
        <f>H31/AA8</f>
        <v>0.34071428571428575</v>
      </c>
      <c r="Q31" s="505"/>
      <c r="R31" s="11"/>
      <c r="Z31" s="49"/>
      <c r="AA31" s="49"/>
      <c r="AB31" s="49"/>
      <c r="AC31" s="49"/>
      <c r="AD31" s="49"/>
      <c r="AE31" s="49"/>
      <c r="AF31" s="49"/>
      <c r="AG31" s="49"/>
      <c r="AH31" s="49"/>
      <c r="AI31" s="49"/>
      <c r="AJ31" s="49"/>
      <c r="AK31" s="49"/>
    </row>
    <row r="32" spans="1:37" ht="15.75" customHeight="1" x14ac:dyDescent="0.25">
      <c r="A32" s="10"/>
      <c r="B32" s="167"/>
      <c r="C32" s="4"/>
      <c r="D32" s="4"/>
      <c r="E32" s="4"/>
      <c r="F32" s="4"/>
      <c r="G32" s="4"/>
      <c r="H32" s="4"/>
      <c r="I32" s="4"/>
      <c r="J32" s="4"/>
      <c r="K32" s="4"/>
      <c r="L32" s="4"/>
      <c r="M32" s="4"/>
      <c r="N32" s="4"/>
      <c r="O32" s="4"/>
      <c r="P32" s="4"/>
      <c r="Q32" s="5"/>
      <c r="R32" s="11"/>
      <c r="V32" s="49"/>
      <c r="W32" s="49"/>
      <c r="X32" s="49"/>
      <c r="Y32" s="49"/>
      <c r="Z32" s="49"/>
      <c r="AA32" s="49"/>
      <c r="AB32" s="49"/>
      <c r="AC32" s="49"/>
      <c r="AD32" s="49"/>
      <c r="AE32" s="49"/>
      <c r="AF32" s="49"/>
      <c r="AG32" s="49"/>
      <c r="AH32" s="49"/>
      <c r="AI32" s="49"/>
      <c r="AJ32" s="49"/>
      <c r="AK32" s="49"/>
    </row>
    <row r="33" spans="1:37" ht="15.75" customHeight="1" x14ac:dyDescent="0.25">
      <c r="A33" s="10"/>
      <c r="B33" s="601" t="s">
        <v>185</v>
      </c>
      <c r="C33" s="602"/>
      <c r="D33" s="602"/>
      <c r="E33" s="602"/>
      <c r="F33" s="602"/>
      <c r="G33" s="602"/>
      <c r="H33" s="602"/>
      <c r="I33" s="602"/>
      <c r="J33" s="602"/>
      <c r="K33" s="602"/>
      <c r="L33" s="602"/>
      <c r="M33" s="602"/>
      <c r="N33" s="602"/>
      <c r="O33" s="602"/>
      <c r="P33" s="602"/>
      <c r="Q33" s="603"/>
      <c r="R33" s="11"/>
      <c r="V33" s="49"/>
      <c r="W33" s="49"/>
      <c r="X33" s="49"/>
      <c r="Y33" s="49"/>
      <c r="Z33" s="49"/>
      <c r="AA33" s="49"/>
      <c r="AB33" s="49"/>
      <c r="AC33" s="49"/>
      <c r="AD33" s="49"/>
      <c r="AE33" s="49"/>
      <c r="AF33" s="49"/>
      <c r="AG33" s="49"/>
      <c r="AH33" s="49"/>
      <c r="AI33" s="49"/>
      <c r="AJ33" s="49"/>
      <c r="AK33" s="49"/>
    </row>
    <row r="34" spans="1:37" ht="15" customHeight="1" x14ac:dyDescent="0.25">
      <c r="A34" s="10"/>
      <c r="B34" s="604"/>
      <c r="C34" s="602"/>
      <c r="D34" s="602"/>
      <c r="E34" s="602"/>
      <c r="F34" s="602"/>
      <c r="G34" s="602"/>
      <c r="H34" s="602"/>
      <c r="I34" s="602"/>
      <c r="J34" s="602"/>
      <c r="K34" s="602"/>
      <c r="L34" s="602"/>
      <c r="M34" s="602"/>
      <c r="N34" s="602"/>
      <c r="O34" s="602"/>
      <c r="P34" s="602"/>
      <c r="Q34" s="603"/>
      <c r="R34" s="11"/>
      <c r="V34" s="49"/>
      <c r="W34" s="49"/>
      <c r="X34" s="49"/>
      <c r="Y34" s="49"/>
      <c r="Z34" s="49"/>
      <c r="AA34" s="49"/>
      <c r="AB34" s="49"/>
      <c r="AC34" s="49"/>
      <c r="AD34" s="49"/>
      <c r="AE34" s="49"/>
      <c r="AF34" s="49"/>
      <c r="AG34" s="49"/>
      <c r="AH34" s="49"/>
      <c r="AI34" s="49"/>
      <c r="AJ34" s="49"/>
      <c r="AK34" s="49"/>
    </row>
    <row r="35" spans="1:37" ht="15.75" customHeight="1" x14ac:dyDescent="0.25">
      <c r="A35" s="10"/>
      <c r="B35" s="604"/>
      <c r="C35" s="602"/>
      <c r="D35" s="602"/>
      <c r="E35" s="602"/>
      <c r="F35" s="602"/>
      <c r="G35" s="602"/>
      <c r="H35" s="602"/>
      <c r="I35" s="602"/>
      <c r="J35" s="602"/>
      <c r="K35" s="602"/>
      <c r="L35" s="602"/>
      <c r="M35" s="602"/>
      <c r="N35" s="602"/>
      <c r="O35" s="602"/>
      <c r="P35" s="602"/>
      <c r="Q35" s="603"/>
      <c r="R35" s="11"/>
      <c r="V35" s="49"/>
      <c r="W35" s="49"/>
      <c r="X35" s="49"/>
      <c r="Y35" s="49"/>
      <c r="Z35" s="49"/>
      <c r="AA35" s="49"/>
      <c r="AB35" s="49"/>
      <c r="AC35" s="49"/>
      <c r="AD35" s="49"/>
      <c r="AE35" s="49"/>
      <c r="AF35" s="49"/>
      <c r="AG35" s="49"/>
      <c r="AH35" s="49"/>
      <c r="AI35" s="49"/>
      <c r="AJ35" s="49"/>
      <c r="AK35" s="49"/>
    </row>
    <row r="36" spans="1:37" ht="15" customHeight="1" x14ac:dyDescent="0.25">
      <c r="A36" s="10"/>
      <c r="B36" s="545" t="s">
        <v>186</v>
      </c>
      <c r="C36" s="545"/>
      <c r="D36" s="545"/>
      <c r="E36" s="545"/>
      <c r="F36" s="545"/>
      <c r="G36" s="545"/>
      <c r="H36" s="545"/>
      <c r="I36" s="545"/>
      <c r="J36" s="545"/>
      <c r="K36" s="545"/>
      <c r="L36" s="545"/>
      <c r="M36" s="545"/>
      <c r="N36" s="545"/>
      <c r="O36" s="545"/>
      <c r="P36" s="545"/>
      <c r="Q36" s="545"/>
      <c r="R36" s="11"/>
      <c r="V36" s="49"/>
      <c r="W36" s="49"/>
      <c r="X36" s="49"/>
      <c r="Y36" s="49"/>
      <c r="Z36" s="49"/>
      <c r="AA36" s="49"/>
      <c r="AB36" s="49"/>
      <c r="AC36" s="49"/>
      <c r="AD36" s="49"/>
      <c r="AE36" s="49"/>
      <c r="AF36" s="49"/>
      <c r="AG36" s="49"/>
      <c r="AH36" s="49"/>
      <c r="AI36" s="49"/>
      <c r="AJ36" s="49"/>
      <c r="AK36" s="49"/>
    </row>
    <row r="37" spans="1:37" ht="15" customHeight="1" x14ac:dyDescent="0.25">
      <c r="A37" s="10"/>
      <c r="B37" s="605" t="s">
        <v>367</v>
      </c>
      <c r="C37" s="606"/>
      <c r="D37" s="606"/>
      <c r="E37" s="606"/>
      <c r="F37" s="606"/>
      <c r="G37" s="606"/>
      <c r="H37" s="606"/>
      <c r="I37" s="606"/>
      <c r="J37" s="606"/>
      <c r="K37" s="606"/>
      <c r="L37" s="606"/>
      <c r="M37" s="606"/>
      <c r="N37" s="606"/>
      <c r="O37" s="606"/>
      <c r="P37" s="606"/>
      <c r="Q37" s="606"/>
      <c r="R37" s="11"/>
      <c r="V37" s="49"/>
      <c r="W37" s="49"/>
      <c r="X37" s="49"/>
      <c r="Y37" s="49"/>
      <c r="Z37" s="49"/>
      <c r="AA37" s="49"/>
      <c r="AB37" s="49"/>
      <c r="AC37" s="49"/>
      <c r="AD37" s="49"/>
      <c r="AE37" s="49"/>
      <c r="AF37" s="49"/>
      <c r="AG37" s="49"/>
      <c r="AH37" s="49"/>
      <c r="AI37" s="49"/>
      <c r="AJ37" s="49"/>
      <c r="AK37" s="49"/>
    </row>
    <row r="38" spans="1:37" ht="15" customHeight="1" x14ac:dyDescent="0.25">
      <c r="A38" s="10"/>
      <c r="B38" s="606"/>
      <c r="C38" s="606"/>
      <c r="D38" s="606"/>
      <c r="E38" s="606"/>
      <c r="F38" s="606"/>
      <c r="G38" s="606"/>
      <c r="H38" s="606"/>
      <c r="I38" s="606"/>
      <c r="J38" s="606"/>
      <c r="K38" s="606"/>
      <c r="L38" s="606"/>
      <c r="M38" s="606"/>
      <c r="N38" s="606"/>
      <c r="O38" s="606"/>
      <c r="P38" s="606"/>
      <c r="Q38" s="606"/>
      <c r="R38" s="11"/>
    </row>
    <row r="39" spans="1:37" ht="15" customHeight="1" x14ac:dyDescent="0.25">
      <c r="A39" s="10"/>
      <c r="B39" s="605" t="s">
        <v>368</v>
      </c>
      <c r="C39" s="606"/>
      <c r="D39" s="606"/>
      <c r="E39" s="606"/>
      <c r="F39" s="606"/>
      <c r="G39" s="606"/>
      <c r="H39" s="606"/>
      <c r="I39" s="606"/>
      <c r="J39" s="606"/>
      <c r="K39" s="606"/>
      <c r="L39" s="606"/>
      <c r="M39" s="606"/>
      <c r="N39" s="606"/>
      <c r="O39" s="606"/>
      <c r="P39" s="606"/>
      <c r="Q39" s="606"/>
      <c r="R39" s="11"/>
    </row>
    <row r="40" spans="1:37" ht="15.75" customHeight="1" x14ac:dyDescent="0.25">
      <c r="A40" s="10"/>
      <c r="B40" s="606"/>
      <c r="C40" s="606"/>
      <c r="D40" s="606"/>
      <c r="E40" s="606"/>
      <c r="F40" s="606"/>
      <c r="G40" s="606"/>
      <c r="H40" s="606"/>
      <c r="I40" s="606"/>
      <c r="J40" s="606"/>
      <c r="K40" s="606"/>
      <c r="L40" s="606"/>
      <c r="M40" s="606"/>
      <c r="N40" s="606"/>
      <c r="O40" s="606"/>
      <c r="P40" s="606"/>
      <c r="Q40" s="606"/>
      <c r="R40" s="11"/>
    </row>
    <row r="41" spans="1:37" ht="15" customHeight="1" x14ac:dyDescent="0.25">
      <c r="A41" s="10"/>
      <c r="B41" s="605" t="s">
        <v>369</v>
      </c>
      <c r="C41" s="606"/>
      <c r="D41" s="606"/>
      <c r="E41" s="606"/>
      <c r="F41" s="606"/>
      <c r="G41" s="606"/>
      <c r="H41" s="606"/>
      <c r="I41" s="606"/>
      <c r="J41" s="606"/>
      <c r="K41" s="606"/>
      <c r="L41" s="606"/>
      <c r="M41" s="606"/>
      <c r="N41" s="606"/>
      <c r="O41" s="606"/>
      <c r="P41" s="606"/>
      <c r="Q41" s="606"/>
      <c r="R41" s="11"/>
    </row>
    <row r="42" spans="1:37" ht="15.75" customHeight="1" x14ac:dyDescent="0.25">
      <c r="A42" s="10"/>
      <c r="B42" s="606"/>
      <c r="C42" s="606"/>
      <c r="D42" s="606"/>
      <c r="E42" s="606"/>
      <c r="F42" s="606"/>
      <c r="G42" s="606"/>
      <c r="H42" s="606"/>
      <c r="I42" s="606"/>
      <c r="J42" s="606"/>
      <c r="K42" s="606"/>
      <c r="L42" s="606"/>
      <c r="M42" s="606"/>
      <c r="N42" s="606"/>
      <c r="O42" s="606"/>
      <c r="P42" s="606"/>
      <c r="Q42" s="606"/>
      <c r="R42" s="11"/>
    </row>
    <row r="43" spans="1:37" ht="15" customHeight="1" x14ac:dyDescent="0.25">
      <c r="A43" s="10"/>
      <c r="B43" s="50"/>
      <c r="C43" s="51"/>
      <c r="D43" s="51"/>
      <c r="E43" s="51"/>
      <c r="F43" s="51"/>
      <c r="G43" s="51"/>
      <c r="H43" s="51"/>
      <c r="I43" s="51"/>
      <c r="J43" s="51"/>
      <c r="K43" s="51"/>
      <c r="L43" s="51"/>
      <c r="M43" s="51"/>
      <c r="N43" s="51"/>
      <c r="O43" s="51"/>
      <c r="P43" s="51"/>
      <c r="Q43" s="168"/>
      <c r="R43" s="11"/>
    </row>
    <row r="44" spans="1:37" s="325" customFormat="1" ht="22.5" customHeight="1" x14ac:dyDescent="0.25">
      <c r="A44" s="10"/>
      <c r="B44" s="520" t="s">
        <v>357</v>
      </c>
      <c r="C44" s="521"/>
      <c r="D44" s="521"/>
      <c r="E44" s="330" t="s">
        <v>24</v>
      </c>
      <c r="F44" s="518" t="s">
        <v>395</v>
      </c>
      <c r="G44" s="518"/>
      <c r="H44" s="518"/>
      <c r="I44" s="519"/>
      <c r="J44" s="403" t="s">
        <v>322</v>
      </c>
      <c r="K44" s="404"/>
      <c r="L44" s="404"/>
      <c r="M44" s="404"/>
      <c r="N44" s="404"/>
      <c r="O44" s="404"/>
      <c r="P44" s="404"/>
      <c r="Q44" s="405"/>
      <c r="R44" s="11"/>
    </row>
    <row r="45" spans="1:37" s="325" customFormat="1" ht="22.5" customHeight="1" x14ac:dyDescent="0.25">
      <c r="A45" s="10"/>
      <c r="B45" s="520" t="s">
        <v>386</v>
      </c>
      <c r="C45" s="521"/>
      <c r="D45" s="521"/>
      <c r="E45" s="330" t="s">
        <v>24</v>
      </c>
      <c r="F45" s="522">
        <f>'ANA SAYFA'!F73</f>
        <v>45307</v>
      </c>
      <c r="G45" s="518"/>
      <c r="H45" s="518"/>
      <c r="I45" s="519"/>
      <c r="J45" s="75"/>
      <c r="K45" s="76"/>
      <c r="L45" s="176"/>
      <c r="M45" s="176"/>
      <c r="N45" s="176"/>
      <c r="O45" s="176"/>
      <c r="P45" s="176"/>
      <c r="Q45" s="178"/>
      <c r="R45" s="11"/>
    </row>
    <row r="46" spans="1:37" s="325" customFormat="1" ht="22.5" customHeight="1" x14ac:dyDescent="0.25">
      <c r="A46" s="10"/>
      <c r="B46" s="495" t="s">
        <v>192</v>
      </c>
      <c r="C46" s="496"/>
      <c r="D46" s="496"/>
      <c r="E46" s="331" t="s">
        <v>24</v>
      </c>
      <c r="F46" s="521">
        <f>'ANA SAYFA'!F75</f>
        <v>88258</v>
      </c>
      <c r="G46" s="521"/>
      <c r="H46" s="521"/>
      <c r="I46" s="523"/>
      <c r="J46" s="75"/>
      <c r="K46" s="76"/>
      <c r="L46" s="176"/>
      <c r="M46" s="176"/>
      <c r="N46" s="176"/>
      <c r="O46" s="176"/>
      <c r="P46" s="176"/>
      <c r="Q46" s="178"/>
      <c r="R46" s="11"/>
    </row>
    <row r="47" spans="1:37" s="325" customFormat="1" ht="22.5" customHeight="1" x14ac:dyDescent="0.25">
      <c r="A47" s="10"/>
      <c r="B47" s="495" t="s">
        <v>358</v>
      </c>
      <c r="C47" s="496"/>
      <c r="D47" s="496"/>
      <c r="E47" s="324" t="s">
        <v>24</v>
      </c>
      <c r="F47" s="496" t="str">
        <f>'ANA SAYFA'!F76</f>
        <v>K202439698</v>
      </c>
      <c r="G47" s="496"/>
      <c r="H47" s="496"/>
      <c r="I47" s="497"/>
      <c r="J47" s="336"/>
      <c r="K47" s="182"/>
      <c r="L47" s="182"/>
      <c r="M47" s="182"/>
      <c r="N47" s="182"/>
      <c r="O47" s="182"/>
      <c r="P47" s="182"/>
      <c r="Q47" s="179"/>
      <c r="R47" s="11"/>
    </row>
    <row r="48" spans="1:37" ht="15.75" thickBot="1" x14ac:dyDescent="0.3">
      <c r="A48" s="15"/>
      <c r="B48" s="16"/>
      <c r="C48" s="16"/>
      <c r="D48" s="16"/>
      <c r="E48" s="16"/>
      <c r="F48" s="16"/>
      <c r="G48" s="16"/>
      <c r="H48" s="16"/>
      <c r="I48" s="16"/>
      <c r="J48" s="16"/>
      <c r="K48" s="16"/>
      <c r="L48" s="16"/>
      <c r="M48" s="16"/>
      <c r="N48" s="16"/>
      <c r="O48" s="16"/>
      <c r="P48" s="16"/>
      <c r="Q48" s="16"/>
      <c r="R48" s="17"/>
    </row>
  </sheetData>
  <mergeCells count="134">
    <mergeCell ref="B2:F3"/>
    <mergeCell ref="V3:AC3"/>
    <mergeCell ref="V8:W8"/>
    <mergeCell ref="X8:Y8"/>
    <mergeCell ref="B9:I9"/>
    <mergeCell ref="J9:Q9"/>
    <mergeCell ref="V9:W9"/>
    <mergeCell ref="X9:Y9"/>
    <mergeCell ref="B5:Q5"/>
    <mergeCell ref="V5:AC5"/>
    <mergeCell ref="V6:W7"/>
    <mergeCell ref="X6:Y7"/>
    <mergeCell ref="B7:C7"/>
    <mergeCell ref="D7:F7"/>
    <mergeCell ref="G7:H7"/>
    <mergeCell ref="I7:K7"/>
    <mergeCell ref="L7:N7"/>
    <mergeCell ref="O7:Q7"/>
    <mergeCell ref="G2:H2"/>
    <mergeCell ref="J2:Q2"/>
    <mergeCell ref="G3:H3"/>
    <mergeCell ref="J3:Q3"/>
    <mergeCell ref="V12:W12"/>
    <mergeCell ref="X12:Y12"/>
    <mergeCell ref="B13:Q13"/>
    <mergeCell ref="V13:W13"/>
    <mergeCell ref="X13:Y13"/>
    <mergeCell ref="V14:W14"/>
    <mergeCell ref="X14:Y14"/>
    <mergeCell ref="V10:W10"/>
    <mergeCell ref="X10:Y10"/>
    <mergeCell ref="B11:C11"/>
    <mergeCell ref="D11:G11"/>
    <mergeCell ref="H11:I11"/>
    <mergeCell ref="J11:L11"/>
    <mergeCell ref="M11:N11"/>
    <mergeCell ref="O11:Q11"/>
    <mergeCell ref="V11:W11"/>
    <mergeCell ref="X11:Y11"/>
    <mergeCell ref="B15:J15"/>
    <mergeCell ref="K15:N15"/>
    <mergeCell ref="V15:W15"/>
    <mergeCell ref="X15:Y15"/>
    <mergeCell ref="B16:B19"/>
    <mergeCell ref="E16:G16"/>
    <mergeCell ref="H16:J16"/>
    <mergeCell ref="K16:M16"/>
    <mergeCell ref="N16:O16"/>
    <mergeCell ref="P16:Q16"/>
    <mergeCell ref="V16:W16"/>
    <mergeCell ref="X16:Y16"/>
    <mergeCell ref="E17:G17"/>
    <mergeCell ref="H17:J17"/>
    <mergeCell ref="K17:M17"/>
    <mergeCell ref="N17:O17"/>
    <mergeCell ref="P17:Q17"/>
    <mergeCell ref="V17:W17"/>
    <mergeCell ref="X17:Y17"/>
    <mergeCell ref="X18:Y18"/>
    <mergeCell ref="E19:G19"/>
    <mergeCell ref="H19:J19"/>
    <mergeCell ref="K19:M19"/>
    <mergeCell ref="N19:O19"/>
    <mergeCell ref="P19:Q19"/>
    <mergeCell ref="V19:W19"/>
    <mergeCell ref="X19:Y19"/>
    <mergeCell ref="E18:G18"/>
    <mergeCell ref="H18:J18"/>
    <mergeCell ref="K18:M18"/>
    <mergeCell ref="N18:O18"/>
    <mergeCell ref="P18:Q18"/>
    <mergeCell ref="V18:W18"/>
    <mergeCell ref="V20:W20"/>
    <mergeCell ref="X20:Y20"/>
    <mergeCell ref="B21:B31"/>
    <mergeCell ref="C21:Q21"/>
    <mergeCell ref="D22:E22"/>
    <mergeCell ref="F22:G22"/>
    <mergeCell ref="H22:I22"/>
    <mergeCell ref="L22:M22"/>
    <mergeCell ref="N22:O22"/>
    <mergeCell ref="J22:K22"/>
    <mergeCell ref="C25:Q25"/>
    <mergeCell ref="D26:E26"/>
    <mergeCell ref="F26:G26"/>
    <mergeCell ref="H26:I26"/>
    <mergeCell ref="L26:M26"/>
    <mergeCell ref="N26:O26"/>
    <mergeCell ref="J26:K26"/>
    <mergeCell ref="P26:Q26"/>
    <mergeCell ref="P22:Q22"/>
    <mergeCell ref="D23:E23"/>
    <mergeCell ref="F23:G23"/>
    <mergeCell ref="H23:I23"/>
    <mergeCell ref="L23:M23"/>
    <mergeCell ref="N23:O23"/>
    <mergeCell ref="P23:Q23"/>
    <mergeCell ref="P27:Q27"/>
    <mergeCell ref="C29:Q29"/>
    <mergeCell ref="D30:E30"/>
    <mergeCell ref="F30:G30"/>
    <mergeCell ref="H30:I30"/>
    <mergeCell ref="L30:M30"/>
    <mergeCell ref="N30:O30"/>
    <mergeCell ref="J30:K30"/>
    <mergeCell ref="P30:Q30"/>
    <mergeCell ref="D27:E27"/>
    <mergeCell ref="F27:G27"/>
    <mergeCell ref="H27:I27"/>
    <mergeCell ref="L27:M27"/>
    <mergeCell ref="N27:O27"/>
    <mergeCell ref="J27:K27"/>
    <mergeCell ref="J23:K23"/>
    <mergeCell ref="F45:I45"/>
    <mergeCell ref="B46:D46"/>
    <mergeCell ref="F46:I46"/>
    <mergeCell ref="B47:D47"/>
    <mergeCell ref="F47:I47"/>
    <mergeCell ref="P31:Q31"/>
    <mergeCell ref="B33:Q35"/>
    <mergeCell ref="B36:Q36"/>
    <mergeCell ref="B37:Q38"/>
    <mergeCell ref="B39:Q40"/>
    <mergeCell ref="B41:Q42"/>
    <mergeCell ref="D31:E31"/>
    <mergeCell ref="F31:G31"/>
    <mergeCell ref="H31:I31"/>
    <mergeCell ref="L31:M31"/>
    <mergeCell ref="N31:O31"/>
    <mergeCell ref="J31:K31"/>
    <mergeCell ref="B44:D44"/>
    <mergeCell ref="F44:I44"/>
    <mergeCell ref="B45:D45"/>
    <mergeCell ref="J44:Q44"/>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dxfId="16" priority="7" operator="greaterThan">
      <formula>1</formula>
    </cfRule>
    <cfRule type="cellIs" dxfId="15" priority="8" operator="lessThanOrEqual">
      <formula>0.5</formula>
    </cfRule>
    <cfRule type="cellIs" dxfId="14" priority="9" operator="greaterThan">
      <formula>0.5</formula>
    </cfRule>
  </conditionalFormatting>
  <conditionalFormatting sqref="P27:Q27">
    <cfRule type="cellIs" dxfId="13" priority="4" operator="greaterThan">
      <formula>1</formula>
    </cfRule>
    <cfRule type="cellIs" dxfId="12" priority="5" operator="lessThanOrEqual">
      <formula>0.5</formula>
    </cfRule>
    <cfRule type="cellIs" dxfId="11" priority="6" operator="greaterThan">
      <formula>0.5</formula>
    </cfRule>
  </conditionalFormatting>
  <conditionalFormatting sqref="P31:Q31">
    <cfRule type="cellIs" dxfId="10" priority="1" operator="greaterThan">
      <formula>1</formula>
    </cfRule>
    <cfRule type="cellIs" dxfId="9" priority="2" operator="lessThanOrEqual">
      <formula>0.5</formula>
    </cfRule>
    <cfRule type="cellIs" dxfId="8" priority="3" operator="greaterThan">
      <formula>0.5</formula>
    </cfRule>
  </conditionalFormatting>
  <pageMargins left="0.55118110236220474" right="0.23622047244094488" top="0.3543307086614173" bottom="0.3543307086614173" header="0" footer="0"/>
  <pageSetup paperSize="9" scale="96"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5"/>
  <sheetViews>
    <sheetView zoomScaleNormal="100" workbookViewId="0">
      <selection activeCell="O76" sqref="O76"/>
    </sheetView>
  </sheetViews>
  <sheetFormatPr defaultRowHeight="15" x14ac:dyDescent="0.25"/>
  <cols>
    <col min="1" max="1" width="1.5703125" style="188" customWidth="1"/>
    <col min="2" max="19" width="5" style="188" customWidth="1"/>
    <col min="20" max="20" width="1.5703125" style="188" customWidth="1"/>
    <col min="21" max="21" width="9.140625" style="188"/>
    <col min="22" max="24" width="5" style="188" customWidth="1"/>
    <col min="25" max="26" width="5.28515625" style="188" customWidth="1"/>
    <col min="27" max="27" width="10.7109375" style="188" customWidth="1"/>
    <col min="28" max="30" width="5.28515625" style="188" customWidth="1"/>
    <col min="31" max="49" width="5" style="188" customWidth="1"/>
    <col min="50" max="16384" width="9.140625" style="188"/>
  </cols>
  <sheetData>
    <row r="1" spans="1:20" ht="5.25" customHeight="1" x14ac:dyDescent="0.25">
      <c r="A1" s="12"/>
      <c r="B1" s="13"/>
      <c r="C1" s="13"/>
      <c r="D1" s="13"/>
      <c r="E1" s="13"/>
      <c r="F1" s="13"/>
      <c r="G1" s="13"/>
      <c r="H1" s="13"/>
      <c r="I1" s="13"/>
      <c r="J1" s="13"/>
      <c r="K1" s="13"/>
      <c r="L1" s="13"/>
      <c r="M1" s="13"/>
      <c r="N1" s="13"/>
      <c r="O1" s="13"/>
      <c r="P1" s="13"/>
      <c r="Q1" s="13"/>
      <c r="R1" s="13"/>
      <c r="S1" s="13"/>
      <c r="T1" s="14"/>
    </row>
    <row r="2" spans="1:20" ht="18" customHeight="1" x14ac:dyDescent="0.25">
      <c r="A2" s="10"/>
      <c r="B2" s="59"/>
      <c r="C2" s="60"/>
      <c r="D2" s="60"/>
      <c r="E2" s="60"/>
      <c r="F2" s="60"/>
      <c r="G2" s="84"/>
      <c r="H2" s="449" t="s">
        <v>22</v>
      </c>
      <c r="I2" s="450"/>
      <c r="J2" s="450"/>
      <c r="K2" s="447" t="str">
        <f>'ANA SAYFA'!K2</f>
        <v>BARMAK MAKİNA (ÇAĞLA ELK.)</v>
      </c>
      <c r="L2" s="447"/>
      <c r="M2" s="447"/>
      <c r="N2" s="447"/>
      <c r="O2" s="447"/>
      <c r="P2" s="447"/>
      <c r="Q2" s="447"/>
      <c r="R2" s="447"/>
      <c r="S2" s="448"/>
      <c r="T2" s="11"/>
    </row>
    <row r="3" spans="1:20" ht="18" customHeight="1" x14ac:dyDescent="0.25">
      <c r="A3" s="10"/>
      <c r="B3" s="85"/>
      <c r="C3" s="86"/>
      <c r="D3" s="86"/>
      <c r="E3" s="86"/>
      <c r="F3" s="86"/>
      <c r="G3" s="87"/>
      <c r="H3" s="451"/>
      <c r="I3" s="452"/>
      <c r="J3" s="452"/>
      <c r="K3" s="647"/>
      <c r="L3" s="647"/>
      <c r="M3" s="647"/>
      <c r="N3" s="647"/>
      <c r="O3" s="647"/>
      <c r="P3" s="647"/>
      <c r="Q3" s="647"/>
      <c r="R3" s="647"/>
      <c r="S3" s="648"/>
      <c r="T3" s="11"/>
    </row>
    <row r="4" spans="1:20" ht="3" customHeight="1" x14ac:dyDescent="0.25">
      <c r="A4" s="10"/>
      <c r="B4" s="85"/>
      <c r="C4" s="86"/>
      <c r="D4" s="86"/>
      <c r="E4" s="86"/>
      <c r="F4" s="86"/>
      <c r="G4" s="87"/>
      <c r="H4" s="88"/>
      <c r="I4" s="89"/>
      <c r="J4" s="89"/>
      <c r="K4" s="206"/>
      <c r="L4" s="206"/>
      <c r="M4" s="206"/>
      <c r="N4" s="206"/>
      <c r="O4" s="206"/>
      <c r="P4" s="206"/>
      <c r="Q4" s="206"/>
      <c r="R4" s="206"/>
      <c r="S4" s="207"/>
      <c r="T4" s="11"/>
    </row>
    <row r="5" spans="1:20" ht="18" customHeight="1" x14ac:dyDescent="0.25">
      <c r="A5" s="10"/>
      <c r="B5" s="85"/>
      <c r="C5" s="86"/>
      <c r="D5" s="86"/>
      <c r="E5" s="86"/>
      <c r="F5" s="86"/>
      <c r="G5" s="87"/>
      <c r="H5" s="443" t="s">
        <v>23</v>
      </c>
      <c r="I5" s="444"/>
      <c r="J5" s="444"/>
      <c r="K5" s="447" t="str">
        <f>'ANA SAYFA'!K5</f>
        <v>TRAFO 1</v>
      </c>
      <c r="L5" s="447"/>
      <c r="M5" s="447"/>
      <c r="N5" s="447"/>
      <c r="O5" s="447"/>
      <c r="P5" s="447"/>
      <c r="Q5" s="447"/>
      <c r="R5" s="447"/>
      <c r="S5" s="448"/>
      <c r="T5" s="11"/>
    </row>
    <row r="6" spans="1:20" ht="18" customHeight="1" x14ac:dyDescent="0.25">
      <c r="A6" s="10"/>
      <c r="B6" s="85"/>
      <c r="C6" s="86"/>
      <c r="D6" s="86"/>
      <c r="E6" s="86"/>
      <c r="F6" s="86"/>
      <c r="G6" s="87"/>
      <c r="H6" s="443"/>
      <c r="I6" s="444"/>
      <c r="J6" s="444"/>
      <c r="K6" s="647"/>
      <c r="L6" s="647"/>
      <c r="M6" s="647"/>
      <c r="N6" s="647"/>
      <c r="O6" s="647"/>
      <c r="P6" s="647"/>
      <c r="Q6" s="647"/>
      <c r="R6" s="647"/>
      <c r="S6" s="648"/>
      <c r="T6" s="11"/>
    </row>
    <row r="7" spans="1:20" ht="3" customHeight="1" x14ac:dyDescent="0.25">
      <c r="A7" s="10"/>
      <c r="B7" s="62"/>
      <c r="C7" s="63"/>
      <c r="D7" s="63"/>
      <c r="E7" s="63"/>
      <c r="F7" s="63"/>
      <c r="G7" s="90"/>
      <c r="H7" s="484"/>
      <c r="I7" s="485"/>
      <c r="J7" s="485"/>
      <c r="K7" s="64"/>
      <c r="L7" s="64"/>
      <c r="M7" s="64"/>
      <c r="N7" s="64"/>
      <c r="O7" s="64"/>
      <c r="P7" s="64"/>
      <c r="Q7" s="64"/>
      <c r="R7" s="64"/>
      <c r="S7" s="90"/>
      <c r="T7" s="11"/>
    </row>
    <row r="8" spans="1:20" ht="3" customHeight="1" x14ac:dyDescent="0.25">
      <c r="A8" s="10"/>
      <c r="B8" s="3"/>
      <c r="C8" s="186"/>
      <c r="D8" s="186"/>
      <c r="E8" s="186"/>
      <c r="F8" s="186"/>
      <c r="G8" s="48"/>
      <c r="H8" s="48"/>
      <c r="I8" s="186"/>
      <c r="J8" s="186"/>
      <c r="K8" s="48"/>
      <c r="L8" s="186"/>
      <c r="M8" s="186"/>
      <c r="N8" s="186"/>
      <c r="O8" s="186"/>
      <c r="P8" s="186"/>
      <c r="Q8" s="186"/>
      <c r="R8" s="186"/>
      <c r="S8" s="187"/>
      <c r="T8" s="11"/>
    </row>
    <row r="9" spans="1:20" ht="15.75" customHeight="1" x14ac:dyDescent="0.25">
      <c r="A9" s="10"/>
      <c r="B9" s="403" t="s">
        <v>202</v>
      </c>
      <c r="C9" s="404"/>
      <c r="D9" s="404"/>
      <c r="E9" s="404"/>
      <c r="F9" s="404"/>
      <c r="G9" s="404"/>
      <c r="H9" s="404"/>
      <c r="I9" s="404"/>
      <c r="J9" s="404"/>
      <c r="K9" s="404"/>
      <c r="L9" s="404"/>
      <c r="M9" s="404"/>
      <c r="N9" s="404"/>
      <c r="O9" s="404"/>
      <c r="P9" s="404"/>
      <c r="Q9" s="404"/>
      <c r="R9" s="404"/>
      <c r="S9" s="405"/>
      <c r="T9" s="11"/>
    </row>
    <row r="10" spans="1:20" ht="3" customHeight="1" x14ac:dyDescent="0.25">
      <c r="A10" s="10"/>
      <c r="B10" s="44"/>
      <c r="C10" s="45"/>
      <c r="D10" s="45"/>
      <c r="E10" s="45"/>
      <c r="F10" s="45"/>
      <c r="G10" s="45"/>
      <c r="H10" s="45"/>
      <c r="I10" s="45"/>
      <c r="J10" s="45"/>
      <c r="K10" s="189"/>
      <c r="L10" s="189"/>
      <c r="M10" s="104"/>
      <c r="N10" s="45"/>
      <c r="O10" s="45"/>
      <c r="P10" s="45"/>
      <c r="Q10" s="45"/>
      <c r="R10" s="45"/>
      <c r="S10" s="46"/>
      <c r="T10" s="11"/>
    </row>
    <row r="11" spans="1:20" x14ac:dyDescent="0.25">
      <c r="A11" s="10"/>
      <c r="B11" s="429" t="s">
        <v>203</v>
      </c>
      <c r="C11" s="430"/>
      <c r="D11" s="430"/>
      <c r="E11" s="430"/>
      <c r="F11" s="113" t="s">
        <v>24</v>
      </c>
      <c r="G11" s="436" t="s">
        <v>204</v>
      </c>
      <c r="H11" s="436"/>
      <c r="I11" s="436"/>
      <c r="J11" s="436"/>
      <c r="K11" s="430" t="s">
        <v>205</v>
      </c>
      <c r="L11" s="430"/>
      <c r="M11" s="430"/>
      <c r="N11" s="117" t="s">
        <v>128</v>
      </c>
      <c r="O11" s="649" t="s">
        <v>206</v>
      </c>
      <c r="P11" s="649"/>
      <c r="Q11" s="649"/>
      <c r="R11" s="649"/>
      <c r="S11" s="650"/>
      <c r="T11" s="11"/>
    </row>
    <row r="12" spans="1:20" ht="3" customHeight="1" x14ac:dyDescent="0.25">
      <c r="A12" s="10"/>
      <c r="B12" s="198"/>
      <c r="C12" s="199"/>
      <c r="D12" s="199"/>
      <c r="E12" s="199"/>
      <c r="F12" s="93"/>
      <c r="G12" s="186"/>
      <c r="H12" s="186"/>
      <c r="I12" s="186"/>
      <c r="J12" s="186"/>
      <c r="K12" s="191"/>
      <c r="L12" s="191"/>
      <c r="M12" s="195"/>
      <c r="N12" s="186"/>
      <c r="O12" s="186"/>
      <c r="P12" s="186"/>
      <c r="Q12" s="186"/>
      <c r="R12" s="186"/>
      <c r="S12" s="187"/>
      <c r="T12" s="11"/>
    </row>
    <row r="13" spans="1:20" x14ac:dyDescent="0.25">
      <c r="A13" s="10"/>
      <c r="B13" s="370" t="s">
        <v>207</v>
      </c>
      <c r="C13" s="371"/>
      <c r="D13" s="371"/>
      <c r="E13" s="371"/>
      <c r="F13" s="113" t="s">
        <v>24</v>
      </c>
      <c r="G13" s="434">
        <v>630</v>
      </c>
      <c r="H13" s="434"/>
      <c r="I13" s="434"/>
      <c r="J13" s="434"/>
      <c r="K13" s="435" t="s">
        <v>126</v>
      </c>
      <c r="L13" s="435"/>
      <c r="M13" s="435"/>
      <c r="N13" s="112" t="s">
        <v>24</v>
      </c>
      <c r="O13" s="436" t="s">
        <v>208</v>
      </c>
      <c r="P13" s="436"/>
      <c r="Q13" s="436"/>
      <c r="R13" s="436"/>
      <c r="S13" s="437"/>
      <c r="T13" s="11"/>
    </row>
    <row r="14" spans="1:20" ht="3" customHeight="1" x14ac:dyDescent="0.25">
      <c r="A14" s="10"/>
      <c r="B14" s="198"/>
      <c r="C14" s="199"/>
      <c r="D14" s="199"/>
      <c r="E14" s="199"/>
      <c r="F14" s="93"/>
      <c r="G14" s="186"/>
      <c r="H14" s="186"/>
      <c r="I14" s="186"/>
      <c r="J14" s="186"/>
      <c r="K14" s="191"/>
      <c r="L14" s="191"/>
      <c r="M14" s="195"/>
      <c r="N14" s="186"/>
      <c r="O14" s="186"/>
      <c r="P14" s="186"/>
      <c r="Q14" s="186"/>
      <c r="R14" s="186"/>
      <c r="S14" s="187"/>
      <c r="T14" s="11"/>
    </row>
    <row r="15" spans="1:20" x14ac:dyDescent="0.25">
      <c r="A15" s="10"/>
      <c r="B15" s="429" t="s">
        <v>84</v>
      </c>
      <c r="C15" s="430"/>
      <c r="D15" s="430"/>
      <c r="E15" s="430"/>
      <c r="F15" s="113" t="s">
        <v>129</v>
      </c>
      <c r="G15" s="646">
        <v>36000</v>
      </c>
      <c r="H15" s="646"/>
      <c r="I15" s="646"/>
      <c r="J15" s="646"/>
      <c r="K15" s="435" t="s">
        <v>127</v>
      </c>
      <c r="L15" s="435"/>
      <c r="M15" s="435"/>
      <c r="N15" s="112" t="s">
        <v>24</v>
      </c>
      <c r="O15" s="434">
        <v>2196</v>
      </c>
      <c r="P15" s="434"/>
      <c r="Q15" s="434"/>
      <c r="R15" s="434"/>
      <c r="S15" s="645"/>
      <c r="T15" s="11"/>
    </row>
    <row r="16" spans="1:20" ht="3" customHeight="1" x14ac:dyDescent="0.25">
      <c r="A16" s="10"/>
      <c r="B16" s="198"/>
      <c r="C16" s="199"/>
      <c r="D16" s="199"/>
      <c r="E16" s="199"/>
      <c r="F16" s="93"/>
      <c r="G16" s="186"/>
      <c r="H16" s="186"/>
      <c r="I16" s="186"/>
      <c r="J16" s="186"/>
      <c r="K16" s="191"/>
      <c r="L16" s="191"/>
      <c r="M16" s="195"/>
      <c r="N16" s="186"/>
      <c r="O16" s="186"/>
      <c r="P16" s="186"/>
      <c r="Q16" s="186"/>
      <c r="R16" s="186"/>
      <c r="S16" s="187"/>
      <c r="T16" s="11"/>
    </row>
    <row r="17" spans="1:23" ht="15" customHeight="1" x14ac:dyDescent="0.25">
      <c r="A17" s="10"/>
      <c r="B17" s="459" t="s">
        <v>209</v>
      </c>
      <c r="C17" s="435"/>
      <c r="D17" s="435"/>
      <c r="E17" s="435"/>
      <c r="F17" s="112" t="s">
        <v>24</v>
      </c>
      <c r="G17" s="434" t="s">
        <v>210</v>
      </c>
      <c r="H17" s="434"/>
      <c r="I17" s="434"/>
      <c r="J17" s="434"/>
      <c r="K17" s="435" t="s">
        <v>211</v>
      </c>
      <c r="L17" s="435"/>
      <c r="M17" s="435"/>
      <c r="N17" s="112" t="s">
        <v>24</v>
      </c>
      <c r="O17" s="434" t="s">
        <v>321</v>
      </c>
      <c r="P17" s="434"/>
      <c r="Q17" s="434"/>
      <c r="R17" s="434"/>
      <c r="S17" s="645"/>
      <c r="T17" s="11"/>
    </row>
    <row r="18" spans="1:23" ht="3" customHeight="1" x14ac:dyDescent="0.25">
      <c r="A18" s="10"/>
      <c r="B18" s="198"/>
      <c r="C18" s="199"/>
      <c r="D18" s="199"/>
      <c r="E18" s="199"/>
      <c r="F18" s="93"/>
      <c r="G18" s="186"/>
      <c r="H18" s="186"/>
      <c r="I18" s="186"/>
      <c r="J18" s="186"/>
      <c r="K18" s="191"/>
      <c r="L18" s="191"/>
      <c r="M18" s="195"/>
      <c r="N18" s="186"/>
      <c r="O18" s="186"/>
      <c r="P18" s="186"/>
      <c r="Q18" s="186"/>
      <c r="R18" s="186"/>
      <c r="S18" s="187"/>
      <c r="T18" s="11"/>
    </row>
    <row r="19" spans="1:23" ht="3" customHeight="1" x14ac:dyDescent="0.25">
      <c r="A19" s="10"/>
      <c r="B19" s="105"/>
      <c r="C19" s="106"/>
      <c r="D19" s="106"/>
      <c r="E19" s="106"/>
      <c r="F19" s="22"/>
      <c r="G19" s="22"/>
      <c r="H19" s="22"/>
      <c r="I19" s="22"/>
      <c r="J19" s="22"/>
      <c r="K19" s="205"/>
      <c r="L19" s="205"/>
      <c r="M19" s="205"/>
      <c r="N19" s="63"/>
      <c r="O19" s="22"/>
      <c r="P19" s="22"/>
      <c r="Q19" s="22"/>
      <c r="R19" s="22"/>
      <c r="S19" s="23"/>
      <c r="T19" s="11"/>
    </row>
    <row r="20" spans="1:23" ht="3" customHeight="1" x14ac:dyDescent="0.25">
      <c r="A20" s="10"/>
      <c r="B20" s="198"/>
      <c r="C20" s="199"/>
      <c r="D20" s="199"/>
      <c r="E20" s="199"/>
      <c r="F20" s="93"/>
      <c r="G20" s="186"/>
      <c r="H20" s="186"/>
      <c r="I20" s="186"/>
      <c r="J20" s="186"/>
      <c r="K20" s="191"/>
      <c r="L20" s="191"/>
      <c r="M20" s="195"/>
      <c r="N20" s="186"/>
      <c r="O20" s="186"/>
      <c r="P20" s="186"/>
      <c r="Q20" s="186"/>
      <c r="R20" s="186"/>
      <c r="S20" s="187"/>
      <c r="T20" s="11"/>
      <c r="W20" s="1"/>
    </row>
    <row r="21" spans="1:23" ht="15.75" customHeight="1" x14ac:dyDescent="0.25">
      <c r="A21" s="10"/>
      <c r="B21" s="403" t="s">
        <v>91</v>
      </c>
      <c r="C21" s="404"/>
      <c r="D21" s="404"/>
      <c r="E21" s="404"/>
      <c r="F21" s="404"/>
      <c r="G21" s="404"/>
      <c r="H21" s="404"/>
      <c r="I21" s="404"/>
      <c r="J21" s="404"/>
      <c r="K21" s="404"/>
      <c r="L21" s="404"/>
      <c r="M21" s="404"/>
      <c r="N21" s="404"/>
      <c r="O21" s="404"/>
      <c r="P21" s="404"/>
      <c r="Q21" s="404"/>
      <c r="R21" s="404"/>
      <c r="S21" s="405"/>
      <c r="T21" s="11"/>
      <c r="W21" s="1"/>
    </row>
    <row r="22" spans="1:23" ht="15" customHeight="1" x14ac:dyDescent="0.25">
      <c r="A22" s="10"/>
      <c r="B22" s="3"/>
      <c r="C22" s="186"/>
      <c r="D22" s="186"/>
      <c r="E22" s="186"/>
      <c r="F22" s="186"/>
      <c r="G22" s="186"/>
      <c r="H22" s="186"/>
      <c r="I22" s="55" t="s">
        <v>71</v>
      </c>
      <c r="J22" s="55" t="s">
        <v>13</v>
      </c>
      <c r="K22" s="186"/>
      <c r="L22" s="186"/>
      <c r="M22" s="186"/>
      <c r="N22" s="186"/>
      <c r="O22" s="186"/>
      <c r="P22" s="186"/>
      <c r="Q22" s="186"/>
      <c r="R22" s="55" t="s">
        <v>71</v>
      </c>
      <c r="S22" s="55" t="s">
        <v>13</v>
      </c>
      <c r="T22" s="11"/>
      <c r="W22" s="1"/>
    </row>
    <row r="23" spans="1:23" ht="3.75" customHeight="1" x14ac:dyDescent="0.25">
      <c r="A23" s="10"/>
      <c r="B23" s="3"/>
      <c r="C23" s="186"/>
      <c r="D23" s="186"/>
      <c r="E23" s="186"/>
      <c r="F23" s="186"/>
      <c r="G23" s="186"/>
      <c r="H23" s="186"/>
      <c r="I23" s="186"/>
      <c r="J23" s="186"/>
      <c r="K23" s="186"/>
      <c r="L23" s="186"/>
      <c r="M23" s="186"/>
      <c r="N23" s="186"/>
      <c r="O23" s="186"/>
      <c r="P23" s="186"/>
      <c r="Q23" s="186"/>
      <c r="R23" s="186"/>
      <c r="S23" s="187"/>
      <c r="T23" s="11"/>
    </row>
    <row r="24" spans="1:23" x14ac:dyDescent="0.25">
      <c r="A24" s="10"/>
      <c r="B24" s="429" t="s">
        <v>212</v>
      </c>
      <c r="C24" s="430"/>
      <c r="D24" s="430"/>
      <c r="E24" s="430"/>
      <c r="F24" s="113" t="s">
        <v>24</v>
      </c>
      <c r="G24" s="412" t="s">
        <v>47</v>
      </c>
      <c r="H24" s="413"/>
      <c r="I24" s="119" t="s">
        <v>130</v>
      </c>
      <c r="J24" s="215"/>
      <c r="K24" s="430" t="s">
        <v>213</v>
      </c>
      <c r="L24" s="430"/>
      <c r="M24" s="430"/>
      <c r="N24" s="430"/>
      <c r="O24" s="113" t="s">
        <v>24</v>
      </c>
      <c r="P24" s="412" t="s">
        <v>131</v>
      </c>
      <c r="Q24" s="413"/>
      <c r="R24" s="119" t="s">
        <v>130</v>
      </c>
      <c r="S24" s="215"/>
      <c r="T24" s="11"/>
      <c r="W24" s="1"/>
    </row>
    <row r="25" spans="1:23" ht="3.75" customHeight="1" x14ac:dyDescent="0.25">
      <c r="A25" s="10"/>
      <c r="B25" s="96"/>
      <c r="C25" s="93"/>
      <c r="D25" s="93"/>
      <c r="E25" s="93"/>
      <c r="F25" s="93"/>
      <c r="G25" s="93"/>
      <c r="H25" s="93"/>
      <c r="I25" s="120"/>
      <c r="J25" s="120"/>
      <c r="K25" s="93"/>
      <c r="L25" s="93"/>
      <c r="M25" s="93"/>
      <c r="N25" s="93"/>
      <c r="O25" s="93"/>
      <c r="P25" s="120"/>
      <c r="Q25" s="120"/>
      <c r="R25" s="120"/>
      <c r="S25" s="152"/>
      <c r="T25" s="11"/>
    </row>
    <row r="26" spans="1:23" x14ac:dyDescent="0.25">
      <c r="A26" s="10"/>
      <c r="B26" s="429" t="s">
        <v>95</v>
      </c>
      <c r="C26" s="430"/>
      <c r="D26" s="430"/>
      <c r="E26" s="430"/>
      <c r="F26" s="113" t="s">
        <v>24</v>
      </c>
      <c r="G26" s="113">
        <v>24</v>
      </c>
      <c r="H26" s="194" t="s">
        <v>96</v>
      </c>
      <c r="I26" s="119" t="s">
        <v>130</v>
      </c>
      <c r="J26" s="215"/>
      <c r="K26" s="430" t="s">
        <v>214</v>
      </c>
      <c r="L26" s="430"/>
      <c r="M26" s="430"/>
      <c r="N26" s="430"/>
      <c r="O26" s="113" t="s">
        <v>24</v>
      </c>
      <c r="P26" s="412" t="s">
        <v>131</v>
      </c>
      <c r="Q26" s="413"/>
      <c r="R26" s="119" t="s">
        <v>130</v>
      </c>
      <c r="S26" s="215"/>
      <c r="T26" s="11"/>
    </row>
    <row r="27" spans="1:23" ht="3.75" customHeight="1" x14ac:dyDescent="0.25">
      <c r="A27" s="10"/>
      <c r="B27" s="96"/>
      <c r="C27" s="93"/>
      <c r="D27" s="93"/>
      <c r="E27" s="93"/>
      <c r="F27" s="93"/>
      <c r="G27" s="93"/>
      <c r="H27" s="93"/>
      <c r="I27" s="120"/>
      <c r="J27" s="120"/>
      <c r="K27" s="93"/>
      <c r="L27" s="93"/>
      <c r="M27" s="93"/>
      <c r="N27" s="93"/>
      <c r="O27" s="93"/>
      <c r="P27" s="120"/>
      <c r="Q27" s="120"/>
      <c r="R27" s="120"/>
      <c r="S27" s="152"/>
      <c r="T27" s="11"/>
    </row>
    <row r="28" spans="1:23" x14ac:dyDescent="0.25">
      <c r="A28" s="10"/>
      <c r="B28" s="429" t="s">
        <v>215</v>
      </c>
      <c r="C28" s="430"/>
      <c r="D28" s="430"/>
      <c r="E28" s="430"/>
      <c r="F28" s="113" t="s">
        <v>24</v>
      </c>
      <c r="G28" s="412" t="s">
        <v>47</v>
      </c>
      <c r="H28" s="413"/>
      <c r="I28" s="119" t="s">
        <v>130</v>
      </c>
      <c r="J28" s="119"/>
      <c r="K28" s="430" t="s">
        <v>378</v>
      </c>
      <c r="L28" s="430"/>
      <c r="M28" s="430"/>
      <c r="N28" s="430"/>
      <c r="O28" s="146" t="s">
        <v>128</v>
      </c>
      <c r="P28" s="412" t="s">
        <v>47</v>
      </c>
      <c r="Q28" s="413"/>
      <c r="R28" s="119" t="s">
        <v>130</v>
      </c>
      <c r="S28" s="119"/>
      <c r="T28" s="11"/>
    </row>
    <row r="29" spans="1:23" ht="3.75" customHeight="1" x14ac:dyDescent="0.25">
      <c r="A29" s="10"/>
      <c r="B29" s="96"/>
      <c r="C29" s="93"/>
      <c r="D29" s="93"/>
      <c r="E29" s="93"/>
      <c r="F29" s="93"/>
      <c r="G29" s="93"/>
      <c r="H29" s="93"/>
      <c r="I29" s="120"/>
      <c r="J29" s="120"/>
      <c r="K29" s="93"/>
      <c r="L29" s="93"/>
      <c r="M29" s="93"/>
      <c r="N29" s="93"/>
      <c r="O29" s="93"/>
      <c r="P29" s="120"/>
      <c r="Q29" s="120"/>
      <c r="R29" s="120"/>
      <c r="S29" s="152"/>
      <c r="T29" s="11"/>
    </row>
    <row r="30" spans="1:23" x14ac:dyDescent="0.25">
      <c r="A30" s="10"/>
      <c r="B30" s="429" t="s">
        <v>216</v>
      </c>
      <c r="C30" s="430"/>
      <c r="D30" s="430"/>
      <c r="E30" s="430"/>
      <c r="F30" s="113" t="s">
        <v>24</v>
      </c>
      <c r="G30" s="412" t="s">
        <v>47</v>
      </c>
      <c r="H30" s="413"/>
      <c r="I30" s="119" t="s">
        <v>130</v>
      </c>
      <c r="J30" s="119"/>
      <c r="K30" s="430" t="s">
        <v>217</v>
      </c>
      <c r="L30" s="430"/>
      <c r="M30" s="430"/>
      <c r="N30" s="430"/>
      <c r="O30" s="113" t="s">
        <v>24</v>
      </c>
      <c r="P30" s="412" t="s">
        <v>47</v>
      </c>
      <c r="Q30" s="413"/>
      <c r="R30" s="119" t="s">
        <v>130</v>
      </c>
      <c r="S30" s="119"/>
      <c r="T30" s="11"/>
    </row>
    <row r="31" spans="1:23" ht="3.75" customHeight="1" x14ac:dyDescent="0.25">
      <c r="A31" s="10"/>
      <c r="B31" s="96"/>
      <c r="C31" s="93"/>
      <c r="D31" s="93"/>
      <c r="E31" s="93"/>
      <c r="F31" s="93"/>
      <c r="G31" s="93"/>
      <c r="H31" s="93"/>
      <c r="I31" s="120"/>
      <c r="J31" s="120"/>
      <c r="K31" s="93"/>
      <c r="L31" s="93"/>
      <c r="M31" s="93"/>
      <c r="N31" s="93"/>
      <c r="O31" s="93"/>
      <c r="P31" s="120"/>
      <c r="Q31" s="120"/>
      <c r="R31" s="120"/>
      <c r="S31" s="152"/>
      <c r="T31" s="11"/>
    </row>
    <row r="32" spans="1:23" x14ac:dyDescent="0.25">
      <c r="A32" s="10"/>
      <c r="B32" s="429" t="s">
        <v>218</v>
      </c>
      <c r="C32" s="430"/>
      <c r="D32" s="430"/>
      <c r="E32" s="430"/>
      <c r="F32" s="140" t="s">
        <v>24</v>
      </c>
      <c r="G32" s="412" t="s">
        <v>47</v>
      </c>
      <c r="H32" s="413"/>
      <c r="I32" s="119" t="s">
        <v>130</v>
      </c>
      <c r="J32" s="119"/>
      <c r="K32" s="430" t="s">
        <v>219</v>
      </c>
      <c r="L32" s="430"/>
      <c r="M32" s="430"/>
      <c r="N32" s="430"/>
      <c r="O32" s="141" t="s">
        <v>24</v>
      </c>
      <c r="P32" s="412" t="s">
        <v>47</v>
      </c>
      <c r="Q32" s="413"/>
      <c r="R32" s="119" t="s">
        <v>130</v>
      </c>
      <c r="S32" s="119"/>
      <c r="T32" s="11"/>
    </row>
    <row r="33" spans="1:40" ht="3.75" customHeight="1" x14ac:dyDescent="0.25">
      <c r="A33" s="10"/>
      <c r="B33" s="96"/>
      <c r="C33" s="93"/>
      <c r="D33" s="93"/>
      <c r="E33" s="93"/>
      <c r="F33" s="93"/>
      <c r="G33" s="93"/>
      <c r="H33" s="93"/>
      <c r="I33" s="120"/>
      <c r="J33" s="120"/>
      <c r="K33" s="93"/>
      <c r="L33" s="93"/>
      <c r="M33" s="93"/>
      <c r="N33" s="93"/>
      <c r="O33" s="93"/>
      <c r="P33" s="120"/>
      <c r="Q33" s="120"/>
      <c r="R33" s="120"/>
      <c r="S33" s="152"/>
      <c r="T33" s="11"/>
    </row>
    <row r="34" spans="1:40" ht="15" customHeight="1" x14ac:dyDescent="0.25">
      <c r="A34" s="10"/>
      <c r="B34" s="216"/>
      <c r="C34" s="217"/>
      <c r="D34" s="217"/>
      <c r="E34" s="217"/>
      <c r="F34" s="217"/>
      <c r="G34" s="217"/>
      <c r="H34" s="217"/>
      <c r="I34" s="217"/>
      <c r="J34" s="217"/>
      <c r="K34" s="217"/>
      <c r="L34" s="217"/>
      <c r="M34" s="217"/>
      <c r="N34" s="217"/>
      <c r="O34" s="217"/>
      <c r="P34" s="217"/>
      <c r="Q34" s="217"/>
      <c r="R34" s="217"/>
      <c r="S34" s="218"/>
      <c r="T34" s="11"/>
    </row>
    <row r="35" spans="1:40" ht="15.75" customHeight="1" x14ac:dyDescent="0.25">
      <c r="A35" s="10"/>
      <c r="B35" s="403" t="s">
        <v>220</v>
      </c>
      <c r="C35" s="404"/>
      <c r="D35" s="404"/>
      <c r="E35" s="404"/>
      <c r="F35" s="404"/>
      <c r="G35" s="404"/>
      <c r="H35" s="404"/>
      <c r="I35" s="404"/>
      <c r="J35" s="404"/>
      <c r="K35" s="404"/>
      <c r="L35" s="404"/>
      <c r="M35" s="404"/>
      <c r="N35" s="404"/>
      <c r="O35" s="404"/>
      <c r="P35" s="404"/>
      <c r="Q35" s="404"/>
      <c r="R35" s="404"/>
      <c r="S35" s="405"/>
      <c r="T35" s="11"/>
      <c r="V35" s="76"/>
      <c r="W35" s="76"/>
      <c r="X35" s="76"/>
      <c r="AE35" s="76"/>
      <c r="AF35" s="76"/>
      <c r="AG35" s="76"/>
      <c r="AH35" s="76"/>
      <c r="AI35" s="76"/>
      <c r="AJ35" s="76"/>
      <c r="AK35" s="76"/>
      <c r="AL35" s="76"/>
      <c r="AM35" s="76"/>
      <c r="AN35" s="76"/>
    </row>
    <row r="36" spans="1:40" ht="3" customHeight="1" x14ac:dyDescent="0.25">
      <c r="A36" s="10"/>
      <c r="B36" s="3"/>
      <c r="C36" s="186"/>
      <c r="D36" s="186"/>
      <c r="E36" s="186"/>
      <c r="F36" s="186"/>
      <c r="G36" s="186"/>
      <c r="H36" s="186"/>
      <c r="I36" s="186"/>
      <c r="J36" s="186"/>
      <c r="K36" s="186"/>
      <c r="L36" s="186"/>
      <c r="M36" s="186"/>
      <c r="N36" s="186"/>
      <c r="O36" s="186"/>
      <c r="P36" s="186"/>
      <c r="Q36" s="186"/>
      <c r="R36" s="186"/>
      <c r="S36" s="187"/>
      <c r="T36" s="11"/>
      <c r="V36" s="76"/>
      <c r="W36" s="76"/>
      <c r="X36" s="76"/>
      <c r="Y36" s="76"/>
      <c r="Z36" s="76"/>
      <c r="AA36" s="76"/>
      <c r="AB36" s="76"/>
      <c r="AC36" s="76"/>
      <c r="AD36" s="76"/>
      <c r="AE36" s="76"/>
      <c r="AF36" s="76"/>
      <c r="AG36" s="76"/>
      <c r="AH36" s="76"/>
      <c r="AI36" s="76"/>
      <c r="AJ36" s="76"/>
      <c r="AK36" s="76"/>
      <c r="AL36" s="76"/>
      <c r="AM36" s="76"/>
      <c r="AN36" s="76"/>
    </row>
    <row r="37" spans="1:40" ht="15" customHeight="1" x14ac:dyDescent="0.25">
      <c r="A37" s="10"/>
      <c r="B37" s="3"/>
      <c r="C37" s="541" t="s">
        <v>221</v>
      </c>
      <c r="D37" s="541"/>
      <c r="E37" s="541"/>
      <c r="F37" s="541" t="s">
        <v>222</v>
      </c>
      <c r="G37" s="541"/>
      <c r="H37" s="541"/>
      <c r="I37" s="541" t="s">
        <v>223</v>
      </c>
      <c r="J37" s="541"/>
      <c r="K37" s="541"/>
      <c r="L37" s="541" t="s">
        <v>224</v>
      </c>
      <c r="M37" s="541"/>
      <c r="N37" s="541"/>
      <c r="O37" s="541" t="s">
        <v>225</v>
      </c>
      <c r="P37" s="541"/>
      <c r="Q37" s="541"/>
      <c r="R37" s="541" t="s">
        <v>226</v>
      </c>
      <c r="S37" s="541"/>
      <c r="T37" s="11"/>
      <c r="V37" s="76"/>
      <c r="W37" s="76"/>
      <c r="X37" s="76"/>
      <c r="Y37" s="76"/>
      <c r="Z37" s="76"/>
      <c r="AA37" s="76"/>
      <c r="AB37" s="76"/>
      <c r="AC37" s="76"/>
      <c r="AD37" s="76"/>
      <c r="AE37" s="76"/>
      <c r="AF37" s="76"/>
      <c r="AG37" s="76"/>
      <c r="AH37" s="76"/>
      <c r="AI37" s="76"/>
      <c r="AJ37" s="76"/>
      <c r="AK37" s="76"/>
      <c r="AL37" s="76"/>
      <c r="AM37" s="76"/>
      <c r="AN37" s="76"/>
    </row>
    <row r="38" spans="1:40" ht="3" customHeight="1" x14ac:dyDescent="0.25">
      <c r="A38" s="10"/>
      <c r="B38" s="3"/>
      <c r="C38" s="186"/>
      <c r="D38" s="186"/>
      <c r="E38" s="186"/>
      <c r="F38" s="186"/>
      <c r="G38" s="186"/>
      <c r="H38" s="186"/>
      <c r="I38" s="186"/>
      <c r="J38" s="186"/>
      <c r="K38" s="186"/>
      <c r="L38" s="186"/>
      <c r="M38" s="186"/>
      <c r="N38" s="186"/>
      <c r="O38" s="186"/>
      <c r="P38" s="186"/>
      <c r="Q38" s="186"/>
      <c r="R38" s="186"/>
      <c r="S38" s="187"/>
      <c r="T38" s="11"/>
      <c r="V38" s="76"/>
      <c r="W38" s="76"/>
      <c r="X38" s="76"/>
      <c r="Y38" s="76"/>
      <c r="Z38" s="76"/>
      <c r="AA38" s="76"/>
      <c r="AB38" s="76"/>
      <c r="AC38" s="76"/>
      <c r="AD38" s="76"/>
      <c r="AE38" s="76"/>
      <c r="AF38" s="76"/>
      <c r="AG38" s="76"/>
      <c r="AH38" s="76"/>
      <c r="AI38" s="76"/>
      <c r="AJ38" s="76"/>
      <c r="AK38" s="76"/>
      <c r="AL38" s="76"/>
      <c r="AM38" s="76"/>
      <c r="AN38" s="76"/>
    </row>
    <row r="39" spans="1:40" ht="15" customHeight="1" x14ac:dyDescent="0.25">
      <c r="A39" s="10"/>
      <c r="B39" s="219" t="s">
        <v>227</v>
      </c>
      <c r="C39" s="583">
        <v>2000</v>
      </c>
      <c r="D39" s="584"/>
      <c r="E39" s="220" t="s">
        <v>44</v>
      </c>
      <c r="F39" s="583">
        <v>4000</v>
      </c>
      <c r="G39" s="584"/>
      <c r="H39" s="220" t="s">
        <v>44</v>
      </c>
      <c r="I39" s="583">
        <v>6000</v>
      </c>
      <c r="J39" s="584"/>
      <c r="K39" s="220" t="s">
        <v>44</v>
      </c>
      <c r="L39" s="583">
        <v>8000</v>
      </c>
      <c r="M39" s="584"/>
      <c r="N39" s="220" t="s">
        <v>44</v>
      </c>
      <c r="O39" s="583">
        <v>10000</v>
      </c>
      <c r="P39" s="584"/>
      <c r="Q39" s="220" t="s">
        <v>44</v>
      </c>
      <c r="R39" s="504">
        <f>IF(O39&gt;250,1,0)</f>
        <v>1</v>
      </c>
      <c r="S39" s="504"/>
      <c r="T39" s="11"/>
      <c r="V39" s="76"/>
      <c r="W39" s="76"/>
      <c r="X39" s="76"/>
      <c r="Y39" s="76"/>
      <c r="Z39" s="76"/>
      <c r="AA39" s="76"/>
      <c r="AB39" s="76"/>
      <c r="AC39" s="76"/>
      <c r="AD39" s="76"/>
      <c r="AE39" s="76"/>
      <c r="AF39" s="76"/>
      <c r="AG39" s="76"/>
      <c r="AH39" s="76"/>
      <c r="AI39" s="76"/>
      <c r="AJ39" s="76"/>
      <c r="AK39" s="76"/>
      <c r="AL39" s="76"/>
      <c r="AM39" s="76"/>
      <c r="AN39" s="76"/>
    </row>
    <row r="40" spans="1:40" ht="3" customHeight="1" x14ac:dyDescent="0.25">
      <c r="A40" s="10"/>
      <c r="B40" s="221"/>
      <c r="C40" s="57"/>
      <c r="D40" s="57"/>
      <c r="E40" s="186"/>
      <c r="F40" s="57"/>
      <c r="G40" s="57"/>
      <c r="H40" s="186"/>
      <c r="I40" s="57"/>
      <c r="J40" s="57"/>
      <c r="K40" s="186"/>
      <c r="L40" s="57"/>
      <c r="M40" s="57"/>
      <c r="N40" s="186"/>
      <c r="O40" s="57"/>
      <c r="P40" s="57"/>
      <c r="Q40" s="186"/>
      <c r="R40" s="186"/>
      <c r="S40" s="187"/>
      <c r="T40" s="11"/>
      <c r="V40" s="76"/>
      <c r="W40" s="76"/>
      <c r="X40" s="76"/>
      <c r="Y40" s="76"/>
      <c r="Z40" s="76"/>
      <c r="AA40" s="76"/>
      <c r="AB40" s="76"/>
      <c r="AC40" s="76"/>
      <c r="AD40" s="76"/>
      <c r="AE40" s="76"/>
      <c r="AF40" s="76"/>
      <c r="AG40" s="76"/>
      <c r="AH40" s="76"/>
      <c r="AI40" s="76"/>
      <c r="AJ40" s="76"/>
      <c r="AK40" s="76"/>
      <c r="AL40" s="76"/>
      <c r="AM40" s="76"/>
      <c r="AN40" s="76"/>
    </row>
    <row r="41" spans="1:40" ht="15" customHeight="1" x14ac:dyDescent="0.25">
      <c r="A41" s="10"/>
      <c r="B41" s="219" t="s">
        <v>228</v>
      </c>
      <c r="C41" s="583">
        <v>2000</v>
      </c>
      <c r="D41" s="584"/>
      <c r="E41" s="220" t="s">
        <v>44</v>
      </c>
      <c r="F41" s="583">
        <v>4000</v>
      </c>
      <c r="G41" s="584"/>
      <c r="H41" s="220" t="s">
        <v>44</v>
      </c>
      <c r="I41" s="583">
        <v>6000</v>
      </c>
      <c r="J41" s="584"/>
      <c r="K41" s="220" t="s">
        <v>44</v>
      </c>
      <c r="L41" s="583">
        <v>8000</v>
      </c>
      <c r="M41" s="584"/>
      <c r="N41" s="220" t="s">
        <v>44</v>
      </c>
      <c r="O41" s="583">
        <v>10000</v>
      </c>
      <c r="P41" s="584"/>
      <c r="Q41" s="220" t="s">
        <v>44</v>
      </c>
      <c r="R41" s="504">
        <f>IF(O41&gt;250,1,0)</f>
        <v>1</v>
      </c>
      <c r="S41" s="504"/>
      <c r="T41" s="11"/>
      <c r="V41" s="76"/>
      <c r="W41" s="76"/>
      <c r="X41" s="76"/>
      <c r="Y41" s="76"/>
      <c r="Z41" s="76"/>
      <c r="AA41" s="76"/>
      <c r="AB41" s="76"/>
      <c r="AC41" s="76"/>
      <c r="AD41" s="76"/>
      <c r="AE41" s="76"/>
      <c r="AF41" s="76"/>
      <c r="AG41" s="76"/>
      <c r="AH41" s="76"/>
      <c r="AI41" s="76"/>
      <c r="AJ41" s="76"/>
      <c r="AK41" s="76"/>
      <c r="AL41" s="76"/>
      <c r="AM41" s="76"/>
      <c r="AN41" s="76"/>
    </row>
    <row r="42" spans="1:40" ht="3" customHeight="1" x14ac:dyDescent="0.25">
      <c r="A42" s="10"/>
      <c r="B42" s="221"/>
      <c r="C42" s="57"/>
      <c r="D42" s="57"/>
      <c r="E42" s="186"/>
      <c r="F42" s="57"/>
      <c r="G42" s="57"/>
      <c r="H42" s="186"/>
      <c r="I42" s="57"/>
      <c r="J42" s="57"/>
      <c r="K42" s="186"/>
      <c r="L42" s="57"/>
      <c r="M42" s="57"/>
      <c r="N42" s="186"/>
      <c r="O42" s="57"/>
      <c r="P42" s="57"/>
      <c r="Q42" s="186"/>
      <c r="R42" s="186"/>
      <c r="S42" s="187"/>
      <c r="T42" s="11"/>
      <c r="V42" s="76"/>
      <c r="W42" s="76"/>
      <c r="X42" s="76"/>
      <c r="Y42" s="76"/>
      <c r="Z42" s="76"/>
      <c r="AA42" s="76"/>
      <c r="AB42" s="76"/>
      <c r="AC42" s="76"/>
      <c r="AD42" s="76"/>
      <c r="AE42" s="76"/>
      <c r="AF42" s="76"/>
      <c r="AG42" s="76"/>
      <c r="AH42" s="76"/>
      <c r="AI42" s="76"/>
      <c r="AJ42" s="76"/>
      <c r="AK42" s="76"/>
      <c r="AL42" s="76"/>
      <c r="AM42" s="76"/>
      <c r="AN42" s="76"/>
    </row>
    <row r="43" spans="1:40" ht="15" customHeight="1" x14ac:dyDescent="0.25">
      <c r="A43" s="10"/>
      <c r="B43" s="219" t="s">
        <v>229</v>
      </c>
      <c r="C43" s="583">
        <v>2000</v>
      </c>
      <c r="D43" s="584"/>
      <c r="E43" s="220" t="s">
        <v>44</v>
      </c>
      <c r="F43" s="583">
        <v>4000</v>
      </c>
      <c r="G43" s="584"/>
      <c r="H43" s="220" t="s">
        <v>44</v>
      </c>
      <c r="I43" s="583">
        <v>6000</v>
      </c>
      <c r="J43" s="584"/>
      <c r="K43" s="220" t="s">
        <v>44</v>
      </c>
      <c r="L43" s="583">
        <v>8000</v>
      </c>
      <c r="M43" s="584"/>
      <c r="N43" s="220" t="s">
        <v>44</v>
      </c>
      <c r="O43" s="583">
        <v>10000</v>
      </c>
      <c r="P43" s="584"/>
      <c r="Q43" s="220" t="s">
        <v>44</v>
      </c>
      <c r="R43" s="504">
        <f>IF(O43&gt;250,1,0)</f>
        <v>1</v>
      </c>
      <c r="S43" s="504"/>
      <c r="T43" s="11"/>
      <c r="V43" s="76"/>
      <c r="W43" s="76"/>
      <c r="X43" s="76"/>
      <c r="Y43" s="76"/>
      <c r="Z43" s="76"/>
      <c r="AA43" s="76"/>
      <c r="AB43" s="76"/>
      <c r="AC43" s="76"/>
      <c r="AD43" s="76"/>
      <c r="AE43" s="76"/>
      <c r="AF43" s="76"/>
      <c r="AG43" s="76"/>
      <c r="AH43" s="76"/>
      <c r="AI43" s="76"/>
      <c r="AJ43" s="76"/>
      <c r="AK43" s="76"/>
      <c r="AL43" s="76"/>
      <c r="AM43" s="76"/>
      <c r="AN43" s="76"/>
    </row>
    <row r="44" spans="1:40" ht="3" customHeight="1" x14ac:dyDescent="0.25">
      <c r="A44" s="10"/>
      <c r="B44" s="47"/>
      <c r="C44" s="48"/>
      <c r="D44" s="48"/>
      <c r="E44" s="48"/>
      <c r="F44" s="48"/>
      <c r="G44" s="48"/>
      <c r="H44" s="48"/>
      <c r="I44" s="48"/>
      <c r="J44" s="48"/>
      <c r="K44" s="48"/>
      <c r="L44" s="48"/>
      <c r="M44" s="48"/>
      <c r="N44" s="48"/>
      <c r="O44" s="48"/>
      <c r="P44" s="48"/>
      <c r="Q44" s="48"/>
      <c r="R44" s="48"/>
      <c r="S44" s="98"/>
      <c r="T44" s="11"/>
      <c r="V44" s="76"/>
      <c r="W44" s="76"/>
      <c r="X44" s="76"/>
      <c r="Y44" s="76"/>
      <c r="Z44" s="76"/>
      <c r="AA44" s="76"/>
      <c r="AB44" s="76"/>
      <c r="AC44" s="76"/>
      <c r="AD44" s="76"/>
      <c r="AE44" s="76"/>
      <c r="AF44" s="76"/>
      <c r="AG44" s="76"/>
      <c r="AH44" s="76"/>
      <c r="AI44" s="76"/>
      <c r="AJ44" s="76"/>
      <c r="AK44" s="76"/>
      <c r="AL44" s="76"/>
      <c r="AM44" s="76"/>
      <c r="AN44" s="76"/>
    </row>
    <row r="45" spans="1:40" ht="15" customHeight="1" x14ac:dyDescent="0.25">
      <c r="A45" s="10"/>
      <c r="B45" s="3"/>
      <c r="C45" s="186"/>
      <c r="D45" s="186"/>
      <c r="E45" s="186"/>
      <c r="F45" s="186"/>
      <c r="G45" s="186"/>
      <c r="H45" s="186"/>
      <c r="I45" s="186"/>
      <c r="J45" s="186"/>
      <c r="K45" s="186"/>
      <c r="L45" s="186"/>
      <c r="M45" s="186"/>
      <c r="N45" s="186"/>
      <c r="O45" s="186"/>
      <c r="P45" s="186"/>
      <c r="Q45" s="186"/>
      <c r="R45" s="186"/>
      <c r="S45" s="187"/>
      <c r="T45" s="11"/>
      <c r="V45" s="418"/>
      <c r="W45" s="418"/>
      <c r="X45" s="76"/>
      <c r="Y45" s="76"/>
      <c r="Z45" s="76"/>
      <c r="AA45" s="76"/>
      <c r="AB45" s="76"/>
      <c r="AC45" s="76"/>
      <c r="AD45" s="76"/>
      <c r="AE45" s="76"/>
      <c r="AF45" s="76"/>
      <c r="AG45" s="76"/>
      <c r="AH45" s="76"/>
      <c r="AI45" s="76"/>
      <c r="AJ45" s="76"/>
      <c r="AK45" s="76"/>
      <c r="AL45" s="76"/>
      <c r="AM45" s="76"/>
      <c r="AN45" s="76"/>
    </row>
    <row r="46" spans="1:40" ht="15.75" customHeight="1" x14ac:dyDescent="0.25">
      <c r="A46" s="10"/>
      <c r="B46" s="403" t="s">
        <v>230</v>
      </c>
      <c r="C46" s="404"/>
      <c r="D46" s="404"/>
      <c r="E46" s="404"/>
      <c r="F46" s="404"/>
      <c r="G46" s="404"/>
      <c r="H46" s="404"/>
      <c r="I46" s="404"/>
      <c r="J46" s="405"/>
      <c r="K46" s="403" t="s">
        <v>231</v>
      </c>
      <c r="L46" s="404"/>
      <c r="M46" s="404"/>
      <c r="N46" s="404"/>
      <c r="O46" s="404"/>
      <c r="P46" s="404"/>
      <c r="Q46" s="404"/>
      <c r="R46" s="404"/>
      <c r="S46" s="405"/>
      <c r="T46" s="11"/>
      <c r="V46" s="76"/>
      <c r="W46" s="76"/>
      <c r="X46" s="76"/>
      <c r="Y46" s="76"/>
      <c r="Z46" s="76"/>
      <c r="AA46" s="76"/>
      <c r="AB46" s="76"/>
      <c r="AC46" s="76"/>
      <c r="AD46" s="76"/>
      <c r="AE46" s="76"/>
      <c r="AF46" s="76"/>
      <c r="AG46" s="76"/>
      <c r="AH46" s="76"/>
      <c r="AI46" s="76"/>
      <c r="AJ46" s="76"/>
      <c r="AK46" s="76"/>
      <c r="AL46" s="76"/>
      <c r="AM46" s="76"/>
      <c r="AN46" s="76"/>
    </row>
    <row r="47" spans="1:40" ht="3" customHeight="1" x14ac:dyDescent="0.25">
      <c r="A47" s="10"/>
      <c r="B47" s="3"/>
      <c r="C47" s="186"/>
      <c r="D47" s="186"/>
      <c r="E47" s="186"/>
      <c r="F47" s="186"/>
      <c r="G47" s="186"/>
      <c r="H47" s="186"/>
      <c r="I47" s="186"/>
      <c r="J47" s="187"/>
      <c r="K47" s="3"/>
      <c r="L47" s="186"/>
      <c r="M47" s="186"/>
      <c r="N47" s="45"/>
      <c r="O47" s="186"/>
      <c r="P47" s="186"/>
      <c r="Q47" s="45"/>
      <c r="R47" s="186"/>
      <c r="S47" s="187"/>
      <c r="T47" s="11"/>
      <c r="V47" s="76"/>
      <c r="W47" s="76"/>
      <c r="X47" s="76"/>
      <c r="Y47" s="76"/>
      <c r="Z47" s="76"/>
      <c r="AA47" s="76"/>
      <c r="AB47" s="76"/>
      <c r="AC47" s="76"/>
      <c r="AD47" s="76"/>
      <c r="AE47" s="76"/>
      <c r="AF47" s="76"/>
      <c r="AG47" s="76"/>
      <c r="AH47" s="76"/>
      <c r="AI47" s="76"/>
      <c r="AJ47" s="76"/>
      <c r="AK47" s="76"/>
      <c r="AL47" s="76"/>
      <c r="AM47" s="76"/>
      <c r="AN47" s="76"/>
    </row>
    <row r="48" spans="1:40" ht="15" customHeight="1" x14ac:dyDescent="0.25">
      <c r="A48" s="10"/>
      <c r="B48" s="3"/>
      <c r="C48" s="478" t="s">
        <v>232</v>
      </c>
      <c r="D48" s="479"/>
      <c r="E48" s="479"/>
      <c r="F48" s="480"/>
      <c r="G48" s="478" t="s">
        <v>226</v>
      </c>
      <c r="H48" s="479"/>
      <c r="I48" s="479"/>
      <c r="J48" s="480"/>
      <c r="K48" s="478" t="s">
        <v>233</v>
      </c>
      <c r="L48" s="479"/>
      <c r="M48" s="479"/>
      <c r="N48" s="480"/>
      <c r="O48" s="478" t="s">
        <v>226</v>
      </c>
      <c r="P48" s="479"/>
      <c r="Q48" s="479"/>
      <c r="R48" s="479"/>
      <c r="S48" s="480"/>
      <c r="T48" s="11"/>
      <c r="V48" s="76"/>
      <c r="W48" s="76"/>
      <c r="X48" s="76"/>
      <c r="Y48" s="76"/>
      <c r="Z48" s="76"/>
      <c r="AA48" s="76"/>
      <c r="AB48" s="76"/>
      <c r="AC48" s="76"/>
      <c r="AD48" s="76"/>
      <c r="AE48" s="76"/>
      <c r="AF48" s="76"/>
      <c r="AG48" s="76"/>
      <c r="AH48" s="76"/>
      <c r="AI48" s="76"/>
      <c r="AJ48" s="76"/>
      <c r="AK48" s="76"/>
      <c r="AL48" s="76"/>
      <c r="AM48" s="76"/>
      <c r="AN48" s="76"/>
    </row>
    <row r="49" spans="1:40" ht="3" customHeight="1" x14ac:dyDescent="0.25">
      <c r="A49" s="10"/>
      <c r="B49" s="3"/>
      <c r="C49" s="186"/>
      <c r="D49" s="186"/>
      <c r="E49" s="186"/>
      <c r="F49" s="186"/>
      <c r="G49" s="186"/>
      <c r="H49" s="186"/>
      <c r="I49" s="186"/>
      <c r="J49" s="187"/>
      <c r="K49" s="3"/>
      <c r="L49" s="186"/>
      <c r="M49" s="186"/>
      <c r="N49" s="186"/>
      <c r="O49" s="186"/>
      <c r="P49" s="186"/>
      <c r="Q49" s="186"/>
      <c r="R49" s="186"/>
      <c r="S49" s="187"/>
      <c r="T49" s="11"/>
      <c r="V49" s="76"/>
      <c r="W49" s="76"/>
      <c r="X49" s="76"/>
      <c r="Y49" s="76"/>
      <c r="Z49" s="76"/>
      <c r="AA49" s="76"/>
      <c r="AB49" s="76"/>
      <c r="AC49" s="76"/>
      <c r="AD49" s="76"/>
      <c r="AE49" s="76"/>
      <c r="AF49" s="76"/>
      <c r="AG49" s="76"/>
      <c r="AH49" s="76"/>
      <c r="AI49" s="76"/>
      <c r="AJ49" s="76"/>
      <c r="AK49" s="76"/>
      <c r="AL49" s="76"/>
      <c r="AM49" s="76"/>
      <c r="AN49" s="76"/>
    </row>
    <row r="50" spans="1:40" ht="15" customHeight="1" x14ac:dyDescent="0.25">
      <c r="A50" s="10"/>
      <c r="B50" s="219" t="s">
        <v>227</v>
      </c>
      <c r="C50" s="636" t="s">
        <v>234</v>
      </c>
      <c r="D50" s="637"/>
      <c r="E50" s="637"/>
      <c r="F50" s="222" t="s">
        <v>72</v>
      </c>
      <c r="G50" s="638">
        <v>20000</v>
      </c>
      <c r="H50" s="639"/>
      <c r="I50" s="220" t="s">
        <v>44</v>
      </c>
      <c r="J50" s="223">
        <f>IF(G50&gt;50,1,0)</f>
        <v>1</v>
      </c>
      <c r="K50" s="636" t="s">
        <v>235</v>
      </c>
      <c r="L50" s="637"/>
      <c r="M50" s="637"/>
      <c r="N50" s="640"/>
      <c r="O50" s="643">
        <v>38</v>
      </c>
      <c r="P50" s="644"/>
      <c r="Q50" s="644"/>
      <c r="R50" s="220" t="s">
        <v>236</v>
      </c>
      <c r="S50" s="208">
        <f>IF(O50&lt;150,1,0)</f>
        <v>1</v>
      </c>
      <c r="T50" s="95"/>
      <c r="V50" s="76"/>
      <c r="W50" s="76"/>
      <c r="X50" s="76"/>
      <c r="Y50" s="76"/>
      <c r="Z50" s="76"/>
      <c r="AA50" s="76"/>
      <c r="AB50" s="76"/>
      <c r="AC50" s="76"/>
      <c r="AD50" s="76"/>
      <c r="AE50" s="76"/>
      <c r="AF50" s="76"/>
      <c r="AG50" s="76"/>
      <c r="AH50" s="76"/>
      <c r="AI50" s="76"/>
      <c r="AJ50" s="76"/>
      <c r="AK50" s="76"/>
      <c r="AL50" s="76"/>
      <c r="AM50" s="76"/>
      <c r="AN50" s="76"/>
    </row>
    <row r="51" spans="1:40" ht="3" customHeight="1" x14ac:dyDescent="0.25">
      <c r="A51" s="10"/>
      <c r="B51" s="224"/>
      <c r="C51" s="225"/>
      <c r="D51" s="225"/>
      <c r="E51" s="225"/>
      <c r="F51" s="226"/>
      <c r="G51" s="227"/>
      <c r="H51" s="227"/>
      <c r="I51" s="225"/>
      <c r="J51" s="225"/>
      <c r="K51" s="225"/>
      <c r="L51" s="225"/>
      <c r="M51" s="225"/>
      <c r="N51" s="225"/>
      <c r="O51" s="228"/>
      <c r="P51" s="228"/>
      <c r="Q51" s="228"/>
      <c r="R51" s="225"/>
      <c r="S51" s="187"/>
      <c r="T51" s="11"/>
      <c r="V51" s="76"/>
      <c r="W51" s="76"/>
      <c r="X51" s="76"/>
      <c r="Y51" s="76"/>
      <c r="Z51" s="76"/>
      <c r="AA51" s="76"/>
      <c r="AB51" s="76"/>
      <c r="AC51" s="76"/>
      <c r="AD51" s="76"/>
      <c r="AE51" s="76"/>
      <c r="AF51" s="76"/>
      <c r="AG51" s="76"/>
      <c r="AH51" s="76"/>
      <c r="AI51" s="76"/>
      <c r="AJ51" s="76"/>
      <c r="AK51" s="76"/>
      <c r="AL51" s="76"/>
      <c r="AM51" s="76"/>
      <c r="AN51" s="76"/>
    </row>
    <row r="52" spans="1:40" ht="15" customHeight="1" x14ac:dyDescent="0.25">
      <c r="A52" s="10"/>
      <c r="B52" s="219" t="s">
        <v>228</v>
      </c>
      <c r="C52" s="636" t="s">
        <v>234</v>
      </c>
      <c r="D52" s="637"/>
      <c r="E52" s="637"/>
      <c r="F52" s="222" t="s">
        <v>72</v>
      </c>
      <c r="G52" s="638">
        <v>20000</v>
      </c>
      <c r="H52" s="639"/>
      <c r="I52" s="220" t="s">
        <v>44</v>
      </c>
      <c r="J52" s="223">
        <f>IF(G52&gt;50,1,0)</f>
        <v>1</v>
      </c>
      <c r="K52" s="636" t="s">
        <v>235</v>
      </c>
      <c r="L52" s="637"/>
      <c r="M52" s="637"/>
      <c r="N52" s="640"/>
      <c r="O52" s="641">
        <v>40</v>
      </c>
      <c r="P52" s="642"/>
      <c r="Q52" s="642"/>
      <c r="R52" s="220" t="s">
        <v>236</v>
      </c>
      <c r="S52" s="208">
        <f>IF(O52&lt;150,1,0)</f>
        <v>1</v>
      </c>
      <c r="T52" s="11"/>
      <c r="V52" s="76"/>
      <c r="W52" s="76"/>
      <c r="X52" s="76"/>
      <c r="Y52" s="76"/>
      <c r="Z52" s="76"/>
      <c r="AA52" s="76"/>
      <c r="AB52" s="76"/>
      <c r="AC52" s="76"/>
      <c r="AD52" s="76"/>
      <c r="AE52" s="76"/>
      <c r="AF52" s="76"/>
      <c r="AG52" s="76"/>
      <c r="AH52" s="76"/>
      <c r="AI52" s="76"/>
      <c r="AJ52" s="76"/>
      <c r="AK52" s="76"/>
      <c r="AL52" s="76"/>
      <c r="AM52" s="76"/>
      <c r="AN52" s="76"/>
    </row>
    <row r="53" spans="1:40" ht="3" customHeight="1" x14ac:dyDescent="0.25">
      <c r="A53" s="10"/>
      <c r="B53" s="224"/>
      <c r="C53" s="225"/>
      <c r="D53" s="225"/>
      <c r="E53" s="225"/>
      <c r="F53" s="226"/>
      <c r="G53" s="227"/>
      <c r="H53" s="227"/>
      <c r="I53" s="225"/>
      <c r="J53" s="225"/>
      <c r="K53" s="225"/>
      <c r="L53" s="225"/>
      <c r="M53" s="225"/>
      <c r="N53" s="225"/>
      <c r="O53" s="228"/>
      <c r="P53" s="228"/>
      <c r="Q53" s="228"/>
      <c r="R53" s="225"/>
      <c r="S53" s="187"/>
      <c r="T53" s="11"/>
      <c r="V53" s="76"/>
      <c r="W53" s="76"/>
      <c r="X53" s="76"/>
      <c r="Y53" s="76"/>
      <c r="Z53" s="76"/>
      <c r="AA53" s="76"/>
      <c r="AB53" s="76"/>
      <c r="AC53" s="76"/>
      <c r="AD53" s="76"/>
      <c r="AE53" s="76"/>
      <c r="AF53" s="76"/>
      <c r="AG53" s="76"/>
      <c r="AH53" s="76"/>
      <c r="AI53" s="76"/>
      <c r="AJ53" s="76"/>
      <c r="AK53" s="76"/>
      <c r="AL53" s="76"/>
      <c r="AM53" s="76"/>
      <c r="AN53" s="76"/>
    </row>
    <row r="54" spans="1:40" ht="17.25" customHeight="1" x14ac:dyDescent="0.25">
      <c r="A54" s="10"/>
      <c r="B54" s="219" t="s">
        <v>229</v>
      </c>
      <c r="C54" s="636" t="s">
        <v>234</v>
      </c>
      <c r="D54" s="637"/>
      <c r="E54" s="637"/>
      <c r="F54" s="222" t="s">
        <v>72</v>
      </c>
      <c r="G54" s="638">
        <v>20000</v>
      </c>
      <c r="H54" s="639"/>
      <c r="I54" s="220" t="s">
        <v>44</v>
      </c>
      <c r="J54" s="223">
        <f>IF(G54&gt;50,1,0)</f>
        <v>1</v>
      </c>
      <c r="K54" s="636" t="s">
        <v>235</v>
      </c>
      <c r="L54" s="637"/>
      <c r="M54" s="637"/>
      <c r="N54" s="640"/>
      <c r="O54" s="641">
        <v>54</v>
      </c>
      <c r="P54" s="642"/>
      <c r="Q54" s="642"/>
      <c r="R54" s="220" t="s">
        <v>236</v>
      </c>
      <c r="S54" s="208">
        <f>IF(O54&lt;150,1,0)</f>
        <v>1</v>
      </c>
      <c r="T54" s="95"/>
      <c r="V54" s="76"/>
      <c r="W54" s="76"/>
      <c r="X54" s="76"/>
      <c r="Y54" s="76"/>
      <c r="Z54" s="76"/>
      <c r="AA54" s="76"/>
      <c r="AB54" s="76"/>
      <c r="AC54" s="76"/>
      <c r="AD54" s="76"/>
      <c r="AE54" s="76"/>
      <c r="AF54" s="76"/>
      <c r="AG54" s="76"/>
      <c r="AH54" s="76"/>
      <c r="AI54" s="76"/>
      <c r="AJ54" s="76"/>
      <c r="AK54" s="76"/>
      <c r="AL54" s="76"/>
      <c r="AM54" s="76"/>
      <c r="AN54" s="76"/>
    </row>
    <row r="55" spans="1:40" ht="3" customHeight="1" x14ac:dyDescent="0.25">
      <c r="A55" s="10"/>
      <c r="B55" s="47"/>
      <c r="C55" s="48"/>
      <c r="D55" s="48"/>
      <c r="E55" s="48"/>
      <c r="F55" s="48"/>
      <c r="G55" s="48"/>
      <c r="H55" s="48"/>
      <c r="I55" s="48"/>
      <c r="J55" s="48"/>
      <c r="K55" s="415"/>
      <c r="L55" s="415"/>
      <c r="M55" s="415"/>
      <c r="N55" s="415"/>
      <c r="O55" s="415"/>
      <c r="P55" s="415"/>
      <c r="Q55" s="415"/>
      <c r="R55" s="415"/>
      <c r="S55" s="416"/>
      <c r="T55" s="11"/>
      <c r="V55" s="76"/>
      <c r="W55" s="76"/>
      <c r="X55" s="76"/>
      <c r="Y55" s="76"/>
      <c r="Z55" s="76"/>
      <c r="AA55" s="76"/>
      <c r="AB55" s="76"/>
      <c r="AC55" s="76"/>
      <c r="AD55" s="76"/>
      <c r="AE55" s="76"/>
      <c r="AF55" s="76"/>
      <c r="AG55" s="76"/>
      <c r="AH55" s="76"/>
      <c r="AI55" s="76"/>
      <c r="AJ55" s="76"/>
      <c r="AK55" s="76"/>
      <c r="AL55" s="76"/>
      <c r="AM55" s="76"/>
      <c r="AN55" s="76"/>
    </row>
    <row r="56" spans="1:40" ht="15" customHeight="1" x14ac:dyDescent="0.25">
      <c r="A56" s="10"/>
      <c r="B56" s="3"/>
      <c r="C56" s="186"/>
      <c r="D56" s="186"/>
      <c r="E56" s="186"/>
      <c r="F56" s="186"/>
      <c r="G56" s="186"/>
      <c r="H56" s="186"/>
      <c r="I56" s="186"/>
      <c r="J56" s="186"/>
      <c r="K56" s="186"/>
      <c r="L56" s="186"/>
      <c r="M56" s="186"/>
      <c r="N56" s="186"/>
      <c r="O56" s="186"/>
      <c r="P56" s="186"/>
      <c r="Q56" s="186"/>
      <c r="R56" s="186"/>
      <c r="S56" s="187"/>
      <c r="T56" s="11"/>
      <c r="V56" s="76"/>
      <c r="W56" s="76"/>
      <c r="X56" s="76"/>
      <c r="Y56" s="76"/>
      <c r="Z56" s="76"/>
      <c r="AA56" s="76"/>
      <c r="AB56" s="76"/>
      <c r="AC56" s="76"/>
      <c r="AD56" s="76"/>
      <c r="AE56" s="76"/>
      <c r="AF56" s="76"/>
      <c r="AG56" s="76"/>
      <c r="AH56" s="76"/>
      <c r="AI56" s="76"/>
      <c r="AJ56" s="76"/>
      <c r="AK56" s="76"/>
      <c r="AL56" s="76"/>
      <c r="AM56" s="76"/>
      <c r="AN56" s="76"/>
    </row>
    <row r="57" spans="1:40" ht="15.75" customHeight="1" x14ac:dyDescent="0.25">
      <c r="A57" s="10"/>
      <c r="B57" s="403" t="s">
        <v>237</v>
      </c>
      <c r="C57" s="404"/>
      <c r="D57" s="404"/>
      <c r="E57" s="404"/>
      <c r="F57" s="404"/>
      <c r="G57" s="404"/>
      <c r="H57" s="404"/>
      <c r="I57" s="404"/>
      <c r="J57" s="404"/>
      <c r="K57" s="404"/>
      <c r="L57" s="404"/>
      <c r="M57" s="404"/>
      <c r="N57" s="404"/>
      <c r="O57" s="404"/>
      <c r="P57" s="404"/>
      <c r="Q57" s="404"/>
      <c r="R57" s="404"/>
      <c r="S57" s="405"/>
      <c r="T57" s="11"/>
      <c r="V57" s="76"/>
      <c r="W57" s="76"/>
      <c r="X57" s="76"/>
      <c r="Y57" s="76"/>
      <c r="Z57" s="76"/>
      <c r="AA57" s="76"/>
      <c r="AB57" s="76"/>
      <c r="AC57" s="76"/>
      <c r="AD57" s="76"/>
      <c r="AE57" s="76"/>
      <c r="AF57" s="76"/>
      <c r="AG57" s="76"/>
      <c r="AH57" s="76"/>
      <c r="AI57" s="76"/>
      <c r="AJ57" s="76"/>
      <c r="AK57" s="76"/>
      <c r="AL57" s="76"/>
      <c r="AM57" s="76"/>
      <c r="AN57" s="76"/>
    </row>
    <row r="58" spans="1:40" ht="3" customHeight="1" x14ac:dyDescent="0.25">
      <c r="A58" s="10"/>
      <c r="B58" s="3"/>
      <c r="C58" s="186"/>
      <c r="D58" s="186"/>
      <c r="E58" s="186"/>
      <c r="F58" s="186"/>
      <c r="G58" s="24"/>
      <c r="H58" s="186"/>
      <c r="I58" s="186"/>
      <c r="J58" s="186"/>
      <c r="K58" s="186"/>
      <c r="L58" s="186"/>
      <c r="M58" s="186"/>
      <c r="N58" s="186"/>
      <c r="O58" s="186"/>
      <c r="P58" s="186"/>
      <c r="Q58" s="186"/>
      <c r="R58" s="186"/>
      <c r="S58" s="187"/>
      <c r="T58" s="11"/>
      <c r="V58" s="76"/>
      <c r="W58" s="76"/>
      <c r="X58" s="76"/>
      <c r="Y58" s="76"/>
      <c r="Z58" s="76"/>
      <c r="AA58" s="76"/>
      <c r="AB58" s="76"/>
      <c r="AC58" s="76"/>
      <c r="AD58" s="76"/>
      <c r="AE58" s="76"/>
      <c r="AF58" s="76"/>
      <c r="AG58" s="76"/>
      <c r="AH58" s="76"/>
      <c r="AI58" s="76"/>
      <c r="AJ58" s="76"/>
      <c r="AK58" s="76"/>
      <c r="AL58" s="76"/>
      <c r="AM58" s="76"/>
      <c r="AN58" s="76"/>
    </row>
    <row r="59" spans="1:40" ht="15" customHeight="1" x14ac:dyDescent="0.25">
      <c r="A59" s="10"/>
      <c r="B59" s="229"/>
      <c r="C59" s="635" t="s">
        <v>238</v>
      </c>
      <c r="D59" s="388"/>
      <c r="E59" s="389"/>
      <c r="F59" s="635" t="s">
        <v>239</v>
      </c>
      <c r="G59" s="388"/>
      <c r="H59" s="388"/>
      <c r="I59" s="389"/>
      <c r="J59" s="635" t="s">
        <v>240</v>
      </c>
      <c r="K59" s="388"/>
      <c r="L59" s="389"/>
      <c r="M59" s="635" t="s">
        <v>239</v>
      </c>
      <c r="N59" s="388"/>
      <c r="O59" s="388"/>
      <c r="P59" s="389"/>
      <c r="Q59" s="635" t="s">
        <v>226</v>
      </c>
      <c r="R59" s="388"/>
      <c r="S59" s="389"/>
      <c r="T59" s="11"/>
      <c r="V59" s="76"/>
      <c r="W59" s="76"/>
      <c r="X59" s="76"/>
      <c r="Y59" s="76"/>
      <c r="Z59" s="76"/>
      <c r="AA59" s="76"/>
      <c r="AB59" s="76"/>
      <c r="AC59" s="76"/>
      <c r="AD59" s="76"/>
      <c r="AE59" s="76"/>
      <c r="AF59" s="76"/>
      <c r="AG59" s="76"/>
      <c r="AH59" s="76"/>
      <c r="AI59" s="76"/>
      <c r="AJ59" s="76"/>
      <c r="AK59" s="76"/>
      <c r="AL59" s="76"/>
      <c r="AM59" s="76"/>
      <c r="AN59" s="76"/>
    </row>
    <row r="60" spans="1:40" ht="3" customHeight="1" x14ac:dyDescent="0.25">
      <c r="A60" s="10"/>
      <c r="B60" s="8"/>
      <c r="C60" s="1"/>
      <c r="D60" s="1"/>
      <c r="E60" s="1"/>
      <c r="F60" s="1"/>
      <c r="G60" s="1"/>
      <c r="H60" s="1"/>
      <c r="I60" s="1"/>
      <c r="J60" s="1"/>
      <c r="K60" s="1"/>
      <c r="L60" s="1"/>
      <c r="M60" s="1"/>
      <c r="N60" s="1"/>
      <c r="O60" s="1"/>
      <c r="P60" s="1"/>
      <c r="Q60" s="1"/>
      <c r="R60" s="1"/>
      <c r="S60" s="9"/>
      <c r="T60" s="11"/>
      <c r="V60" s="76"/>
      <c r="W60" s="76"/>
      <c r="X60" s="76"/>
      <c r="Y60" s="76"/>
      <c r="Z60" s="76"/>
      <c r="AA60" s="76"/>
      <c r="AB60" s="76"/>
      <c r="AC60" s="76"/>
      <c r="AD60" s="76"/>
      <c r="AE60" s="76"/>
      <c r="AF60" s="76"/>
      <c r="AG60" s="76"/>
      <c r="AH60" s="76"/>
      <c r="AI60" s="76"/>
      <c r="AJ60" s="76"/>
      <c r="AK60" s="76"/>
      <c r="AL60" s="76"/>
      <c r="AM60" s="76"/>
      <c r="AN60" s="76"/>
    </row>
    <row r="61" spans="1:40" ht="15" customHeight="1" x14ac:dyDescent="0.25">
      <c r="A61" s="10"/>
      <c r="B61" s="213" t="s">
        <v>227</v>
      </c>
      <c r="C61" s="633">
        <v>52.63</v>
      </c>
      <c r="D61" s="634"/>
      <c r="E61" s="230" t="s">
        <v>241</v>
      </c>
      <c r="F61" s="583">
        <f>MAX(V80:V85)</f>
        <v>3.6899999999999977</v>
      </c>
      <c r="G61" s="479"/>
      <c r="H61" s="479" t="s">
        <v>241</v>
      </c>
      <c r="I61" s="480"/>
      <c r="J61" s="633">
        <v>69.03</v>
      </c>
      <c r="K61" s="634"/>
      <c r="L61" s="231" t="s">
        <v>241</v>
      </c>
      <c r="M61" s="583">
        <f>MAX(X80:X85)</f>
        <v>2.460000000000008</v>
      </c>
      <c r="N61" s="479"/>
      <c r="O61" s="479" t="s">
        <v>241</v>
      </c>
      <c r="P61" s="480"/>
      <c r="Q61" s="619" t="s">
        <v>47</v>
      </c>
      <c r="R61" s="620"/>
      <c r="S61" s="621"/>
      <c r="T61" s="11"/>
      <c r="V61" s="76"/>
      <c r="W61" s="76"/>
      <c r="X61" s="76"/>
      <c r="Y61" s="76"/>
      <c r="Z61" s="76"/>
      <c r="AA61" s="76"/>
      <c r="AB61" s="76"/>
      <c r="AC61" s="76"/>
      <c r="AD61" s="76"/>
      <c r="AE61" s="76"/>
      <c r="AF61" s="76"/>
      <c r="AG61" s="76"/>
      <c r="AH61" s="76"/>
      <c r="AI61" s="76"/>
      <c r="AJ61" s="76"/>
      <c r="AK61" s="76"/>
      <c r="AL61" s="76"/>
      <c r="AM61" s="76"/>
      <c r="AN61" s="76"/>
    </row>
    <row r="62" spans="1:40" ht="3" customHeight="1" x14ac:dyDescent="0.25">
      <c r="A62" s="10"/>
      <c r="B62" s="232"/>
      <c r="C62" s="233"/>
      <c r="D62" s="233"/>
      <c r="E62" s="1"/>
      <c r="F62" s="3"/>
      <c r="G62" s="186"/>
      <c r="H62" s="186"/>
      <c r="I62" s="187"/>
      <c r="J62" s="233"/>
      <c r="K62" s="233"/>
      <c r="L62" s="1"/>
      <c r="M62" s="3"/>
      <c r="N62" s="186"/>
      <c r="O62" s="186"/>
      <c r="P62" s="187"/>
      <c r="Q62" s="1"/>
      <c r="R62" s="1"/>
      <c r="S62" s="9"/>
      <c r="T62" s="11"/>
      <c r="V62" s="76"/>
      <c r="W62" s="76"/>
      <c r="X62" s="76"/>
      <c r="Y62" s="76"/>
      <c r="Z62" s="76"/>
      <c r="AA62" s="76"/>
      <c r="AB62" s="76"/>
      <c r="AC62" s="76"/>
      <c r="AD62" s="76"/>
      <c r="AE62" s="76"/>
      <c r="AF62" s="76"/>
      <c r="AG62" s="76"/>
      <c r="AH62" s="76"/>
      <c r="AI62" s="76"/>
      <c r="AJ62" s="76"/>
      <c r="AK62" s="76"/>
      <c r="AL62" s="76"/>
      <c r="AM62" s="76"/>
      <c r="AN62" s="76"/>
    </row>
    <row r="63" spans="1:40" ht="15.75" customHeight="1" x14ac:dyDescent="0.25">
      <c r="A63" s="10"/>
      <c r="B63" s="213" t="s">
        <v>228</v>
      </c>
      <c r="C63" s="633">
        <v>54.14</v>
      </c>
      <c r="D63" s="634"/>
      <c r="E63" s="230" t="s">
        <v>241</v>
      </c>
      <c r="F63" s="478" t="s">
        <v>242</v>
      </c>
      <c r="G63" s="479"/>
      <c r="H63" s="479"/>
      <c r="I63" s="480"/>
      <c r="J63" s="633">
        <v>66.569999999999993</v>
      </c>
      <c r="K63" s="634"/>
      <c r="L63" s="231" t="s">
        <v>241</v>
      </c>
      <c r="M63" s="478" t="s">
        <v>242</v>
      </c>
      <c r="N63" s="479"/>
      <c r="O63" s="479"/>
      <c r="P63" s="480"/>
      <c r="Q63" s="619" t="s">
        <v>47</v>
      </c>
      <c r="R63" s="620"/>
      <c r="S63" s="621"/>
      <c r="T63" s="11"/>
      <c r="V63" s="76"/>
      <c r="W63" s="76"/>
      <c r="X63" s="76"/>
      <c r="Y63" s="76"/>
      <c r="Z63" s="76"/>
      <c r="AA63" s="76"/>
      <c r="AB63" s="76"/>
      <c r="AC63" s="76"/>
      <c r="AD63" s="76"/>
      <c r="AE63" s="76"/>
      <c r="AF63" s="76"/>
      <c r="AG63" s="76"/>
      <c r="AH63" s="76"/>
      <c r="AI63" s="76"/>
      <c r="AJ63" s="76"/>
      <c r="AK63" s="76"/>
      <c r="AL63" s="76"/>
      <c r="AM63" s="76"/>
      <c r="AN63" s="76"/>
    </row>
    <row r="64" spans="1:40" ht="3" customHeight="1" x14ac:dyDescent="0.25">
      <c r="A64" s="10"/>
      <c r="B64" s="232"/>
      <c r="C64" s="233"/>
      <c r="D64" s="233"/>
      <c r="E64" s="1"/>
      <c r="F64" s="3"/>
      <c r="G64" s="186"/>
      <c r="H64" s="186"/>
      <c r="I64" s="187"/>
      <c r="J64" s="233"/>
      <c r="K64" s="233"/>
      <c r="L64" s="1"/>
      <c r="M64" s="3"/>
      <c r="N64" s="186"/>
      <c r="O64" s="186"/>
      <c r="P64" s="187"/>
      <c r="Q64" s="1"/>
      <c r="R64" s="1"/>
      <c r="S64" s="9"/>
      <c r="T64" s="11"/>
    </row>
    <row r="65" spans="1:24" x14ac:dyDescent="0.25">
      <c r="A65" s="10"/>
      <c r="B65" s="213" t="s">
        <v>229</v>
      </c>
      <c r="C65" s="633">
        <v>50.45</v>
      </c>
      <c r="D65" s="634"/>
      <c r="E65" s="230" t="s">
        <v>241</v>
      </c>
      <c r="F65" s="583">
        <v>1.3</v>
      </c>
      <c r="G65" s="584"/>
      <c r="H65" s="479" t="s">
        <v>25</v>
      </c>
      <c r="I65" s="480"/>
      <c r="J65" s="633">
        <v>68.790000000000006</v>
      </c>
      <c r="K65" s="634"/>
      <c r="L65" s="231" t="s">
        <v>241</v>
      </c>
      <c r="M65" s="583">
        <v>1.3</v>
      </c>
      <c r="N65" s="584"/>
      <c r="O65" s="479" t="s">
        <v>25</v>
      </c>
      <c r="P65" s="480"/>
      <c r="Q65" s="619" t="s">
        <v>47</v>
      </c>
      <c r="R65" s="620"/>
      <c r="S65" s="621"/>
      <c r="T65" s="11"/>
    </row>
    <row r="66" spans="1:24" ht="3" customHeight="1" x14ac:dyDescent="0.25">
      <c r="A66" s="10"/>
      <c r="B66" s="234"/>
      <c r="C66" s="235"/>
      <c r="D66" s="235"/>
      <c r="E66" s="48"/>
      <c r="F66" s="48"/>
      <c r="G66" s="48"/>
      <c r="H66" s="48"/>
      <c r="I66" s="48"/>
      <c r="J66" s="48"/>
      <c r="K66" s="48"/>
      <c r="L66" s="48"/>
      <c r="M66" s="48"/>
      <c r="N66" s="48"/>
      <c r="O66" s="22"/>
      <c r="P66" s="101"/>
      <c r="Q66" s="192"/>
      <c r="R66" s="192"/>
      <c r="S66" s="193"/>
      <c r="T66" s="11"/>
    </row>
    <row r="67" spans="1:24" ht="15" customHeight="1" x14ac:dyDescent="0.25">
      <c r="A67" s="10"/>
      <c r="B67" s="202"/>
      <c r="C67" s="236"/>
      <c r="D67" s="236"/>
      <c r="E67" s="236"/>
      <c r="F67" s="236"/>
      <c r="G67" s="236"/>
      <c r="H67" s="236"/>
      <c r="I67" s="236"/>
      <c r="J67" s="236"/>
      <c r="K67" s="236"/>
      <c r="L67" s="236"/>
      <c r="M67" s="236"/>
      <c r="N67" s="236"/>
      <c r="O67" s="236"/>
      <c r="P67" s="236"/>
      <c r="Q67" s="236"/>
      <c r="R67" s="236"/>
      <c r="S67" s="204"/>
      <c r="T67" s="11"/>
    </row>
    <row r="68" spans="1:24" ht="15.75" customHeight="1" x14ac:dyDescent="0.25">
      <c r="A68" s="10"/>
      <c r="B68" s="237" t="s">
        <v>35</v>
      </c>
      <c r="C68" s="238"/>
      <c r="D68" s="622" t="s">
        <v>243</v>
      </c>
      <c r="E68" s="622"/>
      <c r="F68" s="622"/>
      <c r="G68" s="622"/>
      <c r="H68" s="622"/>
      <c r="I68" s="622"/>
      <c r="J68" s="622"/>
      <c r="K68" s="622"/>
      <c r="L68" s="622"/>
      <c r="M68" s="622"/>
      <c r="N68" s="622"/>
      <c r="O68" s="622"/>
      <c r="P68" s="622"/>
      <c r="Q68" s="622"/>
      <c r="R68" s="622"/>
      <c r="S68" s="623"/>
      <c r="T68" s="11"/>
    </row>
    <row r="69" spans="1:24" ht="15" customHeight="1" x14ac:dyDescent="0.25">
      <c r="A69" s="10"/>
      <c r="B69" s="624" t="s">
        <v>244</v>
      </c>
      <c r="C69" s="625"/>
      <c r="D69" s="625"/>
      <c r="E69" s="625"/>
      <c r="F69" s="625"/>
      <c r="G69" s="625"/>
      <c r="H69" s="625"/>
      <c r="I69" s="625"/>
      <c r="J69" s="625"/>
      <c r="K69" s="625"/>
      <c r="L69" s="625"/>
      <c r="M69" s="625"/>
      <c r="N69" s="625"/>
      <c r="O69" s="625"/>
      <c r="P69" s="625"/>
      <c r="Q69" s="625"/>
      <c r="R69" s="625"/>
      <c r="S69" s="626"/>
      <c r="T69" s="11"/>
    </row>
    <row r="70" spans="1:24" ht="15.75" customHeight="1" x14ac:dyDescent="0.25">
      <c r="A70" s="10"/>
      <c r="B70" s="627"/>
      <c r="C70" s="628"/>
      <c r="D70" s="628"/>
      <c r="E70" s="628"/>
      <c r="F70" s="628"/>
      <c r="G70" s="628"/>
      <c r="H70" s="628"/>
      <c r="I70" s="628"/>
      <c r="J70" s="628"/>
      <c r="K70" s="628"/>
      <c r="L70" s="628"/>
      <c r="M70" s="628"/>
      <c r="N70" s="628"/>
      <c r="O70" s="628"/>
      <c r="P70" s="628"/>
      <c r="Q70" s="628"/>
      <c r="R70" s="628"/>
      <c r="S70" s="629"/>
      <c r="T70" s="11"/>
    </row>
    <row r="71" spans="1:24" ht="15.75" customHeight="1" x14ac:dyDescent="0.25">
      <c r="A71" s="10"/>
      <c r="B71" s="627"/>
      <c r="C71" s="628"/>
      <c r="D71" s="628"/>
      <c r="E71" s="628"/>
      <c r="F71" s="628"/>
      <c r="G71" s="628"/>
      <c r="H71" s="628"/>
      <c r="I71" s="628"/>
      <c r="J71" s="628"/>
      <c r="K71" s="628"/>
      <c r="L71" s="628"/>
      <c r="M71" s="628"/>
      <c r="N71" s="628"/>
      <c r="O71" s="628"/>
      <c r="P71" s="628"/>
      <c r="Q71" s="628"/>
      <c r="R71" s="628"/>
      <c r="S71" s="629"/>
      <c r="T71" s="11"/>
    </row>
    <row r="72" spans="1:24" ht="15.75" customHeight="1" x14ac:dyDescent="0.25">
      <c r="A72" s="10"/>
      <c r="B72" s="239"/>
      <c r="C72" s="240"/>
      <c r="D72" s="240"/>
      <c r="E72" s="240"/>
      <c r="F72" s="240"/>
      <c r="G72" s="240"/>
      <c r="H72" s="240"/>
      <c r="I72" s="240"/>
      <c r="J72" s="240"/>
      <c r="K72" s="240"/>
      <c r="L72" s="240"/>
      <c r="M72" s="240"/>
      <c r="N72" s="240"/>
      <c r="O72" s="240"/>
      <c r="P72" s="240"/>
      <c r="Q72" s="240"/>
      <c r="R72" s="240"/>
      <c r="S72" s="241"/>
      <c r="T72" s="11"/>
    </row>
    <row r="73" spans="1:24" ht="4.5" customHeight="1" x14ac:dyDescent="0.25">
      <c r="A73" s="10"/>
      <c r="B73" s="630"/>
      <c r="C73" s="631"/>
      <c r="D73" s="631"/>
      <c r="E73" s="631"/>
      <c r="F73" s="631"/>
      <c r="G73" s="631"/>
      <c r="H73" s="631"/>
      <c r="I73" s="631"/>
      <c r="J73" s="631"/>
      <c r="K73" s="631"/>
      <c r="L73" s="631"/>
      <c r="M73" s="631"/>
      <c r="N73" s="631"/>
      <c r="O73" s="631"/>
      <c r="P73" s="631"/>
      <c r="Q73" s="631"/>
      <c r="R73" s="631"/>
      <c r="S73" s="632"/>
      <c r="T73" s="11"/>
    </row>
    <row r="74" spans="1:24" s="325" customFormat="1" ht="13.5" customHeight="1" x14ac:dyDescent="0.25">
      <c r="A74" s="10"/>
      <c r="B74" s="392" t="s">
        <v>195</v>
      </c>
      <c r="C74" s="393"/>
      <c r="D74" s="393"/>
      <c r="E74" s="291" t="s">
        <v>24</v>
      </c>
      <c r="F74" s="394">
        <f>'ANA SAYFA'!F72</f>
        <v>45310</v>
      </c>
      <c r="G74" s="394"/>
      <c r="H74" s="394"/>
      <c r="I74" s="394"/>
      <c r="J74" s="395"/>
      <c r="K74" s="397" t="s">
        <v>322</v>
      </c>
      <c r="L74" s="398"/>
      <c r="M74" s="398"/>
      <c r="N74" s="398"/>
      <c r="O74" s="398"/>
      <c r="P74" s="398"/>
      <c r="Q74" s="398"/>
      <c r="R74" s="398"/>
      <c r="S74" s="399"/>
      <c r="T74" s="11"/>
    </row>
    <row r="75" spans="1:24" s="325" customFormat="1" ht="13.5" customHeight="1" x14ac:dyDescent="0.25">
      <c r="A75" s="10"/>
      <c r="B75" s="459" t="s">
        <v>385</v>
      </c>
      <c r="C75" s="435"/>
      <c r="D75" s="435"/>
      <c r="E75" s="291" t="s">
        <v>24</v>
      </c>
      <c r="F75" s="460">
        <f>'ANA SAYFA'!F73</f>
        <v>45307</v>
      </c>
      <c r="G75" s="461"/>
      <c r="H75" s="461"/>
      <c r="I75" s="461"/>
      <c r="J75" s="462"/>
      <c r="K75" s="292"/>
      <c r="L75" s="293"/>
      <c r="M75" s="291"/>
      <c r="N75" s="299"/>
      <c r="O75" s="299"/>
      <c r="P75" s="299"/>
      <c r="Q75" s="299"/>
      <c r="R75" s="299"/>
      <c r="S75" s="300"/>
      <c r="T75" s="11"/>
    </row>
    <row r="76" spans="1:24" s="325" customFormat="1" ht="13.5" customHeight="1" x14ac:dyDescent="0.25">
      <c r="A76" s="10"/>
      <c r="B76" s="459" t="s">
        <v>350</v>
      </c>
      <c r="C76" s="435"/>
      <c r="D76" s="435"/>
      <c r="E76" s="291" t="s">
        <v>24</v>
      </c>
      <c r="F76" s="617" t="s">
        <v>395</v>
      </c>
      <c r="G76" s="453"/>
      <c r="H76" s="453"/>
      <c r="I76" s="453"/>
      <c r="J76" s="618"/>
      <c r="K76" s="292"/>
      <c r="L76" s="293"/>
      <c r="M76" s="291"/>
      <c r="N76" s="291"/>
      <c r="O76" s="291"/>
      <c r="P76" s="291"/>
      <c r="Q76" s="291"/>
      <c r="R76" s="291"/>
      <c r="S76" s="301"/>
      <c r="T76" s="11"/>
    </row>
    <row r="77" spans="1:24" s="325" customFormat="1" ht="13.5" customHeight="1" x14ac:dyDescent="0.25">
      <c r="A77" s="10"/>
      <c r="B77" s="459" t="s">
        <v>323</v>
      </c>
      <c r="C77" s="435"/>
      <c r="D77" s="435"/>
      <c r="E77" s="291" t="s">
        <v>24</v>
      </c>
      <c r="F77" s="465">
        <v>88258</v>
      </c>
      <c r="G77" s="465"/>
      <c r="H77" s="465"/>
      <c r="I77" s="465"/>
      <c r="J77" s="466"/>
      <c r="K77" s="319"/>
      <c r="L77" s="318"/>
      <c r="M77" s="291"/>
      <c r="N77" s="320"/>
      <c r="O77" s="320"/>
      <c r="P77" s="320"/>
      <c r="Q77" s="320"/>
      <c r="R77" s="320"/>
      <c r="S77" s="321"/>
      <c r="T77" s="11"/>
    </row>
    <row r="78" spans="1:24" s="325" customFormat="1" ht="13.5" customHeight="1" x14ac:dyDescent="0.25">
      <c r="A78" s="10"/>
      <c r="B78" s="467" t="s">
        <v>324</v>
      </c>
      <c r="C78" s="468"/>
      <c r="D78" s="468"/>
      <c r="E78" s="296" t="s">
        <v>24</v>
      </c>
      <c r="F78" s="615" t="s">
        <v>396</v>
      </c>
      <c r="G78" s="456"/>
      <c r="H78" s="456"/>
      <c r="I78" s="456"/>
      <c r="J78" s="616"/>
      <c r="K78" s="322"/>
      <c r="L78" s="323"/>
      <c r="M78" s="296"/>
      <c r="N78" s="297"/>
      <c r="O78" s="297"/>
      <c r="P78" s="297"/>
      <c r="Q78" s="297"/>
      <c r="R78" s="297"/>
      <c r="S78" s="298"/>
      <c r="T78" s="11"/>
    </row>
    <row r="79" spans="1:24" ht="6" customHeight="1" thickBot="1" x14ac:dyDescent="0.3">
      <c r="A79" s="15"/>
      <c r="B79" s="16"/>
      <c r="C79" s="16"/>
      <c r="D79" s="16"/>
      <c r="E79" s="16"/>
      <c r="F79" s="16"/>
      <c r="G79" s="16"/>
      <c r="H79" s="16"/>
      <c r="I79" s="16"/>
      <c r="J79" s="16"/>
      <c r="K79" s="16"/>
      <c r="L79" s="16"/>
      <c r="M79" s="16"/>
      <c r="N79" s="16"/>
      <c r="O79" s="16"/>
      <c r="P79" s="16"/>
      <c r="Q79" s="16"/>
      <c r="R79" s="16"/>
      <c r="S79" s="16"/>
      <c r="T79" s="17"/>
    </row>
    <row r="80" spans="1:24" x14ac:dyDescent="0.25">
      <c r="V80" s="242">
        <f>C61-C63</f>
        <v>-1.509999999999998</v>
      </c>
      <c r="X80" s="243">
        <f>J61-J63</f>
        <v>2.460000000000008</v>
      </c>
    </row>
    <row r="81" spans="22:27" x14ac:dyDescent="0.25">
      <c r="V81" s="242">
        <f>C61-C65</f>
        <v>2.1799999999999997</v>
      </c>
      <c r="X81" s="243">
        <f>J61-J65</f>
        <v>0.23999999999999488</v>
      </c>
    </row>
    <row r="82" spans="22:27" x14ac:dyDescent="0.25">
      <c r="V82" s="242">
        <f>C63-C65</f>
        <v>3.6899999999999977</v>
      </c>
      <c r="X82" s="243">
        <f>J63-J65</f>
        <v>-2.2200000000000131</v>
      </c>
    </row>
    <row r="83" spans="22:27" x14ac:dyDescent="0.25">
      <c r="V83" s="242">
        <f>C63-C61</f>
        <v>1.509999999999998</v>
      </c>
      <c r="X83" s="243">
        <f>J63-J61</f>
        <v>-2.460000000000008</v>
      </c>
    </row>
    <row r="84" spans="22:27" x14ac:dyDescent="0.25">
      <c r="V84" s="242">
        <f>C65-C61</f>
        <v>-2.1799999999999997</v>
      </c>
      <c r="X84" s="243">
        <f>J65-J61</f>
        <v>-0.23999999999999488</v>
      </c>
    </row>
    <row r="85" spans="22:27" x14ac:dyDescent="0.25">
      <c r="V85" s="242">
        <f>C65-C63</f>
        <v>-3.6899999999999977</v>
      </c>
      <c r="X85" s="243">
        <f>J65-J63</f>
        <v>2.2200000000000131</v>
      </c>
      <c r="AA85" s="243"/>
    </row>
  </sheetData>
  <mergeCells count="127">
    <mergeCell ref="B13:E13"/>
    <mergeCell ref="G13:J13"/>
    <mergeCell ref="K13:M13"/>
    <mergeCell ref="O13:S13"/>
    <mergeCell ref="B15:E15"/>
    <mergeCell ref="G15:J15"/>
    <mergeCell ref="K15:M15"/>
    <mergeCell ref="O15:S15"/>
    <mergeCell ref="H2:J3"/>
    <mergeCell ref="K2:S3"/>
    <mergeCell ref="H5:J7"/>
    <mergeCell ref="K5:S6"/>
    <mergeCell ref="B9:S9"/>
    <mergeCell ref="B11:E11"/>
    <mergeCell ref="G11:J11"/>
    <mergeCell ref="K11:M11"/>
    <mergeCell ref="O11:S11"/>
    <mergeCell ref="B26:E26"/>
    <mergeCell ref="K26:N26"/>
    <mergeCell ref="P26:Q26"/>
    <mergeCell ref="B28:E28"/>
    <mergeCell ref="G28:H28"/>
    <mergeCell ref="K28:N28"/>
    <mergeCell ref="P28:Q28"/>
    <mergeCell ref="B17:E17"/>
    <mergeCell ref="G17:J17"/>
    <mergeCell ref="K17:M17"/>
    <mergeCell ref="O17:S17"/>
    <mergeCell ref="B21:S21"/>
    <mergeCell ref="B24:E24"/>
    <mergeCell ref="G24:H24"/>
    <mergeCell ref="K24:N24"/>
    <mergeCell ref="P24:Q24"/>
    <mergeCell ref="B35:S35"/>
    <mergeCell ref="C37:E37"/>
    <mergeCell ref="F37:H37"/>
    <mergeCell ref="I37:K37"/>
    <mergeCell ref="L37:N37"/>
    <mergeCell ref="O37:Q37"/>
    <mergeCell ref="R37:S37"/>
    <mergeCell ref="B30:E30"/>
    <mergeCell ref="G30:H30"/>
    <mergeCell ref="K30:N30"/>
    <mergeCell ref="P30:Q30"/>
    <mergeCell ref="B32:E32"/>
    <mergeCell ref="G32:H32"/>
    <mergeCell ref="K32:N32"/>
    <mergeCell ref="P32:Q32"/>
    <mergeCell ref="C41:D41"/>
    <mergeCell ref="F41:G41"/>
    <mergeCell ref="I41:J41"/>
    <mergeCell ref="L41:M41"/>
    <mergeCell ref="O41:P41"/>
    <mergeCell ref="R41:S41"/>
    <mergeCell ref="C39:D39"/>
    <mergeCell ref="F39:G39"/>
    <mergeCell ref="I39:J39"/>
    <mergeCell ref="L39:M39"/>
    <mergeCell ref="O39:P39"/>
    <mergeCell ref="R39:S39"/>
    <mergeCell ref="V45:W45"/>
    <mergeCell ref="B46:J46"/>
    <mergeCell ref="K46:S46"/>
    <mergeCell ref="C48:F48"/>
    <mergeCell ref="G48:J48"/>
    <mergeCell ref="K48:N48"/>
    <mergeCell ref="O48:S48"/>
    <mergeCell ref="C43:D43"/>
    <mergeCell ref="F43:G43"/>
    <mergeCell ref="I43:J43"/>
    <mergeCell ref="L43:M43"/>
    <mergeCell ref="O43:P43"/>
    <mergeCell ref="R43:S43"/>
    <mergeCell ref="C54:E54"/>
    <mergeCell ref="G54:H54"/>
    <mergeCell ref="K54:N54"/>
    <mergeCell ref="O54:Q54"/>
    <mergeCell ref="K55:S55"/>
    <mergeCell ref="B57:S57"/>
    <mergeCell ref="C50:E50"/>
    <mergeCell ref="G50:H50"/>
    <mergeCell ref="K50:N50"/>
    <mergeCell ref="O50:Q50"/>
    <mergeCell ref="C52:E52"/>
    <mergeCell ref="G52:H52"/>
    <mergeCell ref="K52:N52"/>
    <mergeCell ref="O52:Q52"/>
    <mergeCell ref="O61:P61"/>
    <mergeCell ref="Q61:S61"/>
    <mergeCell ref="C63:D63"/>
    <mergeCell ref="F63:I63"/>
    <mergeCell ref="J63:K63"/>
    <mergeCell ref="M63:P63"/>
    <mergeCell ref="Q63:S63"/>
    <mergeCell ref="C59:E59"/>
    <mergeCell ref="F59:I59"/>
    <mergeCell ref="J59:L59"/>
    <mergeCell ref="M59:P59"/>
    <mergeCell ref="Q59:S59"/>
    <mergeCell ref="C61:D61"/>
    <mergeCell ref="F61:G61"/>
    <mergeCell ref="H61:I61"/>
    <mergeCell ref="J61:K61"/>
    <mergeCell ref="M61:N61"/>
    <mergeCell ref="Q65:S65"/>
    <mergeCell ref="D68:S68"/>
    <mergeCell ref="B69:S69"/>
    <mergeCell ref="B70:S70"/>
    <mergeCell ref="B71:S71"/>
    <mergeCell ref="B73:S73"/>
    <mergeCell ref="C65:D65"/>
    <mergeCell ref="F65:G65"/>
    <mergeCell ref="H65:I65"/>
    <mergeCell ref="J65:K65"/>
    <mergeCell ref="M65:N65"/>
    <mergeCell ref="O65:P65"/>
    <mergeCell ref="F78:J78"/>
    <mergeCell ref="K74:S74"/>
    <mergeCell ref="B76:D76"/>
    <mergeCell ref="F76:J76"/>
    <mergeCell ref="B75:D75"/>
    <mergeCell ref="F75:J75"/>
    <mergeCell ref="B74:D74"/>
    <mergeCell ref="F74:J74"/>
    <mergeCell ref="B77:D77"/>
    <mergeCell ref="F77:J77"/>
    <mergeCell ref="B78:D78"/>
  </mergeCells>
  <conditionalFormatting sqref="R39:S39">
    <cfRule type="iconSet" priority="7">
      <iconSet iconSet="3Symbols2" showValue="0">
        <cfvo type="percent" val="0"/>
        <cfvo type="num" val="1"/>
        <cfvo type="num" val="1"/>
      </iconSet>
    </cfRule>
  </conditionalFormatting>
  <conditionalFormatting sqref="R43:S43 R41:S41">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4 J52">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4 S52">
    <cfRule type="iconSet" priority="1">
      <iconSet iconSet="3Symbols2" showValue="0">
        <cfvo type="percent" val="0"/>
        <cfvo type="num" val="1"/>
        <cfvo type="num" val="1"/>
      </iconSet>
    </cfRule>
  </conditionalFormatting>
  <pageMargins left="0.55118110236220474" right="0.23622047244094491" top="0.35433070866141736" bottom="0.15748031496062992"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4"/>
  <sheetViews>
    <sheetView topLeftCell="A33" zoomScaleNormal="100" workbookViewId="0">
      <selection activeCell="N52" sqref="N52"/>
    </sheetView>
  </sheetViews>
  <sheetFormatPr defaultRowHeight="15" x14ac:dyDescent="0.25"/>
  <cols>
    <col min="1" max="1" width="3.5703125" style="188" customWidth="1"/>
    <col min="2" max="15" width="5.42578125" style="188" customWidth="1"/>
    <col min="16" max="16" width="4.85546875" style="188" customWidth="1"/>
    <col min="17" max="17" width="4.5703125" style="188" customWidth="1"/>
    <col min="18" max="18" width="3.5703125" style="188" customWidth="1"/>
    <col min="19" max="16384" width="9.140625" style="188"/>
  </cols>
  <sheetData>
    <row r="1" spans="1:26" x14ac:dyDescent="0.25">
      <c r="A1" s="12"/>
      <c r="B1" s="13"/>
      <c r="C1" s="13"/>
      <c r="D1" s="13"/>
      <c r="E1" s="13"/>
      <c r="F1" s="13"/>
      <c r="G1" s="13"/>
      <c r="H1" s="13"/>
      <c r="I1" s="13"/>
      <c r="J1" s="13"/>
      <c r="K1" s="13"/>
      <c r="L1" s="13"/>
      <c r="M1" s="13"/>
      <c r="N1" s="13"/>
      <c r="O1" s="13"/>
      <c r="P1" s="13"/>
      <c r="Q1" s="13"/>
      <c r="R1" s="14"/>
    </row>
    <row r="2" spans="1:26" ht="29.25" customHeight="1" x14ac:dyDescent="0.25">
      <c r="A2" s="10"/>
      <c r="B2" s="554"/>
      <c r="C2" s="555"/>
      <c r="D2" s="555"/>
      <c r="E2" s="555"/>
      <c r="F2" s="556"/>
      <c r="G2" s="658" t="s">
        <v>22</v>
      </c>
      <c r="H2" s="447"/>
      <c r="I2" s="447"/>
      <c r="J2" s="185" t="s">
        <v>24</v>
      </c>
      <c r="K2" s="447" t="str">
        <f>'ANA SAYFA KESİCİ'!K2</f>
        <v>BARMAK MAKİNA (ÇAĞLA ELK.)</v>
      </c>
      <c r="L2" s="447"/>
      <c r="M2" s="447"/>
      <c r="N2" s="447"/>
      <c r="O2" s="447"/>
      <c r="P2" s="447"/>
      <c r="Q2" s="448"/>
      <c r="R2" s="11"/>
    </row>
    <row r="3" spans="1:26" ht="29.25" customHeight="1" x14ac:dyDescent="0.25">
      <c r="A3" s="10"/>
      <c r="B3" s="557"/>
      <c r="C3" s="558"/>
      <c r="D3" s="558"/>
      <c r="E3" s="558"/>
      <c r="F3" s="559"/>
      <c r="G3" s="659" t="s">
        <v>23</v>
      </c>
      <c r="H3" s="660"/>
      <c r="I3" s="660"/>
      <c r="J3" s="206" t="s">
        <v>24</v>
      </c>
      <c r="K3" s="488" t="str">
        <f>'ANA SAYFA KESİCİ'!K5</f>
        <v>TRAFO 1</v>
      </c>
      <c r="L3" s="488"/>
      <c r="M3" s="488"/>
      <c r="N3" s="488"/>
      <c r="O3" s="488"/>
      <c r="P3" s="488"/>
      <c r="Q3" s="489"/>
      <c r="R3" s="11"/>
    </row>
    <row r="4" spans="1:26" ht="10.5" customHeight="1" x14ac:dyDescent="0.25">
      <c r="A4" s="10"/>
      <c r="B4" s="3"/>
      <c r="C4" s="186"/>
      <c r="D4" s="186"/>
      <c r="E4" s="186"/>
      <c r="F4" s="186"/>
      <c r="G4" s="186"/>
      <c r="H4" s="186"/>
      <c r="I4" s="186"/>
      <c r="J4" s="186"/>
      <c r="K4" s="186"/>
      <c r="L4" s="186"/>
      <c r="M4" s="186"/>
      <c r="N4" s="186"/>
      <c r="O4" s="186"/>
      <c r="P4" s="186"/>
      <c r="Q4" s="187"/>
      <c r="R4" s="11"/>
    </row>
    <row r="5" spans="1:26" ht="18.75" x14ac:dyDescent="0.25">
      <c r="A5" s="10"/>
      <c r="B5" s="403" t="s">
        <v>346</v>
      </c>
      <c r="C5" s="404"/>
      <c r="D5" s="404"/>
      <c r="E5" s="404"/>
      <c r="F5" s="404"/>
      <c r="G5" s="404"/>
      <c r="H5" s="404"/>
      <c r="I5" s="404"/>
      <c r="J5" s="404"/>
      <c r="K5" s="404"/>
      <c r="L5" s="404"/>
      <c r="M5" s="404"/>
      <c r="N5" s="404"/>
      <c r="O5" s="404"/>
      <c r="P5" s="404"/>
      <c r="Q5" s="405"/>
      <c r="R5" s="11"/>
    </row>
    <row r="6" spans="1:26" ht="6.75" customHeight="1" x14ac:dyDescent="0.25">
      <c r="A6" s="10"/>
      <c r="B6" s="3"/>
      <c r="C6" s="186"/>
      <c r="D6" s="186"/>
      <c r="E6" s="186"/>
      <c r="F6" s="186"/>
      <c r="G6" s="186"/>
      <c r="H6" s="186"/>
      <c r="I6" s="186"/>
      <c r="J6" s="186"/>
      <c r="K6" s="186"/>
      <c r="L6" s="186"/>
      <c r="M6" s="186"/>
      <c r="N6" s="186"/>
      <c r="O6" s="186"/>
      <c r="P6" s="186"/>
      <c r="Q6" s="187"/>
      <c r="R6" s="11"/>
    </row>
    <row r="7" spans="1:26" ht="6.75" customHeight="1" x14ac:dyDescent="0.25">
      <c r="A7" s="10"/>
      <c r="B7" s="3"/>
      <c r="C7" s="186"/>
      <c r="D7" s="186"/>
      <c r="E7" s="186"/>
      <c r="F7" s="186"/>
      <c r="G7" s="186"/>
      <c r="H7" s="186"/>
      <c r="I7" s="186"/>
      <c r="J7" s="186"/>
      <c r="K7" s="186"/>
      <c r="L7" s="186"/>
      <c r="M7" s="186"/>
      <c r="N7" s="186"/>
      <c r="O7" s="186"/>
      <c r="P7" s="186"/>
      <c r="Q7" s="187"/>
      <c r="R7" s="11"/>
    </row>
    <row r="8" spans="1:26" ht="18.75" x14ac:dyDescent="0.25">
      <c r="A8" s="10"/>
      <c r="B8" s="469" t="s">
        <v>3</v>
      </c>
      <c r="C8" s="470"/>
      <c r="D8" s="470"/>
      <c r="E8" s="470"/>
      <c r="F8" s="470"/>
      <c r="G8" s="470"/>
      <c r="H8" s="470"/>
      <c r="I8" s="470"/>
      <c r="J8" s="471">
        <f>'ANA SAYFA KESİCİ'!F74</f>
        <v>45310</v>
      </c>
      <c r="K8" s="471"/>
      <c r="L8" s="471"/>
      <c r="M8" s="471"/>
      <c r="N8" s="471"/>
      <c r="O8" s="471"/>
      <c r="P8" s="471"/>
      <c r="Q8" s="472"/>
      <c r="R8" s="11"/>
    </row>
    <row r="9" spans="1:26" ht="6.75" customHeight="1" x14ac:dyDescent="0.25">
      <c r="A9" s="10"/>
      <c r="B9" s="3"/>
      <c r="C9" s="186"/>
      <c r="D9" s="186"/>
      <c r="E9" s="186"/>
      <c r="F9" s="186"/>
      <c r="G9" s="186"/>
      <c r="H9" s="186"/>
      <c r="I9" s="186"/>
      <c r="J9" s="186"/>
      <c r="K9" s="186"/>
      <c r="L9" s="186"/>
      <c r="M9" s="186"/>
      <c r="N9" s="186"/>
      <c r="O9" s="186"/>
      <c r="P9" s="186"/>
      <c r="Q9" s="187"/>
      <c r="R9" s="11"/>
    </row>
    <row r="10" spans="1:26" x14ac:dyDescent="0.25">
      <c r="A10" s="10"/>
      <c r="B10" s="525" t="s">
        <v>4</v>
      </c>
      <c r="C10" s="525"/>
      <c r="D10" s="526" t="s">
        <v>394</v>
      </c>
      <c r="E10" s="526"/>
      <c r="F10" s="526"/>
      <c r="G10" s="526"/>
      <c r="H10" s="525" t="s">
        <v>5</v>
      </c>
      <c r="I10" s="525"/>
      <c r="J10" s="504" t="s">
        <v>245</v>
      </c>
      <c r="K10" s="504"/>
      <c r="L10" s="504"/>
      <c r="M10" s="504" t="s">
        <v>7</v>
      </c>
      <c r="N10" s="504"/>
      <c r="O10" s="478">
        <v>16060016</v>
      </c>
      <c r="P10" s="479"/>
      <c r="Q10" s="480"/>
      <c r="R10" s="11"/>
      <c r="U10" s="188" t="s">
        <v>246</v>
      </c>
      <c r="V10" s="188">
        <v>250</v>
      </c>
      <c r="W10" s="188">
        <v>200</v>
      </c>
      <c r="X10" s="188">
        <v>150</v>
      </c>
      <c r="Y10" s="188">
        <v>100</v>
      </c>
      <c r="Z10" s="188">
        <v>50</v>
      </c>
    </row>
    <row r="11" spans="1:26" ht="7.5" customHeight="1" x14ac:dyDescent="0.25">
      <c r="A11" s="10"/>
      <c r="B11" s="3"/>
      <c r="C11" s="186"/>
      <c r="D11" s="186"/>
      <c r="E11" s="186"/>
      <c r="F11" s="186"/>
      <c r="G11" s="186"/>
      <c r="H11" s="186"/>
      <c r="I11" s="186"/>
      <c r="J11" s="186"/>
      <c r="K11" s="186"/>
      <c r="L11" s="186"/>
      <c r="M11" s="186"/>
      <c r="N11" s="186"/>
      <c r="O11" s="186"/>
      <c r="P11" s="186"/>
      <c r="Q11" s="187"/>
      <c r="R11" s="11"/>
    </row>
    <row r="12" spans="1:26" ht="18.75" x14ac:dyDescent="0.25">
      <c r="A12" s="10"/>
      <c r="B12" s="524" t="s">
        <v>9</v>
      </c>
      <c r="C12" s="524"/>
      <c r="D12" s="524"/>
      <c r="E12" s="524"/>
      <c r="F12" s="524"/>
      <c r="G12" s="524"/>
      <c r="H12" s="524"/>
      <c r="I12" s="524"/>
      <c r="J12" s="524"/>
      <c r="K12" s="524"/>
      <c r="L12" s="524"/>
      <c r="M12" s="524"/>
      <c r="N12" s="524"/>
      <c r="O12" s="524"/>
      <c r="P12" s="524"/>
      <c r="Q12" s="524"/>
      <c r="R12" s="11"/>
    </row>
    <row r="13" spans="1:26" ht="7.5" customHeight="1" x14ac:dyDescent="0.25">
      <c r="A13" s="10"/>
      <c r="B13" s="3"/>
      <c r="C13" s="186"/>
      <c r="D13" s="186"/>
      <c r="E13" s="186"/>
      <c r="F13" s="186"/>
      <c r="G13" s="186"/>
      <c r="H13" s="186"/>
      <c r="I13" s="186"/>
      <c r="J13" s="186"/>
      <c r="K13" s="186"/>
      <c r="L13" s="186"/>
      <c r="M13" s="186"/>
      <c r="N13" s="186"/>
      <c r="O13" s="186"/>
      <c r="P13" s="186"/>
      <c r="Q13" s="187"/>
      <c r="R13" s="11"/>
    </row>
    <row r="14" spans="1:26" ht="18.75" x14ac:dyDescent="0.25">
      <c r="A14" s="10"/>
      <c r="B14" s="403" t="s">
        <v>247</v>
      </c>
      <c r="C14" s="404"/>
      <c r="D14" s="404"/>
      <c r="E14" s="404"/>
      <c r="F14" s="404"/>
      <c r="G14" s="404"/>
      <c r="H14" s="404"/>
      <c r="I14" s="404"/>
      <c r="J14" s="404"/>
      <c r="K14" s="404"/>
      <c r="L14" s="404"/>
      <c r="M14" s="404"/>
      <c r="N14" s="404"/>
      <c r="O14" s="404"/>
      <c r="P14" s="404"/>
      <c r="Q14" s="405"/>
      <c r="R14" s="11"/>
    </row>
    <row r="15" spans="1:26" ht="5.25" customHeight="1" x14ac:dyDescent="0.25">
      <c r="A15" s="10"/>
      <c r="B15" s="3"/>
      <c r="C15" s="186"/>
      <c r="D15" s="186"/>
      <c r="E15" s="186"/>
      <c r="F15" s="186"/>
      <c r="G15" s="186"/>
      <c r="H15" s="186"/>
      <c r="I15" s="186"/>
      <c r="J15" s="186"/>
      <c r="K15" s="186"/>
      <c r="L15" s="186"/>
      <c r="M15" s="186"/>
      <c r="N15" s="186"/>
      <c r="O15" s="186"/>
      <c r="P15" s="186"/>
      <c r="Q15" s="187"/>
      <c r="R15" s="11"/>
    </row>
    <row r="16" spans="1:26" x14ac:dyDescent="0.25">
      <c r="A16" s="10"/>
      <c r="B16" s="397" t="s">
        <v>248</v>
      </c>
      <c r="C16" s="398"/>
      <c r="D16" s="398">
        <v>50</v>
      </c>
      <c r="E16" s="398"/>
      <c r="F16" s="398" t="s">
        <v>44</v>
      </c>
      <c r="G16" s="399"/>
      <c r="H16" s="541" t="s">
        <v>40</v>
      </c>
      <c r="I16" s="541"/>
      <c r="J16" s="541"/>
      <c r="K16" s="541" t="s">
        <v>41</v>
      </c>
      <c r="L16" s="541"/>
      <c r="M16" s="541"/>
      <c r="N16" s="397" t="s">
        <v>43</v>
      </c>
      <c r="O16" s="398"/>
      <c r="P16" s="398"/>
      <c r="Q16" s="399"/>
      <c r="R16" s="11"/>
    </row>
    <row r="17" spans="1:32" x14ac:dyDescent="0.25">
      <c r="A17" s="10"/>
      <c r="B17" s="583" t="s">
        <v>227</v>
      </c>
      <c r="C17" s="593"/>
      <c r="D17" s="654">
        <f>'ANA SAYFA KESİCİ'!G50</f>
        <v>20000</v>
      </c>
      <c r="E17" s="655"/>
      <c r="F17" s="594" t="s">
        <v>249</v>
      </c>
      <c r="G17" s="593"/>
      <c r="H17" s="478">
        <v>10000</v>
      </c>
      <c r="I17" s="479"/>
      <c r="J17" s="27" t="s">
        <v>45</v>
      </c>
      <c r="K17" s="506">
        <f>H17/D17</f>
        <v>0.5</v>
      </c>
      <c r="L17" s="595"/>
      <c r="M17" s="27" t="s">
        <v>46</v>
      </c>
      <c r="N17" s="200">
        <f>IF(D17&gt;D16,1,0)</f>
        <v>1</v>
      </c>
      <c r="O17" s="479" t="str">
        <f>IF(D17&gt;D16,"UYGUN","UYGUN DEĞİL")</f>
        <v>UYGUN</v>
      </c>
      <c r="P17" s="479"/>
      <c r="Q17" s="480"/>
      <c r="R17" s="11"/>
    </row>
    <row r="18" spans="1:32" x14ac:dyDescent="0.25">
      <c r="A18" s="10"/>
      <c r="B18" s="583" t="s">
        <v>228</v>
      </c>
      <c r="C18" s="593"/>
      <c r="D18" s="654">
        <f>'ANA SAYFA KESİCİ'!G52</f>
        <v>20000</v>
      </c>
      <c r="E18" s="655"/>
      <c r="F18" s="583" t="s">
        <v>250</v>
      </c>
      <c r="G18" s="593"/>
      <c r="H18" s="478">
        <v>10000</v>
      </c>
      <c r="I18" s="479"/>
      <c r="J18" s="27" t="s">
        <v>45</v>
      </c>
      <c r="K18" s="506">
        <f>H18/D18</f>
        <v>0.5</v>
      </c>
      <c r="L18" s="595"/>
      <c r="M18" s="27" t="s">
        <v>46</v>
      </c>
      <c r="N18" s="335">
        <f>IF(D18&gt;D16,1,0)</f>
        <v>1</v>
      </c>
      <c r="O18" s="479" t="str">
        <f>IF(D18&gt;D16,"UYGUN","UYGUN DEĞİL")</f>
        <v>UYGUN</v>
      </c>
      <c r="P18" s="479"/>
      <c r="Q18" s="480"/>
      <c r="R18" s="11"/>
    </row>
    <row r="19" spans="1:32" x14ac:dyDescent="0.25">
      <c r="A19" s="10"/>
      <c r="B19" s="583" t="s">
        <v>229</v>
      </c>
      <c r="C19" s="593"/>
      <c r="D19" s="654">
        <f>'ANA SAYFA KESİCİ'!G54</f>
        <v>20000</v>
      </c>
      <c r="E19" s="655"/>
      <c r="F19" s="583" t="s">
        <v>250</v>
      </c>
      <c r="G19" s="593"/>
      <c r="H19" s="478">
        <v>10000</v>
      </c>
      <c r="I19" s="479"/>
      <c r="J19" s="27" t="s">
        <v>45</v>
      </c>
      <c r="K19" s="506">
        <f>H19/D19</f>
        <v>0.5</v>
      </c>
      <c r="L19" s="595"/>
      <c r="M19" s="27" t="s">
        <v>46</v>
      </c>
      <c r="N19" s="335">
        <f>IF(D19&gt;D16,1,0)</f>
        <v>1</v>
      </c>
      <c r="O19" s="479" t="str">
        <f>IF(D19&gt;D16,"UYGUN","UYGUN DEĞİL")</f>
        <v>UYGUN</v>
      </c>
      <c r="P19" s="479"/>
      <c r="Q19" s="480"/>
      <c r="R19" s="11"/>
    </row>
    <row r="20" spans="1:32" x14ac:dyDescent="0.25">
      <c r="A20" s="35"/>
      <c r="Q20" s="244"/>
      <c r="R20" s="11"/>
      <c r="X20" s="188">
        <f>N17+N18+N19</f>
        <v>3</v>
      </c>
    </row>
    <row r="21" spans="1:32" x14ac:dyDescent="0.25">
      <c r="A21" s="35"/>
      <c r="Q21" s="9"/>
      <c r="R21" s="11"/>
    </row>
    <row r="22" spans="1:32" x14ac:dyDescent="0.25">
      <c r="A22" s="35"/>
      <c r="Q22" s="9"/>
      <c r="R22" s="11"/>
    </row>
    <row r="23" spans="1:32" x14ac:dyDescent="0.25">
      <c r="A23" s="35"/>
      <c r="Q23" s="9"/>
      <c r="R23" s="11"/>
    </row>
    <row r="24" spans="1:32" x14ac:dyDescent="0.25">
      <c r="A24" s="35"/>
      <c r="Q24" s="9"/>
      <c r="R24" s="11"/>
      <c r="X24" s="188">
        <f>(N32+N33+N34+N35+N36)/5</f>
        <v>1</v>
      </c>
    </row>
    <row r="25" spans="1:32" x14ac:dyDescent="0.25">
      <c r="A25" s="35"/>
      <c r="Q25" s="9"/>
      <c r="R25" s="11"/>
    </row>
    <row r="26" spans="1:32" x14ac:dyDescent="0.25">
      <c r="A26" s="35"/>
      <c r="Q26" s="9"/>
      <c r="R26" s="11"/>
    </row>
    <row r="27" spans="1:32" x14ac:dyDescent="0.25">
      <c r="A27" s="35"/>
      <c r="Q27" s="9"/>
      <c r="R27" s="11"/>
      <c r="X27" s="378" t="s">
        <v>366</v>
      </c>
      <c r="Y27" s="378"/>
      <c r="Z27" s="378"/>
      <c r="AA27" s="378"/>
      <c r="AB27" s="378"/>
      <c r="AC27" s="378"/>
      <c r="AD27" s="378"/>
      <c r="AE27" s="378"/>
      <c r="AF27" s="378"/>
    </row>
    <row r="28" spans="1:32" x14ac:dyDescent="0.25">
      <c r="A28" s="35"/>
      <c r="Q28" s="23"/>
      <c r="R28" s="11"/>
      <c r="X28" s="378" t="s">
        <v>251</v>
      </c>
      <c r="Y28" s="378"/>
      <c r="Z28" s="378"/>
      <c r="AA28" s="378"/>
      <c r="AB28" s="378"/>
      <c r="AC28" s="378"/>
      <c r="AD28" s="378"/>
      <c r="AE28" s="378"/>
      <c r="AF28" s="378"/>
    </row>
    <row r="29" spans="1:32" ht="18.75" x14ac:dyDescent="0.25">
      <c r="A29" s="35"/>
      <c r="B29" s="403" t="s">
        <v>220</v>
      </c>
      <c r="C29" s="404"/>
      <c r="D29" s="404"/>
      <c r="E29" s="404"/>
      <c r="F29" s="404"/>
      <c r="G29" s="404"/>
      <c r="H29" s="404"/>
      <c r="I29" s="404"/>
      <c r="J29" s="404"/>
      <c r="K29" s="404"/>
      <c r="L29" s="404"/>
      <c r="M29" s="404"/>
      <c r="N29" s="404"/>
      <c r="O29" s="404"/>
      <c r="P29" s="404"/>
      <c r="Q29" s="405"/>
      <c r="R29" s="11"/>
    </row>
    <row r="30" spans="1:32" ht="5.25" customHeight="1" x14ac:dyDescent="0.25">
      <c r="A30" s="35"/>
      <c r="B30" s="171"/>
      <c r="C30" s="544"/>
      <c r="D30" s="544"/>
      <c r="E30" s="544"/>
      <c r="F30" s="544"/>
      <c r="G30" s="560"/>
      <c r="H30" s="560"/>
      <c r="I30" s="544"/>
      <c r="J30" s="544"/>
      <c r="K30" s="560"/>
      <c r="L30" s="560"/>
      <c r="M30" s="560"/>
      <c r="N30" s="560"/>
      <c r="O30" s="560"/>
      <c r="P30" s="560"/>
      <c r="Q30" s="170"/>
      <c r="R30" s="11"/>
    </row>
    <row r="31" spans="1:32" x14ac:dyDescent="0.25">
      <c r="A31" s="35"/>
      <c r="B31" s="245"/>
      <c r="C31" s="246"/>
      <c r="D31" s="656" t="s">
        <v>227</v>
      </c>
      <c r="E31" s="657"/>
      <c r="F31" s="656" t="s">
        <v>228</v>
      </c>
      <c r="G31" s="657"/>
      <c r="H31" s="656" t="s">
        <v>229</v>
      </c>
      <c r="I31" s="657"/>
      <c r="J31" s="247"/>
      <c r="K31" s="541" t="s">
        <v>252</v>
      </c>
      <c r="L31" s="541"/>
      <c r="M31" s="397"/>
      <c r="N31" s="541" t="s">
        <v>43</v>
      </c>
      <c r="O31" s="541"/>
      <c r="P31" s="541"/>
      <c r="Q31" s="541"/>
      <c r="R31" s="11"/>
    </row>
    <row r="32" spans="1:32" ht="13.5" customHeight="1" x14ac:dyDescent="0.25">
      <c r="A32" s="10"/>
      <c r="B32" s="583" t="s">
        <v>253</v>
      </c>
      <c r="C32" s="593"/>
      <c r="D32" s="654">
        <f>'ANA SAYFA KESİCİ'!C39</f>
        <v>2000</v>
      </c>
      <c r="E32" s="655"/>
      <c r="F32" s="654">
        <f>'ANA SAYFA KESİCİ'!C41</f>
        <v>2000</v>
      </c>
      <c r="G32" s="655"/>
      <c r="H32" s="654">
        <f>'ANA SAYFA KESİCİ'!C43</f>
        <v>2000</v>
      </c>
      <c r="I32" s="655"/>
      <c r="J32" s="27" t="s">
        <v>44</v>
      </c>
      <c r="K32" s="478">
        <v>1.04</v>
      </c>
      <c r="L32" s="479"/>
      <c r="M32" s="248" t="s">
        <v>72</v>
      </c>
      <c r="N32" s="200">
        <f>IF(D32&gt;50,1,0)</f>
        <v>1</v>
      </c>
      <c r="O32" s="479" t="str">
        <f>IF(D32&gt;50,"UYGUN","UYGUN DEĞİL")</f>
        <v>UYGUN</v>
      </c>
      <c r="P32" s="479"/>
      <c r="Q32" s="480"/>
      <c r="R32" s="11"/>
    </row>
    <row r="33" spans="1:18" ht="13.5" customHeight="1" x14ac:dyDescent="0.25">
      <c r="A33" s="10"/>
      <c r="B33" s="583" t="s">
        <v>254</v>
      </c>
      <c r="C33" s="593"/>
      <c r="D33" s="654">
        <f>'ANA SAYFA KESİCİ'!F39</f>
        <v>4000</v>
      </c>
      <c r="E33" s="655"/>
      <c r="F33" s="654">
        <f>'ANA SAYFA KESİCİ'!F41</f>
        <v>4000</v>
      </c>
      <c r="G33" s="655"/>
      <c r="H33" s="654">
        <f>'ANA SAYFA KESİCİ'!F43</f>
        <v>4000</v>
      </c>
      <c r="I33" s="655"/>
      <c r="J33" s="27" t="s">
        <v>44</v>
      </c>
      <c r="K33" s="478">
        <v>2.04</v>
      </c>
      <c r="L33" s="479"/>
      <c r="M33" s="248" t="s">
        <v>72</v>
      </c>
      <c r="N33" s="200">
        <f>IF(D33&gt;50,1,0)</f>
        <v>1</v>
      </c>
      <c r="O33" s="479" t="str">
        <f>IF(D33&gt;50,"UYGUN","UYGUN DEĞİL")</f>
        <v>UYGUN</v>
      </c>
      <c r="P33" s="479"/>
      <c r="Q33" s="480"/>
      <c r="R33" s="11"/>
    </row>
    <row r="34" spans="1:18" ht="13.5" customHeight="1" x14ac:dyDescent="0.25">
      <c r="A34" s="10"/>
      <c r="B34" s="583" t="s">
        <v>255</v>
      </c>
      <c r="C34" s="593"/>
      <c r="D34" s="654">
        <f>'ANA SAYFA KESİCİ'!I39</f>
        <v>6000</v>
      </c>
      <c r="E34" s="655"/>
      <c r="F34" s="654">
        <f>'ANA SAYFA KESİCİ'!I41</f>
        <v>6000</v>
      </c>
      <c r="G34" s="655"/>
      <c r="H34" s="654">
        <f>'ANA SAYFA KESİCİ'!I43</f>
        <v>6000</v>
      </c>
      <c r="I34" s="655"/>
      <c r="J34" s="27" t="s">
        <v>44</v>
      </c>
      <c r="K34" s="478">
        <v>3.05</v>
      </c>
      <c r="L34" s="479"/>
      <c r="M34" s="248" t="s">
        <v>72</v>
      </c>
      <c r="N34" s="200">
        <f>IF(D34&gt;50,1,0)</f>
        <v>1</v>
      </c>
      <c r="O34" s="479" t="str">
        <f>IF(D34&gt;50,"UYGUN","UYGUN DEĞİL")</f>
        <v>UYGUN</v>
      </c>
      <c r="P34" s="479"/>
      <c r="Q34" s="480"/>
      <c r="R34" s="11"/>
    </row>
    <row r="35" spans="1:18" ht="13.5" customHeight="1" x14ac:dyDescent="0.25">
      <c r="A35" s="10"/>
      <c r="B35" s="583" t="s">
        <v>256</v>
      </c>
      <c r="C35" s="593"/>
      <c r="D35" s="654">
        <f>'ANA SAYFA KESİCİ'!L39</f>
        <v>8000</v>
      </c>
      <c r="E35" s="655"/>
      <c r="F35" s="654">
        <f>'ANA SAYFA KESİCİ'!L41</f>
        <v>8000</v>
      </c>
      <c r="G35" s="655"/>
      <c r="H35" s="654">
        <f>'ANA SAYFA KESİCİ'!L43</f>
        <v>8000</v>
      </c>
      <c r="I35" s="655"/>
      <c r="J35" s="27" t="s">
        <v>44</v>
      </c>
      <c r="K35" s="478">
        <v>4.05</v>
      </c>
      <c r="L35" s="479"/>
      <c r="M35" s="248" t="s">
        <v>72</v>
      </c>
      <c r="N35" s="200">
        <f>IF(D35&gt;50,1,0)</f>
        <v>1</v>
      </c>
      <c r="O35" s="479" t="str">
        <f>IF(D35&gt;50,"UYGUN","UYGUN DEĞİL")</f>
        <v>UYGUN</v>
      </c>
      <c r="P35" s="479"/>
      <c r="Q35" s="480"/>
      <c r="R35" s="11"/>
    </row>
    <row r="36" spans="1:18" ht="13.5" customHeight="1" x14ac:dyDescent="0.25">
      <c r="A36" s="10"/>
      <c r="B36" s="583" t="s">
        <v>257</v>
      </c>
      <c r="C36" s="593"/>
      <c r="D36" s="654">
        <f>'ANA SAYFA KESİCİ'!O39</f>
        <v>10000</v>
      </c>
      <c r="E36" s="655"/>
      <c r="F36" s="654">
        <f>'ANA SAYFA KESİCİ'!O41</f>
        <v>10000</v>
      </c>
      <c r="G36" s="655"/>
      <c r="H36" s="654">
        <f>'ANA SAYFA KESİCİ'!O43</f>
        <v>10000</v>
      </c>
      <c r="I36" s="655"/>
      <c r="J36" s="27" t="s">
        <v>44</v>
      </c>
      <c r="K36" s="478">
        <v>5.09</v>
      </c>
      <c r="L36" s="479"/>
      <c r="M36" s="248" t="s">
        <v>72</v>
      </c>
      <c r="N36" s="200">
        <f>IF(D36&gt;50,1,0)</f>
        <v>1</v>
      </c>
      <c r="O36" s="479" t="str">
        <f>IF(D36&gt;50,"UYGUN","UYGUN DEĞİL")</f>
        <v>UYGUN</v>
      </c>
      <c r="P36" s="479"/>
      <c r="Q36" s="480"/>
      <c r="R36" s="11"/>
    </row>
    <row r="37" spans="1:18" x14ac:dyDescent="0.25">
      <c r="A37" s="10"/>
      <c r="B37" s="3"/>
      <c r="C37" s="195"/>
      <c r="D37" s="195"/>
      <c r="E37" s="195"/>
      <c r="F37" s="195"/>
      <c r="G37" s="195"/>
      <c r="H37" s="195"/>
      <c r="I37" s="195"/>
      <c r="J37" s="195"/>
      <c r="K37" s="186"/>
      <c r="L37" s="195"/>
      <c r="M37" s="195"/>
      <c r="N37" s="195"/>
      <c r="O37" s="195"/>
      <c r="P37" s="195"/>
      <c r="Q37" s="170"/>
      <c r="R37" s="11"/>
    </row>
    <row r="38" spans="1:18" x14ac:dyDescent="0.25">
      <c r="A38" s="10"/>
      <c r="B38" s="56"/>
      <c r="C38" s="418"/>
      <c r="D38" s="418"/>
      <c r="E38" s="418"/>
      <c r="F38" s="418"/>
      <c r="G38" s="418"/>
      <c r="H38" s="418"/>
      <c r="I38" s="418"/>
      <c r="J38" s="418"/>
      <c r="K38" s="186"/>
      <c r="L38" s="651"/>
      <c r="M38" s="651"/>
      <c r="N38" s="186"/>
      <c r="O38" s="651"/>
      <c r="P38" s="651"/>
      <c r="Q38" s="187"/>
      <c r="R38" s="11"/>
    </row>
    <row r="39" spans="1:18" x14ac:dyDescent="0.25">
      <c r="A39" s="10"/>
      <c r="B39" s="56"/>
      <c r="C39" s="195"/>
      <c r="D39" s="195"/>
      <c r="E39" s="195"/>
      <c r="F39" s="195"/>
      <c r="G39" s="195"/>
      <c r="H39" s="195"/>
      <c r="I39" s="195"/>
      <c r="J39" s="195"/>
      <c r="K39" s="186"/>
      <c r="L39" s="172"/>
      <c r="M39" s="172"/>
      <c r="N39" s="186"/>
      <c r="O39" s="172"/>
      <c r="P39" s="172"/>
      <c r="Q39" s="187"/>
      <c r="R39" s="11"/>
    </row>
    <row r="40" spans="1:18" x14ac:dyDescent="0.25">
      <c r="A40" s="10"/>
      <c r="B40" s="56"/>
      <c r="C40" s="418"/>
      <c r="D40" s="418"/>
      <c r="E40" s="418"/>
      <c r="F40" s="418"/>
      <c r="G40" s="418"/>
      <c r="H40" s="418"/>
      <c r="I40" s="418"/>
      <c r="J40" s="418"/>
      <c r="K40" s="186"/>
      <c r="L40" s="651"/>
      <c r="M40" s="651"/>
      <c r="N40" s="186"/>
      <c r="O40" s="651"/>
      <c r="P40" s="651"/>
      <c r="Q40" s="187"/>
      <c r="R40" s="11"/>
    </row>
    <row r="41" spans="1:18" x14ac:dyDescent="0.25">
      <c r="A41" s="10"/>
      <c r="B41" s="56"/>
      <c r="C41" s="195"/>
      <c r="D41" s="195"/>
      <c r="E41" s="195"/>
      <c r="F41" s="195"/>
      <c r="G41" s="195"/>
      <c r="H41" s="195"/>
      <c r="I41" s="195"/>
      <c r="J41" s="195"/>
      <c r="K41" s="186"/>
      <c r="L41" s="172"/>
      <c r="M41" s="172"/>
      <c r="N41" s="186"/>
      <c r="O41" s="172"/>
      <c r="P41" s="172"/>
      <c r="Q41" s="187"/>
      <c r="R41" s="11"/>
    </row>
    <row r="42" spans="1:18" x14ac:dyDescent="0.25">
      <c r="A42" s="10"/>
      <c r="B42" s="56"/>
      <c r="C42" s="195"/>
      <c r="D42" s="195"/>
      <c r="E42" s="195"/>
      <c r="F42" s="195"/>
      <c r="G42" s="195"/>
      <c r="H42" s="195"/>
      <c r="I42" s="195"/>
      <c r="J42" s="195"/>
      <c r="K42" s="186"/>
      <c r="L42" s="172"/>
      <c r="M42" s="172"/>
      <c r="N42" s="186"/>
      <c r="O42" s="172"/>
      <c r="P42" s="172"/>
      <c r="Q42" s="187"/>
      <c r="R42" s="11"/>
    </row>
    <row r="43" spans="1:18" x14ac:dyDescent="0.25">
      <c r="A43" s="10"/>
      <c r="B43" s="56"/>
      <c r="C43" s="195"/>
      <c r="D43" s="195"/>
      <c r="E43" s="195"/>
      <c r="F43" s="195"/>
      <c r="G43" s="195"/>
      <c r="H43" s="195"/>
      <c r="I43" s="195"/>
      <c r="J43" s="195"/>
      <c r="K43" s="186"/>
      <c r="L43" s="172"/>
      <c r="M43" s="172"/>
      <c r="N43" s="186"/>
      <c r="O43" s="172"/>
      <c r="P43" s="172"/>
      <c r="Q43" s="187"/>
      <c r="R43" s="11"/>
    </row>
    <row r="44" spans="1:18" x14ac:dyDescent="0.25">
      <c r="A44" s="10"/>
      <c r="B44" s="56"/>
      <c r="C44" s="195"/>
      <c r="D44" s="195"/>
      <c r="E44" s="195"/>
      <c r="F44" s="195"/>
      <c r="G44" s="195"/>
      <c r="H44" s="195"/>
      <c r="I44" s="195"/>
      <c r="J44" s="195"/>
      <c r="K44" s="186"/>
      <c r="L44" s="172"/>
      <c r="M44" s="172"/>
      <c r="N44" s="186"/>
      <c r="O44" s="172"/>
      <c r="P44" s="172"/>
      <c r="Q44" s="187"/>
      <c r="R44" s="11"/>
    </row>
    <row r="45" spans="1:18" x14ac:dyDescent="0.25">
      <c r="A45" s="10"/>
      <c r="B45" s="56"/>
      <c r="C45" s="195"/>
      <c r="D45" s="195"/>
      <c r="E45" s="195"/>
      <c r="F45" s="195"/>
      <c r="G45" s="195"/>
      <c r="H45" s="195"/>
      <c r="I45" s="195"/>
      <c r="J45" s="195"/>
      <c r="K45" s="186"/>
      <c r="L45" s="172"/>
      <c r="M45" s="172"/>
      <c r="N45" s="186"/>
      <c r="O45" s="172"/>
      <c r="P45" s="172"/>
      <c r="Q45" s="187"/>
      <c r="R45" s="11"/>
    </row>
    <row r="46" spans="1:18" x14ac:dyDescent="0.25">
      <c r="A46" s="10"/>
      <c r="B46" s="171"/>
      <c r="C46" s="24"/>
      <c r="D46" s="24"/>
      <c r="E46" s="24"/>
      <c r="F46" s="24"/>
      <c r="G46" s="24"/>
      <c r="H46" s="24"/>
      <c r="I46" s="24"/>
      <c r="J46" s="24"/>
      <c r="K46" s="24"/>
      <c r="L46" s="24"/>
      <c r="M46" s="24"/>
      <c r="N46" s="24"/>
      <c r="O46" s="24"/>
      <c r="P46" s="24"/>
      <c r="Q46" s="170"/>
      <c r="R46" s="11"/>
    </row>
    <row r="47" spans="1:18" ht="15.75" customHeight="1" x14ac:dyDescent="0.25">
      <c r="A47" s="10"/>
      <c r="B47" s="545" t="s">
        <v>35</v>
      </c>
      <c r="C47" s="545"/>
      <c r="D47" s="514" t="str">
        <f>IF(OR(X24&lt;1,X20&lt;3),X28,X27)</f>
        <v>Yapılan ölçümlerde kesicinin İzolasyon değerleri uygundur.</v>
      </c>
      <c r="E47" s="514"/>
      <c r="F47" s="514"/>
      <c r="G47" s="514"/>
      <c r="H47" s="514"/>
      <c r="I47" s="514"/>
      <c r="J47" s="514"/>
      <c r="K47" s="514"/>
      <c r="L47" s="514"/>
      <c r="M47" s="514"/>
      <c r="N47" s="514"/>
      <c r="O47" s="514"/>
      <c r="P47" s="514"/>
      <c r="Q47" s="515"/>
      <c r="R47" s="11"/>
    </row>
    <row r="48" spans="1:18" ht="15" customHeight="1" x14ac:dyDescent="0.25">
      <c r="A48" s="10"/>
      <c r="B48" s="171"/>
      <c r="C48" s="24"/>
      <c r="D48" s="516"/>
      <c r="E48" s="516"/>
      <c r="F48" s="516"/>
      <c r="G48" s="516"/>
      <c r="H48" s="516"/>
      <c r="I48" s="516"/>
      <c r="J48" s="516"/>
      <c r="K48" s="516"/>
      <c r="L48" s="516"/>
      <c r="M48" s="516"/>
      <c r="N48" s="516"/>
      <c r="O48" s="516"/>
      <c r="P48" s="516"/>
      <c r="Q48" s="517"/>
      <c r="R48" s="11"/>
    </row>
    <row r="49" spans="1:18" ht="11.25" customHeight="1" x14ac:dyDescent="0.25">
      <c r="A49" s="10"/>
      <c r="B49" s="58"/>
      <c r="C49" s="652"/>
      <c r="D49" s="652"/>
      <c r="E49" s="652"/>
      <c r="F49" s="652"/>
      <c r="G49" s="652"/>
      <c r="H49" s="652"/>
      <c r="I49" s="652"/>
      <c r="J49" s="652"/>
      <c r="K49" s="652"/>
      <c r="L49" s="652"/>
      <c r="M49" s="652"/>
      <c r="N49" s="652"/>
      <c r="O49" s="652"/>
      <c r="P49" s="652"/>
      <c r="Q49" s="653"/>
      <c r="R49" s="11"/>
    </row>
    <row r="50" spans="1:18" s="325" customFormat="1" ht="22.5" customHeight="1" x14ac:dyDescent="0.25">
      <c r="A50" s="10"/>
      <c r="B50" s="520" t="s">
        <v>357</v>
      </c>
      <c r="C50" s="521"/>
      <c r="D50" s="521"/>
      <c r="E50" s="330" t="s">
        <v>24</v>
      </c>
      <c r="F50" s="518" t="s">
        <v>395</v>
      </c>
      <c r="G50" s="518"/>
      <c r="H50" s="518"/>
      <c r="I50" s="519"/>
      <c r="J50" s="403" t="s">
        <v>322</v>
      </c>
      <c r="K50" s="404"/>
      <c r="L50" s="404"/>
      <c r="M50" s="404"/>
      <c r="N50" s="404"/>
      <c r="O50" s="404"/>
      <c r="P50" s="404"/>
      <c r="Q50" s="405"/>
      <c r="R50" s="11"/>
    </row>
    <row r="51" spans="1:18" s="325" customFormat="1" ht="22.5" customHeight="1" x14ac:dyDescent="0.25">
      <c r="A51" s="10"/>
      <c r="B51" s="520" t="s">
        <v>386</v>
      </c>
      <c r="C51" s="521"/>
      <c r="D51" s="521"/>
      <c r="E51" s="330" t="s">
        <v>24</v>
      </c>
      <c r="F51" s="522">
        <f>'ANA SAYFA KESİCİ'!F75:J75</f>
        <v>45307</v>
      </c>
      <c r="G51" s="518"/>
      <c r="H51" s="518"/>
      <c r="I51" s="519"/>
      <c r="J51" s="75"/>
      <c r="K51" s="76"/>
      <c r="L51" s="176"/>
      <c r="M51" s="176"/>
      <c r="N51" s="176"/>
      <c r="O51" s="176"/>
      <c r="P51" s="176"/>
      <c r="Q51" s="178"/>
      <c r="R51" s="11"/>
    </row>
    <row r="52" spans="1:18" s="325" customFormat="1" ht="22.5" customHeight="1" x14ac:dyDescent="0.25">
      <c r="A52" s="10"/>
      <c r="B52" s="495" t="s">
        <v>192</v>
      </c>
      <c r="C52" s="496"/>
      <c r="D52" s="496"/>
      <c r="E52" s="331" t="s">
        <v>24</v>
      </c>
      <c r="F52" s="521">
        <f>'ANA SAYFA KESİCİ'!F77:J77</f>
        <v>88258</v>
      </c>
      <c r="G52" s="521"/>
      <c r="H52" s="521"/>
      <c r="I52" s="523"/>
      <c r="J52" s="75"/>
      <c r="K52" s="76"/>
      <c r="L52" s="176"/>
      <c r="M52" s="176"/>
      <c r="N52" s="176"/>
      <c r="O52" s="176"/>
      <c r="P52" s="176"/>
      <c r="Q52" s="178"/>
      <c r="R52" s="11"/>
    </row>
    <row r="53" spans="1:18" s="325" customFormat="1" ht="22.5" customHeight="1" x14ac:dyDescent="0.25">
      <c r="A53" s="10"/>
      <c r="B53" s="495" t="s">
        <v>358</v>
      </c>
      <c r="C53" s="496"/>
      <c r="D53" s="496"/>
      <c r="E53" s="324" t="s">
        <v>24</v>
      </c>
      <c r="F53" s="496" t="str">
        <f>'ANA SAYFA KESİCİ'!F78:J78</f>
        <v>K202439698</v>
      </c>
      <c r="G53" s="496"/>
      <c r="H53" s="496"/>
      <c r="I53" s="497"/>
      <c r="J53" s="336"/>
      <c r="K53" s="182"/>
      <c r="L53" s="182"/>
      <c r="M53" s="182"/>
      <c r="N53" s="182"/>
      <c r="O53" s="182"/>
      <c r="P53" s="182"/>
      <c r="Q53" s="179"/>
      <c r="R53" s="11"/>
    </row>
    <row r="54" spans="1:18" ht="15.75" thickBot="1" x14ac:dyDescent="0.3">
      <c r="A54" s="15"/>
      <c r="B54" s="16"/>
      <c r="C54" s="16"/>
      <c r="D54" s="16"/>
      <c r="E54" s="16"/>
      <c r="F54" s="16"/>
      <c r="G54" s="16"/>
      <c r="H54" s="16"/>
      <c r="I54" s="16"/>
      <c r="J54" s="16"/>
      <c r="K54" s="16"/>
      <c r="L54" s="16"/>
      <c r="M54" s="16"/>
      <c r="N54" s="16"/>
      <c r="O54" s="16"/>
      <c r="P54" s="16"/>
      <c r="Q54" s="16"/>
      <c r="R54" s="17"/>
    </row>
  </sheetData>
  <mergeCells count="109">
    <mergeCell ref="B8:I8"/>
    <mergeCell ref="J8:Q8"/>
    <mergeCell ref="B10:C10"/>
    <mergeCell ref="D10:G10"/>
    <mergeCell ref="H10:I10"/>
    <mergeCell ref="J10:L10"/>
    <mergeCell ref="M10:N10"/>
    <mergeCell ref="O10:Q10"/>
    <mergeCell ref="B2:F3"/>
    <mergeCell ref="G2:I2"/>
    <mergeCell ref="K2:Q2"/>
    <mergeCell ref="G3:I3"/>
    <mergeCell ref="K3:Q3"/>
    <mergeCell ref="B5:Q5"/>
    <mergeCell ref="B17:C17"/>
    <mergeCell ref="D17:E17"/>
    <mergeCell ref="F17:G17"/>
    <mergeCell ref="H17:I17"/>
    <mergeCell ref="K17:L17"/>
    <mergeCell ref="O17:Q17"/>
    <mergeCell ref="B12:Q12"/>
    <mergeCell ref="B14:Q14"/>
    <mergeCell ref="B16:C16"/>
    <mergeCell ref="D16:E16"/>
    <mergeCell ref="F16:G16"/>
    <mergeCell ref="H16:J16"/>
    <mergeCell ref="K16:M16"/>
    <mergeCell ref="N16:Q16"/>
    <mergeCell ref="B19:C19"/>
    <mergeCell ref="D19:E19"/>
    <mergeCell ref="F19:G19"/>
    <mergeCell ref="H19:I19"/>
    <mergeCell ref="K19:L19"/>
    <mergeCell ref="O19:Q19"/>
    <mergeCell ref="B18:C18"/>
    <mergeCell ref="D18:E18"/>
    <mergeCell ref="F18:G18"/>
    <mergeCell ref="H18:I18"/>
    <mergeCell ref="K18:L18"/>
    <mergeCell ref="O18:Q18"/>
    <mergeCell ref="X27:AF27"/>
    <mergeCell ref="X28:AF28"/>
    <mergeCell ref="B29:Q29"/>
    <mergeCell ref="C30:D30"/>
    <mergeCell ref="E30:F30"/>
    <mergeCell ref="G30:H30"/>
    <mergeCell ref="I30:J30"/>
    <mergeCell ref="K30:L30"/>
    <mergeCell ref="M30:N30"/>
    <mergeCell ref="O30:P30"/>
    <mergeCell ref="O32:Q32"/>
    <mergeCell ref="B33:C33"/>
    <mergeCell ref="D33:E33"/>
    <mergeCell ref="F33:G33"/>
    <mergeCell ref="H33:I33"/>
    <mergeCell ref="K33:L33"/>
    <mergeCell ref="O33:Q33"/>
    <mergeCell ref="D31:E31"/>
    <mergeCell ref="F31:G31"/>
    <mergeCell ref="H31:I31"/>
    <mergeCell ref="K31:M31"/>
    <mergeCell ref="N31:Q31"/>
    <mergeCell ref="B32:C32"/>
    <mergeCell ref="D32:E32"/>
    <mergeCell ref="F32:G32"/>
    <mergeCell ref="H32:I32"/>
    <mergeCell ref="K32:L32"/>
    <mergeCell ref="B35:C35"/>
    <mergeCell ref="D35:E35"/>
    <mergeCell ref="F35:G35"/>
    <mergeCell ref="H35:I35"/>
    <mergeCell ref="K35:L35"/>
    <mergeCell ref="O35:Q35"/>
    <mergeCell ref="B34:C34"/>
    <mergeCell ref="D34:E34"/>
    <mergeCell ref="F34:G34"/>
    <mergeCell ref="H34:I34"/>
    <mergeCell ref="K34:L34"/>
    <mergeCell ref="O34:Q34"/>
    <mergeCell ref="C38:D38"/>
    <mergeCell ref="E38:F38"/>
    <mergeCell ref="G38:H38"/>
    <mergeCell ref="I38:J38"/>
    <mergeCell ref="L38:M38"/>
    <mergeCell ref="O38:P38"/>
    <mergeCell ref="B36:C36"/>
    <mergeCell ref="D36:E36"/>
    <mergeCell ref="F36:G36"/>
    <mergeCell ref="H36:I36"/>
    <mergeCell ref="K36:L36"/>
    <mergeCell ref="O36:Q36"/>
    <mergeCell ref="B53:D53"/>
    <mergeCell ref="F53:I53"/>
    <mergeCell ref="J50:Q50"/>
    <mergeCell ref="C40:D40"/>
    <mergeCell ref="E40:F40"/>
    <mergeCell ref="G40:H40"/>
    <mergeCell ref="I40:J40"/>
    <mergeCell ref="L40:M40"/>
    <mergeCell ref="O40:P40"/>
    <mergeCell ref="B47:C47"/>
    <mergeCell ref="D47:Q48"/>
    <mergeCell ref="C49:Q49"/>
    <mergeCell ref="B50:D50"/>
    <mergeCell ref="F50:I50"/>
    <mergeCell ref="B51:D51"/>
    <mergeCell ref="F51:I51"/>
    <mergeCell ref="B52:D52"/>
    <mergeCell ref="F52:I52"/>
  </mergeCells>
  <conditionalFormatting sqref="N32">
    <cfRule type="iconSet" priority="4">
      <iconSet iconSet="3Symbols2" showValue="0">
        <cfvo type="percent" val="0"/>
        <cfvo type="num" val="1"/>
        <cfvo type="num" val="1"/>
      </iconSet>
    </cfRule>
  </conditionalFormatting>
  <conditionalFormatting sqref="N33:N36">
    <cfRule type="iconSet" priority="3">
      <iconSet iconSet="3Symbols2" showValue="0">
        <cfvo type="percent" val="0"/>
        <cfvo type="num" val="1"/>
        <cfvo type="num" val="1"/>
      </iconSet>
    </cfRule>
  </conditionalFormatting>
  <conditionalFormatting sqref="N17:N19">
    <cfRule type="iconSet" priority="2">
      <iconSet iconSet="3Symbols2" showValue="0">
        <cfvo type="percent" val="0"/>
        <cfvo type="num" val="1"/>
        <cfvo type="num" val="1"/>
      </iconSet>
    </cfRule>
  </conditionalFormatting>
  <pageMargins left="0.55118110236220474" right="0.23622047244094488" top="0.3543307086614173" bottom="0.3543307086614173" header="0" footer="0"/>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4"/>
  <sheetViews>
    <sheetView topLeftCell="A35" zoomScaleNormal="100" workbookViewId="0">
      <selection activeCell="N52" sqref="N52"/>
    </sheetView>
  </sheetViews>
  <sheetFormatPr defaultRowHeight="15" x14ac:dyDescent="0.25"/>
  <cols>
    <col min="1" max="1" width="3.5703125" style="188" customWidth="1"/>
    <col min="2" max="17" width="5.42578125" style="188" customWidth="1"/>
    <col min="18" max="18" width="3.5703125" style="188" customWidth="1"/>
    <col min="19" max="16384" width="9.140625" style="188"/>
  </cols>
  <sheetData>
    <row r="1" spans="1:18" x14ac:dyDescent="0.25">
      <c r="A1" s="12"/>
      <c r="B1" s="13"/>
      <c r="C1" s="13"/>
      <c r="D1" s="13"/>
      <c r="E1" s="13"/>
      <c r="F1" s="13"/>
      <c r="G1" s="13"/>
      <c r="H1" s="13"/>
      <c r="I1" s="13"/>
      <c r="J1" s="13"/>
      <c r="K1" s="13"/>
      <c r="L1" s="13"/>
      <c r="M1" s="13"/>
      <c r="N1" s="13"/>
      <c r="O1" s="13"/>
      <c r="P1" s="13"/>
      <c r="Q1" s="13"/>
      <c r="R1" s="14"/>
    </row>
    <row r="2" spans="1:18" ht="29.25" customHeight="1" x14ac:dyDescent="0.25">
      <c r="A2" s="10"/>
      <c r="B2" s="554"/>
      <c r="C2" s="555"/>
      <c r="D2" s="555"/>
      <c r="E2" s="555"/>
      <c r="F2" s="556"/>
      <c r="G2" s="658" t="s">
        <v>22</v>
      </c>
      <c r="H2" s="447"/>
      <c r="I2" s="447"/>
      <c r="J2" s="185" t="s">
        <v>24</v>
      </c>
      <c r="K2" s="447" t="str">
        <f>'ANA SAYFA KESİCİ'!K2</f>
        <v>BARMAK MAKİNA (ÇAĞLA ELK.)</v>
      </c>
      <c r="L2" s="447"/>
      <c r="M2" s="447"/>
      <c r="N2" s="447"/>
      <c r="O2" s="447"/>
      <c r="P2" s="447"/>
      <c r="Q2" s="448"/>
      <c r="R2" s="11"/>
    </row>
    <row r="3" spans="1:18" ht="29.25" customHeight="1" x14ac:dyDescent="0.25">
      <c r="A3" s="10"/>
      <c r="B3" s="557"/>
      <c r="C3" s="558"/>
      <c r="D3" s="558"/>
      <c r="E3" s="558"/>
      <c r="F3" s="559"/>
      <c r="G3" s="659" t="s">
        <v>23</v>
      </c>
      <c r="H3" s="660"/>
      <c r="I3" s="660"/>
      <c r="J3" s="206" t="s">
        <v>24</v>
      </c>
      <c r="K3" s="488" t="str">
        <f>'ANA SAYFA KESİCİ'!K5</f>
        <v>TRAFO 1</v>
      </c>
      <c r="L3" s="488"/>
      <c r="M3" s="488"/>
      <c r="N3" s="488"/>
      <c r="O3" s="488"/>
      <c r="P3" s="488"/>
      <c r="Q3" s="489"/>
      <c r="R3" s="11"/>
    </row>
    <row r="4" spans="1:18" ht="11.25" customHeight="1" x14ac:dyDescent="0.25">
      <c r="A4" s="10"/>
      <c r="B4" s="3"/>
      <c r="C4" s="186"/>
      <c r="D4" s="186"/>
      <c r="E4" s="186"/>
      <c r="F4" s="186"/>
      <c r="G4" s="186"/>
      <c r="H4" s="186"/>
      <c r="I4" s="186"/>
      <c r="J4" s="186"/>
      <c r="K4" s="186"/>
      <c r="L4" s="186"/>
      <c r="M4" s="186"/>
      <c r="N4" s="186"/>
      <c r="O4" s="186"/>
      <c r="P4" s="186"/>
      <c r="Q4" s="187"/>
      <c r="R4" s="11"/>
    </row>
    <row r="5" spans="1:18" ht="18.75" x14ac:dyDescent="0.25">
      <c r="A5" s="10"/>
      <c r="B5" s="403" t="s">
        <v>347</v>
      </c>
      <c r="C5" s="404"/>
      <c r="D5" s="404"/>
      <c r="E5" s="404"/>
      <c r="F5" s="404"/>
      <c r="G5" s="404"/>
      <c r="H5" s="404"/>
      <c r="I5" s="404"/>
      <c r="J5" s="404"/>
      <c r="K5" s="404"/>
      <c r="L5" s="404"/>
      <c r="M5" s="404"/>
      <c r="N5" s="404"/>
      <c r="O5" s="404"/>
      <c r="P5" s="404"/>
      <c r="Q5" s="405"/>
      <c r="R5" s="11"/>
    </row>
    <row r="6" spans="1:18" ht="6" customHeight="1" x14ac:dyDescent="0.25">
      <c r="A6" s="10"/>
      <c r="B6" s="3"/>
      <c r="C6" s="186"/>
      <c r="D6" s="186"/>
      <c r="E6" s="186"/>
      <c r="F6" s="186"/>
      <c r="G6" s="186"/>
      <c r="H6" s="186"/>
      <c r="I6" s="186"/>
      <c r="J6" s="186"/>
      <c r="K6" s="186"/>
      <c r="L6" s="186"/>
      <c r="M6" s="186"/>
      <c r="N6" s="186"/>
      <c r="O6" s="186"/>
      <c r="P6" s="186"/>
      <c r="Q6" s="187"/>
      <c r="R6" s="11"/>
    </row>
    <row r="7" spans="1:18" ht="6" customHeight="1" x14ac:dyDescent="0.25">
      <c r="A7" s="10"/>
      <c r="B7" s="3"/>
      <c r="C7" s="186"/>
      <c r="D7" s="186"/>
      <c r="E7" s="186"/>
      <c r="F7" s="186"/>
      <c r="G7" s="186"/>
      <c r="H7" s="186"/>
      <c r="I7" s="186"/>
      <c r="J7" s="186"/>
      <c r="K7" s="186"/>
      <c r="L7" s="186"/>
      <c r="M7" s="186"/>
      <c r="N7" s="186"/>
      <c r="O7" s="186"/>
      <c r="P7" s="186"/>
      <c r="Q7" s="187"/>
      <c r="R7" s="11"/>
    </row>
    <row r="8" spans="1:18" ht="18.75" x14ac:dyDescent="0.25">
      <c r="A8" s="10"/>
      <c r="B8" s="469" t="s">
        <v>3</v>
      </c>
      <c r="C8" s="470"/>
      <c r="D8" s="470"/>
      <c r="E8" s="470"/>
      <c r="F8" s="470"/>
      <c r="G8" s="470"/>
      <c r="H8" s="470"/>
      <c r="I8" s="470"/>
      <c r="J8" s="471">
        <f>'ANA SAYFA KESİCİ'!F74</f>
        <v>45310</v>
      </c>
      <c r="K8" s="471"/>
      <c r="L8" s="471"/>
      <c r="M8" s="471"/>
      <c r="N8" s="471"/>
      <c r="O8" s="471"/>
      <c r="P8" s="471"/>
      <c r="Q8" s="472"/>
      <c r="R8" s="11"/>
    </row>
    <row r="9" spans="1:18" ht="5.25" customHeight="1" x14ac:dyDescent="0.25">
      <c r="A9" s="10"/>
      <c r="B9" s="3"/>
      <c r="C9" s="186"/>
      <c r="D9" s="186"/>
      <c r="E9" s="186"/>
      <c r="F9" s="186"/>
      <c r="G9" s="186"/>
      <c r="H9" s="186"/>
      <c r="I9" s="186"/>
      <c r="J9" s="186"/>
      <c r="K9" s="186"/>
      <c r="L9" s="186"/>
      <c r="M9" s="186"/>
      <c r="N9" s="186"/>
      <c r="O9" s="186"/>
      <c r="P9" s="186"/>
      <c r="Q9" s="187"/>
      <c r="R9" s="11"/>
    </row>
    <row r="10" spans="1:18" x14ac:dyDescent="0.25">
      <c r="A10" s="10"/>
      <c r="B10" s="525" t="s">
        <v>4</v>
      </c>
      <c r="C10" s="525"/>
      <c r="D10" s="526" t="s">
        <v>394</v>
      </c>
      <c r="E10" s="526"/>
      <c r="F10" s="526"/>
      <c r="G10" s="526"/>
      <c r="H10" s="525" t="s">
        <v>5</v>
      </c>
      <c r="I10" s="525"/>
      <c r="J10" s="504" t="s">
        <v>6</v>
      </c>
      <c r="K10" s="504"/>
      <c r="L10" s="504"/>
      <c r="M10" s="504" t="s">
        <v>7</v>
      </c>
      <c r="N10" s="504"/>
      <c r="O10" s="478" t="s">
        <v>8</v>
      </c>
      <c r="P10" s="479"/>
      <c r="Q10" s="480"/>
      <c r="R10" s="11"/>
    </row>
    <row r="11" spans="1:18" ht="6" customHeight="1" x14ac:dyDescent="0.25">
      <c r="A11" s="10"/>
      <c r="B11" s="3"/>
      <c r="C11" s="186"/>
      <c r="D11" s="186"/>
      <c r="E11" s="186"/>
      <c r="F11" s="186"/>
      <c r="G11" s="186"/>
      <c r="H11" s="186"/>
      <c r="I11" s="186"/>
      <c r="J11" s="186"/>
      <c r="K11" s="186"/>
      <c r="L11" s="186"/>
      <c r="M11" s="186"/>
      <c r="N11" s="186"/>
      <c r="O11" s="186"/>
      <c r="P11" s="186"/>
      <c r="Q11" s="187"/>
      <c r="R11" s="11"/>
    </row>
    <row r="12" spans="1:18" ht="18.75" x14ac:dyDescent="0.25">
      <c r="A12" s="10"/>
      <c r="B12" s="524" t="s">
        <v>9</v>
      </c>
      <c r="C12" s="524"/>
      <c r="D12" s="524"/>
      <c r="E12" s="524"/>
      <c r="F12" s="524"/>
      <c r="G12" s="524"/>
      <c r="H12" s="524"/>
      <c r="I12" s="524"/>
      <c r="J12" s="524"/>
      <c r="K12" s="524"/>
      <c r="L12" s="524"/>
      <c r="M12" s="524"/>
      <c r="N12" s="524"/>
      <c r="O12" s="524"/>
      <c r="P12" s="524"/>
      <c r="Q12" s="524"/>
      <c r="R12" s="11"/>
    </row>
    <row r="13" spans="1:18" ht="6" customHeight="1" x14ac:dyDescent="0.25">
      <c r="A13" s="10"/>
      <c r="B13" s="3"/>
      <c r="C13" s="186"/>
      <c r="D13" s="186"/>
      <c r="E13" s="186"/>
      <c r="F13" s="186"/>
      <c r="G13" s="186"/>
      <c r="H13" s="186"/>
      <c r="I13" s="186"/>
      <c r="J13" s="186"/>
      <c r="K13" s="186"/>
      <c r="L13" s="186"/>
      <c r="M13" s="186"/>
      <c r="N13" s="186"/>
      <c r="O13" s="186"/>
      <c r="P13" s="186"/>
      <c r="Q13" s="187"/>
      <c r="R13" s="11"/>
    </row>
    <row r="14" spans="1:18" ht="18.75" x14ac:dyDescent="0.25">
      <c r="A14" s="10"/>
      <c r="B14" s="528" t="s">
        <v>258</v>
      </c>
      <c r="C14" s="528"/>
      <c r="D14" s="528"/>
      <c r="E14" s="528"/>
      <c r="F14" s="528"/>
      <c r="G14" s="528"/>
      <c r="H14" s="528"/>
      <c r="I14" s="528"/>
      <c r="J14" s="249" t="s">
        <v>259</v>
      </c>
      <c r="K14" s="102"/>
      <c r="L14" s="102"/>
      <c r="M14" s="102"/>
      <c r="N14" s="102"/>
      <c r="O14" s="102"/>
      <c r="P14" s="501">
        <f>IF(N20&lt;150,1,0)</f>
        <v>1</v>
      </c>
      <c r="Q14" s="669"/>
      <c r="R14" s="11"/>
    </row>
    <row r="15" spans="1:18" ht="9" customHeight="1" x14ac:dyDescent="0.25">
      <c r="A15" s="10"/>
      <c r="B15" s="44"/>
      <c r="C15" s="45"/>
      <c r="D15" s="45"/>
      <c r="E15" s="45"/>
      <c r="F15" s="45"/>
      <c r="G15" s="45"/>
      <c r="H15" s="45"/>
      <c r="I15" s="45"/>
      <c r="J15" s="45"/>
      <c r="K15" s="45"/>
      <c r="L15" s="45"/>
      <c r="M15" s="45"/>
      <c r="N15" s="45"/>
      <c r="O15" s="45"/>
      <c r="P15" s="45"/>
      <c r="Q15" s="46"/>
      <c r="R15" s="11"/>
    </row>
    <row r="16" spans="1:18" x14ac:dyDescent="0.25">
      <c r="A16" s="10"/>
      <c r="B16" s="498" t="s">
        <v>15</v>
      </c>
      <c r="C16" s="499"/>
      <c r="D16" s="499"/>
      <c r="E16" s="499"/>
      <c r="F16" s="419"/>
      <c r="G16" s="419"/>
      <c r="H16" s="419"/>
      <c r="I16" s="419"/>
      <c r="J16" s="499" t="s">
        <v>70</v>
      </c>
      <c r="K16" s="499"/>
      <c r="L16" s="499"/>
      <c r="M16" s="499"/>
      <c r="N16" s="419"/>
      <c r="O16" s="419"/>
      <c r="P16" s="419"/>
      <c r="Q16" s="420"/>
      <c r="R16" s="11"/>
    </row>
    <row r="17" spans="1:30" x14ac:dyDescent="0.25">
      <c r="A17" s="10"/>
      <c r="B17" s="426" t="s">
        <v>260</v>
      </c>
      <c r="C17" s="419"/>
      <c r="D17" s="419"/>
      <c r="E17" s="419"/>
      <c r="F17" s="571">
        <v>150</v>
      </c>
      <c r="G17" s="571"/>
      <c r="H17" s="250" t="s">
        <v>236</v>
      </c>
      <c r="I17" s="186"/>
      <c r="J17" s="419" t="s">
        <v>261</v>
      </c>
      <c r="K17" s="419"/>
      <c r="L17" s="419"/>
      <c r="M17" s="419"/>
      <c r="N17" s="570">
        <v>82</v>
      </c>
      <c r="O17" s="570"/>
      <c r="P17" s="419" t="s">
        <v>25</v>
      </c>
      <c r="Q17" s="420"/>
      <c r="R17" s="11"/>
    </row>
    <row r="18" spans="1:30" x14ac:dyDescent="0.25">
      <c r="A18" s="10"/>
      <c r="B18" s="426"/>
      <c r="C18" s="419"/>
      <c r="D18" s="419"/>
      <c r="E18" s="419"/>
      <c r="F18" s="419"/>
      <c r="G18" s="419"/>
      <c r="H18" s="419"/>
      <c r="I18" s="419"/>
      <c r="J18" s="419" t="s">
        <v>262</v>
      </c>
      <c r="K18" s="419"/>
      <c r="L18" s="419"/>
      <c r="M18" s="419"/>
      <c r="N18" s="571">
        <f>N20*N17/1000</f>
        <v>3.1160000000000001</v>
      </c>
      <c r="O18" s="571"/>
      <c r="P18" s="419" t="s">
        <v>263</v>
      </c>
      <c r="Q18" s="420"/>
      <c r="R18" s="11"/>
    </row>
    <row r="19" spans="1:30" x14ac:dyDescent="0.25">
      <c r="A19" s="10"/>
      <c r="B19" s="426" t="s">
        <v>16</v>
      </c>
      <c r="C19" s="419"/>
      <c r="D19" s="419"/>
      <c r="E19" s="419"/>
      <c r="F19" s="668" t="s">
        <v>19</v>
      </c>
      <c r="G19" s="668"/>
      <c r="H19" s="186"/>
      <c r="I19" s="186"/>
      <c r="J19" s="499" t="s">
        <v>9</v>
      </c>
      <c r="K19" s="499"/>
      <c r="L19" s="499"/>
      <c r="M19" s="499"/>
      <c r="N19" s="419"/>
      <c r="O19" s="419"/>
      <c r="P19" s="419"/>
      <c r="Q19" s="420"/>
      <c r="R19" s="11"/>
    </row>
    <row r="20" spans="1:30" x14ac:dyDescent="0.25">
      <c r="A20" s="10"/>
      <c r="B20" s="431" t="s">
        <v>264</v>
      </c>
      <c r="C20" s="368"/>
      <c r="D20" s="368"/>
      <c r="E20" s="368"/>
      <c r="F20" s="665" t="s">
        <v>265</v>
      </c>
      <c r="G20" s="665"/>
      <c r="H20" s="186"/>
      <c r="I20" s="186"/>
      <c r="J20" s="419" t="s">
        <v>266</v>
      </c>
      <c r="K20" s="419"/>
      <c r="L20" s="419"/>
      <c r="M20" s="419"/>
      <c r="N20" s="571">
        <f>'ANA SAYFA KESİCİ'!O50</f>
        <v>38</v>
      </c>
      <c r="O20" s="571"/>
      <c r="P20" s="666" t="s">
        <v>236</v>
      </c>
      <c r="Q20" s="667"/>
      <c r="R20" s="11"/>
    </row>
    <row r="21" spans="1:30" ht="15" customHeight="1" x14ac:dyDescent="0.25">
      <c r="A21" s="10"/>
      <c r="B21" s="47"/>
      <c r="C21" s="48"/>
      <c r="D21" s="48"/>
      <c r="E21" s="48"/>
      <c r="F21" s="48"/>
      <c r="G21" s="48"/>
      <c r="H21" s="48"/>
      <c r="I21" s="48"/>
      <c r="J21" s="415" t="s">
        <v>267</v>
      </c>
      <c r="K21" s="415"/>
      <c r="L21" s="415"/>
      <c r="M21" s="415"/>
      <c r="N21" s="407"/>
      <c r="O21" s="407"/>
      <c r="P21" s="415" t="s">
        <v>268</v>
      </c>
      <c r="Q21" s="416"/>
      <c r="R21" s="11"/>
    </row>
    <row r="22" spans="1:30" ht="6" customHeight="1" x14ac:dyDescent="0.25">
      <c r="A22" s="10"/>
      <c r="B22" s="171"/>
      <c r="C22" s="670"/>
      <c r="D22" s="670"/>
      <c r="E22" s="418"/>
      <c r="F22" s="418"/>
      <c r="G22" s="418"/>
      <c r="H22" s="418"/>
      <c r="I22" s="418"/>
      <c r="J22" s="418"/>
      <c r="K22" s="418"/>
      <c r="L22" s="418"/>
      <c r="M22" s="418"/>
      <c r="N22" s="418"/>
      <c r="O22" s="418"/>
      <c r="P22" s="418"/>
      <c r="Q22" s="170"/>
      <c r="R22" s="11"/>
    </row>
    <row r="23" spans="1:30" ht="18.75" x14ac:dyDescent="0.25">
      <c r="A23" s="10"/>
      <c r="B23" s="528" t="s">
        <v>258</v>
      </c>
      <c r="C23" s="528"/>
      <c r="D23" s="528"/>
      <c r="E23" s="528"/>
      <c r="F23" s="528"/>
      <c r="G23" s="528"/>
      <c r="H23" s="528"/>
      <c r="I23" s="528"/>
      <c r="J23" s="249" t="s">
        <v>228</v>
      </c>
      <c r="K23" s="102"/>
      <c r="L23" s="102"/>
      <c r="M23" s="102"/>
      <c r="N23" s="102"/>
      <c r="O23" s="102"/>
      <c r="P23" s="501">
        <f>IF(N29&lt;150,1,0)</f>
        <v>1</v>
      </c>
      <c r="Q23" s="669"/>
      <c r="R23" s="11"/>
    </row>
    <row r="24" spans="1:30" x14ac:dyDescent="0.25">
      <c r="A24" s="10"/>
      <c r="B24" s="44"/>
      <c r="C24" s="45"/>
      <c r="D24" s="45"/>
      <c r="E24" s="45"/>
      <c r="F24" s="45"/>
      <c r="G24" s="45"/>
      <c r="H24" s="45"/>
      <c r="I24" s="45"/>
      <c r="J24" s="45"/>
      <c r="K24" s="45"/>
      <c r="L24" s="45"/>
      <c r="M24" s="45"/>
      <c r="N24" s="45"/>
      <c r="O24" s="45"/>
      <c r="P24" s="45"/>
      <c r="Q24" s="46"/>
      <c r="R24" s="11"/>
      <c r="V24" s="378" t="s">
        <v>363</v>
      </c>
      <c r="W24" s="378"/>
      <c r="X24" s="378"/>
      <c r="Y24" s="378"/>
      <c r="Z24" s="378"/>
      <c r="AA24" s="378"/>
      <c r="AB24" s="378"/>
      <c r="AC24" s="378"/>
      <c r="AD24" s="378"/>
    </row>
    <row r="25" spans="1:30" x14ac:dyDescent="0.25">
      <c r="A25" s="10"/>
      <c r="B25" s="498" t="s">
        <v>15</v>
      </c>
      <c r="C25" s="499"/>
      <c r="D25" s="499"/>
      <c r="E25" s="499"/>
      <c r="F25" s="419"/>
      <c r="G25" s="419"/>
      <c r="H25" s="419"/>
      <c r="I25" s="419"/>
      <c r="J25" s="499" t="s">
        <v>70</v>
      </c>
      <c r="K25" s="499"/>
      <c r="L25" s="499"/>
      <c r="M25" s="499"/>
      <c r="N25" s="665"/>
      <c r="O25" s="665"/>
      <c r="P25" s="419"/>
      <c r="Q25" s="420"/>
      <c r="R25" s="11"/>
      <c r="V25" s="378" t="s">
        <v>269</v>
      </c>
      <c r="W25" s="378"/>
      <c r="X25" s="378"/>
      <c r="Y25" s="378"/>
      <c r="Z25" s="378"/>
      <c r="AA25" s="378"/>
      <c r="AB25" s="378"/>
      <c r="AC25" s="378"/>
      <c r="AD25" s="378"/>
    </row>
    <row r="26" spans="1:30" x14ac:dyDescent="0.25">
      <c r="A26" s="10"/>
      <c r="B26" s="426" t="s">
        <v>11</v>
      </c>
      <c r="C26" s="419"/>
      <c r="D26" s="419"/>
      <c r="E26" s="419"/>
      <c r="F26" s="571">
        <v>150</v>
      </c>
      <c r="G26" s="571"/>
      <c r="H26" s="250" t="s">
        <v>236</v>
      </c>
      <c r="I26" s="186"/>
      <c r="J26" s="419" t="s">
        <v>261</v>
      </c>
      <c r="K26" s="419"/>
      <c r="L26" s="419"/>
      <c r="M26" s="419"/>
      <c r="N26" s="570">
        <v>82</v>
      </c>
      <c r="O26" s="570"/>
      <c r="P26" s="419" t="s">
        <v>25</v>
      </c>
      <c r="Q26" s="420"/>
      <c r="R26" s="11"/>
      <c r="V26" s="378" t="s">
        <v>364</v>
      </c>
      <c r="W26" s="378"/>
      <c r="X26" s="378"/>
      <c r="Y26" s="378"/>
      <c r="Z26" s="378"/>
      <c r="AA26" s="378"/>
      <c r="AB26" s="378"/>
      <c r="AC26" s="378"/>
      <c r="AD26" s="378"/>
    </row>
    <row r="27" spans="1:30" x14ac:dyDescent="0.25">
      <c r="A27" s="10"/>
      <c r="B27" s="426"/>
      <c r="C27" s="419"/>
      <c r="D27" s="419"/>
      <c r="E27" s="419"/>
      <c r="F27" s="419"/>
      <c r="G27" s="419"/>
      <c r="H27" s="419"/>
      <c r="I27" s="419"/>
      <c r="J27" s="419" t="s">
        <v>262</v>
      </c>
      <c r="K27" s="419"/>
      <c r="L27" s="419"/>
      <c r="M27" s="419"/>
      <c r="N27" s="571">
        <f>N29*N26/1000</f>
        <v>3.28</v>
      </c>
      <c r="O27" s="571"/>
      <c r="P27" s="419" t="s">
        <v>263</v>
      </c>
      <c r="Q27" s="420"/>
      <c r="R27" s="11"/>
      <c r="V27" s="378" t="s">
        <v>270</v>
      </c>
      <c r="W27" s="378"/>
      <c r="X27" s="378"/>
      <c r="Y27" s="378"/>
      <c r="Z27" s="378"/>
      <c r="AA27" s="378"/>
      <c r="AB27" s="378"/>
      <c r="AC27" s="378"/>
      <c r="AD27" s="378"/>
    </row>
    <row r="28" spans="1:30" x14ac:dyDescent="0.25">
      <c r="A28" s="10"/>
      <c r="B28" s="426" t="s">
        <v>16</v>
      </c>
      <c r="C28" s="419"/>
      <c r="D28" s="419"/>
      <c r="E28" s="419"/>
      <c r="F28" s="668" t="s">
        <v>19</v>
      </c>
      <c r="G28" s="668"/>
      <c r="H28" s="186"/>
      <c r="I28" s="186"/>
      <c r="J28" s="499" t="s">
        <v>9</v>
      </c>
      <c r="K28" s="499"/>
      <c r="L28" s="499"/>
      <c r="M28" s="499"/>
      <c r="N28" s="419"/>
      <c r="O28" s="419"/>
      <c r="P28" s="419"/>
      <c r="Q28" s="420"/>
      <c r="R28" s="11"/>
      <c r="V28" s="378" t="s">
        <v>365</v>
      </c>
      <c r="W28" s="378"/>
      <c r="X28" s="378"/>
      <c r="Y28" s="378"/>
      <c r="Z28" s="378"/>
      <c r="AA28" s="378"/>
      <c r="AB28" s="378"/>
      <c r="AC28" s="378"/>
      <c r="AD28" s="378"/>
    </row>
    <row r="29" spans="1:30" x14ac:dyDescent="0.25">
      <c r="A29" s="10"/>
      <c r="B29" s="431" t="s">
        <v>264</v>
      </c>
      <c r="C29" s="368"/>
      <c r="D29" s="368"/>
      <c r="E29" s="368"/>
      <c r="F29" s="665" t="s">
        <v>265</v>
      </c>
      <c r="G29" s="665"/>
      <c r="H29" s="186"/>
      <c r="I29" s="186"/>
      <c r="J29" s="419" t="s">
        <v>266</v>
      </c>
      <c r="K29" s="419"/>
      <c r="L29" s="419"/>
      <c r="M29" s="419"/>
      <c r="N29" s="571">
        <f>'ANA SAYFA KESİCİ'!O52</f>
        <v>40</v>
      </c>
      <c r="O29" s="571"/>
      <c r="P29" s="666" t="s">
        <v>236</v>
      </c>
      <c r="Q29" s="667"/>
      <c r="R29" s="11"/>
      <c r="V29" s="378" t="s">
        <v>271</v>
      </c>
      <c r="W29" s="378"/>
      <c r="X29" s="378"/>
      <c r="Y29" s="378"/>
      <c r="Z29" s="378"/>
      <c r="AA29" s="378"/>
      <c r="AB29" s="378"/>
      <c r="AC29" s="378"/>
      <c r="AD29" s="378"/>
    </row>
    <row r="30" spans="1:30" ht="15" customHeight="1" x14ac:dyDescent="0.25">
      <c r="A30" s="10"/>
      <c r="B30" s="47"/>
      <c r="C30" s="48"/>
      <c r="D30" s="48"/>
      <c r="E30" s="48"/>
      <c r="F30" s="48"/>
      <c r="G30" s="48"/>
      <c r="H30" s="48"/>
      <c r="I30" s="48"/>
      <c r="J30" s="415"/>
      <c r="K30" s="415"/>
      <c r="L30" s="415"/>
      <c r="M30" s="415"/>
      <c r="N30" s="407"/>
      <c r="O30" s="407"/>
      <c r="P30" s="415" t="s">
        <v>268</v>
      </c>
      <c r="Q30" s="416"/>
      <c r="R30" s="11"/>
    </row>
    <row r="31" spans="1:30" ht="7.5" customHeight="1" x14ac:dyDescent="0.25">
      <c r="A31" s="10"/>
      <c r="B31" s="3"/>
      <c r="C31" s="186"/>
      <c r="D31" s="186"/>
      <c r="E31" s="186"/>
      <c r="F31" s="186"/>
      <c r="G31" s="186"/>
      <c r="H31" s="186"/>
      <c r="I31" s="186"/>
      <c r="J31" s="186"/>
      <c r="K31" s="186"/>
      <c r="L31" s="186"/>
      <c r="M31" s="186"/>
      <c r="N31" s="186"/>
      <c r="O31" s="186"/>
      <c r="P31" s="186"/>
      <c r="Q31" s="187"/>
      <c r="R31" s="11"/>
    </row>
    <row r="32" spans="1:30" ht="18.75" x14ac:dyDescent="0.25">
      <c r="A32" s="10"/>
      <c r="B32" s="528" t="s">
        <v>258</v>
      </c>
      <c r="C32" s="528"/>
      <c r="D32" s="528"/>
      <c r="E32" s="528"/>
      <c r="F32" s="528"/>
      <c r="G32" s="528"/>
      <c r="H32" s="528"/>
      <c r="I32" s="528"/>
      <c r="J32" s="249" t="s">
        <v>272</v>
      </c>
      <c r="K32" s="102"/>
      <c r="L32" s="102"/>
      <c r="M32" s="102"/>
      <c r="N32" s="102"/>
      <c r="O32" s="102"/>
      <c r="P32" s="501">
        <f>IF(N38&lt;150,1,0)</f>
        <v>1</v>
      </c>
      <c r="Q32" s="669"/>
      <c r="R32" s="11"/>
    </row>
    <row r="33" spans="1:18" x14ac:dyDescent="0.25">
      <c r="A33" s="10"/>
      <c r="B33" s="44"/>
      <c r="C33" s="45"/>
      <c r="D33" s="45"/>
      <c r="E33" s="45"/>
      <c r="F33" s="45"/>
      <c r="G33" s="45"/>
      <c r="H33" s="45"/>
      <c r="I33" s="45"/>
      <c r="J33" s="45"/>
      <c r="K33" s="45"/>
      <c r="L33" s="45"/>
      <c r="M33" s="45"/>
      <c r="N33" s="45"/>
      <c r="O33" s="45"/>
      <c r="P33" s="45"/>
      <c r="Q33" s="46"/>
      <c r="R33" s="11"/>
    </row>
    <row r="34" spans="1:18" x14ac:dyDescent="0.25">
      <c r="A34" s="10"/>
      <c r="B34" s="498" t="s">
        <v>15</v>
      </c>
      <c r="C34" s="499"/>
      <c r="D34" s="499"/>
      <c r="E34" s="499"/>
      <c r="F34" s="419"/>
      <c r="G34" s="419"/>
      <c r="H34" s="419"/>
      <c r="I34" s="419"/>
      <c r="J34" s="499" t="s">
        <v>70</v>
      </c>
      <c r="K34" s="499"/>
      <c r="L34" s="499"/>
      <c r="M34" s="499"/>
      <c r="N34" s="665"/>
      <c r="O34" s="665"/>
      <c r="P34" s="419"/>
      <c r="Q34" s="420"/>
      <c r="R34" s="11"/>
    </row>
    <row r="35" spans="1:18" x14ac:dyDescent="0.25">
      <c r="A35" s="10"/>
      <c r="B35" s="426" t="s">
        <v>11</v>
      </c>
      <c r="C35" s="419"/>
      <c r="D35" s="419"/>
      <c r="E35" s="419"/>
      <c r="F35" s="571">
        <v>150</v>
      </c>
      <c r="G35" s="571"/>
      <c r="H35" s="250" t="s">
        <v>236</v>
      </c>
      <c r="I35" s="186"/>
      <c r="J35" s="419" t="s">
        <v>261</v>
      </c>
      <c r="K35" s="419"/>
      <c r="L35" s="419"/>
      <c r="M35" s="419"/>
      <c r="N35" s="570">
        <v>82</v>
      </c>
      <c r="O35" s="570"/>
      <c r="P35" s="419" t="s">
        <v>25</v>
      </c>
      <c r="Q35" s="420"/>
      <c r="R35" s="11"/>
    </row>
    <row r="36" spans="1:18" x14ac:dyDescent="0.25">
      <c r="A36" s="10"/>
      <c r="B36" s="426"/>
      <c r="C36" s="419"/>
      <c r="D36" s="419"/>
      <c r="E36" s="419"/>
      <c r="F36" s="419"/>
      <c r="G36" s="419"/>
      <c r="H36" s="419"/>
      <c r="I36" s="419"/>
      <c r="J36" s="419" t="s">
        <v>262</v>
      </c>
      <c r="K36" s="419"/>
      <c r="L36" s="419"/>
      <c r="M36" s="419"/>
      <c r="N36" s="571">
        <f>N38*N35/1000</f>
        <v>4.4279999999999999</v>
      </c>
      <c r="O36" s="571"/>
      <c r="P36" s="419" t="s">
        <v>263</v>
      </c>
      <c r="Q36" s="420"/>
      <c r="R36" s="11"/>
    </row>
    <row r="37" spans="1:18" ht="15.75" customHeight="1" x14ac:dyDescent="0.25">
      <c r="A37" s="10"/>
      <c r="B37" s="426" t="s">
        <v>16</v>
      </c>
      <c r="C37" s="419"/>
      <c r="D37" s="419"/>
      <c r="E37" s="419"/>
      <c r="F37" s="668" t="s">
        <v>19</v>
      </c>
      <c r="G37" s="668"/>
      <c r="H37" s="186"/>
      <c r="I37" s="186"/>
      <c r="J37" s="499" t="s">
        <v>9</v>
      </c>
      <c r="K37" s="499"/>
      <c r="L37" s="499"/>
      <c r="M37" s="499"/>
      <c r="N37" s="419"/>
      <c r="O37" s="419"/>
      <c r="P37" s="419"/>
      <c r="Q37" s="420"/>
      <c r="R37" s="11"/>
    </row>
    <row r="38" spans="1:18" ht="15" customHeight="1" x14ac:dyDescent="0.25">
      <c r="A38" s="10"/>
      <c r="B38" s="431" t="s">
        <v>264</v>
      </c>
      <c r="C38" s="368"/>
      <c r="D38" s="368"/>
      <c r="E38" s="368"/>
      <c r="F38" s="665" t="s">
        <v>265</v>
      </c>
      <c r="G38" s="665"/>
      <c r="H38" s="186"/>
      <c r="I38" s="186"/>
      <c r="J38" s="419" t="s">
        <v>266</v>
      </c>
      <c r="K38" s="419"/>
      <c r="L38" s="419"/>
      <c r="M38" s="419"/>
      <c r="N38" s="571">
        <f>'ANA SAYFA KESİCİ'!O54</f>
        <v>54</v>
      </c>
      <c r="O38" s="571"/>
      <c r="P38" s="666" t="s">
        <v>236</v>
      </c>
      <c r="Q38" s="667"/>
      <c r="R38" s="11"/>
    </row>
    <row r="39" spans="1:18" ht="15" customHeight="1" x14ac:dyDescent="0.25">
      <c r="A39" s="10"/>
      <c r="B39" s="47"/>
      <c r="C39" s="48"/>
      <c r="D39" s="48"/>
      <c r="E39" s="48"/>
      <c r="F39" s="48"/>
      <c r="G39" s="48"/>
      <c r="H39" s="48"/>
      <c r="I39" s="48"/>
      <c r="J39" s="415"/>
      <c r="K39" s="415"/>
      <c r="L39" s="415"/>
      <c r="M39" s="415"/>
      <c r="N39" s="407"/>
      <c r="O39" s="407"/>
      <c r="P39" s="415" t="s">
        <v>268</v>
      </c>
      <c r="Q39" s="416"/>
      <c r="R39" s="11"/>
    </row>
    <row r="40" spans="1:18" ht="15" customHeight="1" x14ac:dyDescent="0.25">
      <c r="A40" s="10"/>
      <c r="B40" s="3"/>
      <c r="C40" s="186"/>
      <c r="D40" s="186"/>
      <c r="E40" s="186"/>
      <c r="F40" s="186"/>
      <c r="G40" s="186"/>
      <c r="H40" s="186"/>
      <c r="I40" s="186"/>
      <c r="J40" s="196"/>
      <c r="K40" s="196"/>
      <c r="L40" s="196"/>
      <c r="M40" s="196"/>
      <c r="N40" s="195"/>
      <c r="O40" s="195"/>
      <c r="P40" s="196"/>
      <c r="Q40" s="197"/>
      <c r="R40" s="11"/>
    </row>
    <row r="41" spans="1:18" ht="15" customHeight="1" x14ac:dyDescent="0.25">
      <c r="A41" s="10"/>
      <c r="B41" s="3"/>
      <c r="C41" s="186"/>
      <c r="D41" s="186"/>
      <c r="E41" s="186"/>
      <c r="F41" s="186"/>
      <c r="G41" s="186"/>
      <c r="H41" s="186"/>
      <c r="I41" s="186"/>
      <c r="J41" s="196"/>
      <c r="K41" s="196"/>
      <c r="L41" s="196"/>
      <c r="M41" s="196"/>
      <c r="N41" s="195"/>
      <c r="O41" s="195"/>
      <c r="P41" s="196"/>
      <c r="Q41" s="197"/>
      <c r="R41" s="11"/>
    </row>
    <row r="42" spans="1:18" ht="15" customHeight="1" x14ac:dyDescent="0.25">
      <c r="A42" s="10"/>
      <c r="B42" s="3"/>
      <c r="C42" s="186"/>
      <c r="D42" s="186"/>
      <c r="E42" s="186"/>
      <c r="F42" s="186"/>
      <c r="G42" s="186"/>
      <c r="H42" s="186"/>
      <c r="I42" s="186"/>
      <c r="J42" s="196"/>
      <c r="K42" s="196"/>
      <c r="L42" s="196"/>
      <c r="M42" s="196"/>
      <c r="N42" s="195"/>
      <c r="O42" s="195"/>
      <c r="P42" s="196"/>
      <c r="Q42" s="197"/>
      <c r="R42" s="11"/>
    </row>
    <row r="43" spans="1:18" ht="15" customHeight="1" x14ac:dyDescent="0.25">
      <c r="A43" s="10"/>
      <c r="B43" s="3"/>
      <c r="C43" s="186"/>
      <c r="D43" s="186"/>
      <c r="E43" s="186"/>
      <c r="F43" s="186"/>
      <c r="G43" s="186"/>
      <c r="H43" s="186"/>
      <c r="I43" s="186"/>
      <c r="J43" s="196"/>
      <c r="K43" s="196"/>
      <c r="L43" s="196"/>
      <c r="M43" s="196"/>
      <c r="N43" s="195"/>
      <c r="O43" s="195"/>
      <c r="P43" s="196"/>
      <c r="Q43" s="197"/>
      <c r="R43" s="11"/>
    </row>
    <row r="44" spans="1:18" ht="15" customHeight="1" x14ac:dyDescent="0.25">
      <c r="A44" s="10"/>
      <c r="B44" s="3"/>
      <c r="C44" s="186"/>
      <c r="D44" s="186"/>
      <c r="E44" s="186"/>
      <c r="F44" s="186"/>
      <c r="G44" s="186"/>
      <c r="H44" s="186"/>
      <c r="I44" s="186"/>
      <c r="J44" s="196"/>
      <c r="K44" s="196"/>
      <c r="L44" s="196"/>
      <c r="M44" s="196"/>
      <c r="N44" s="195"/>
      <c r="O44" s="195"/>
      <c r="P44" s="196"/>
      <c r="Q44" s="197"/>
      <c r="R44" s="11"/>
    </row>
    <row r="45" spans="1:18" ht="15" customHeight="1" x14ac:dyDescent="0.25">
      <c r="A45" s="10"/>
      <c r="B45" s="512" t="s">
        <v>273</v>
      </c>
      <c r="C45" s="513"/>
      <c r="D45" s="661" t="str">
        <f>IF(P14&lt;1,V25,V24)</f>
        <v>Kesicinin L1 kontağına ait geçiş direci uygundur.</v>
      </c>
      <c r="E45" s="661"/>
      <c r="F45" s="661"/>
      <c r="G45" s="661"/>
      <c r="H45" s="661"/>
      <c r="I45" s="661"/>
      <c r="J45" s="661"/>
      <c r="K45" s="661"/>
      <c r="L45" s="661"/>
      <c r="M45" s="661"/>
      <c r="N45" s="661"/>
      <c r="O45" s="661"/>
      <c r="P45" s="661"/>
      <c r="Q45" s="662"/>
      <c r="R45" s="11"/>
    </row>
    <row r="46" spans="1:18" ht="15" customHeight="1" x14ac:dyDescent="0.25">
      <c r="A46" s="10"/>
      <c r="B46" s="251"/>
      <c r="C46" s="49"/>
      <c r="D46" s="663" t="str">
        <f>IF(P23&lt;1,V27,V26)</f>
        <v>Kesicinin L2 kontağına ait geçiş direci uygundur.</v>
      </c>
      <c r="E46" s="663"/>
      <c r="F46" s="663"/>
      <c r="G46" s="663"/>
      <c r="H46" s="663"/>
      <c r="I46" s="663"/>
      <c r="J46" s="663"/>
      <c r="K46" s="663"/>
      <c r="L46" s="663"/>
      <c r="M46" s="663"/>
      <c r="N46" s="663"/>
      <c r="O46" s="663"/>
      <c r="P46" s="663"/>
      <c r="Q46" s="664"/>
      <c r="R46" s="11"/>
    </row>
    <row r="47" spans="1:18" ht="15" customHeight="1" x14ac:dyDescent="0.25">
      <c r="A47" s="10"/>
      <c r="B47" s="251"/>
      <c r="C47" s="49"/>
      <c r="D47" s="663" t="str">
        <f>IF(P32&lt;1,V29,V28)</f>
        <v>Kesicinin L3 kontağına ait geçiş direci uygundur.</v>
      </c>
      <c r="E47" s="663"/>
      <c r="F47" s="663"/>
      <c r="G47" s="663"/>
      <c r="H47" s="663"/>
      <c r="I47" s="663"/>
      <c r="J47" s="663"/>
      <c r="K47" s="663"/>
      <c r="L47" s="663"/>
      <c r="M47" s="663"/>
      <c r="N47" s="663"/>
      <c r="O47" s="663"/>
      <c r="P47" s="663"/>
      <c r="Q47" s="664"/>
      <c r="R47" s="11"/>
    </row>
    <row r="48" spans="1:18" ht="15" customHeight="1" x14ac:dyDescent="0.25">
      <c r="A48" s="10"/>
      <c r="B48" s="251"/>
      <c r="C48" s="49"/>
      <c r="D48" s="663"/>
      <c r="E48" s="663"/>
      <c r="F48" s="663"/>
      <c r="G48" s="663"/>
      <c r="H48" s="663"/>
      <c r="I48" s="663"/>
      <c r="J48" s="663"/>
      <c r="K48" s="663"/>
      <c r="L48" s="663"/>
      <c r="M48" s="663"/>
      <c r="N48" s="663"/>
      <c r="O48" s="663"/>
      <c r="P48" s="663"/>
      <c r="Q48" s="664"/>
      <c r="R48" s="11"/>
    </row>
    <row r="49" spans="1:18" ht="9" customHeight="1" x14ac:dyDescent="0.25">
      <c r="A49" s="10"/>
      <c r="B49" s="50"/>
      <c r="C49" s="51"/>
      <c r="D49" s="663"/>
      <c r="E49" s="663"/>
      <c r="F49" s="663"/>
      <c r="G49" s="663"/>
      <c r="H49" s="663"/>
      <c r="I49" s="663"/>
      <c r="J49" s="663"/>
      <c r="K49" s="663"/>
      <c r="L49" s="663"/>
      <c r="M49" s="663"/>
      <c r="N49" s="663"/>
      <c r="O49" s="663"/>
      <c r="P49" s="663"/>
      <c r="Q49" s="664"/>
      <c r="R49" s="11"/>
    </row>
    <row r="50" spans="1:18" s="325" customFormat="1" ht="22.5" customHeight="1" x14ac:dyDescent="0.25">
      <c r="A50" s="10"/>
      <c r="B50" s="520" t="s">
        <v>357</v>
      </c>
      <c r="C50" s="521"/>
      <c r="D50" s="521"/>
      <c r="E50" s="330" t="s">
        <v>24</v>
      </c>
      <c r="F50" s="518" t="s">
        <v>395</v>
      </c>
      <c r="G50" s="518"/>
      <c r="H50" s="518"/>
      <c r="I50" s="519"/>
      <c r="J50" s="403" t="s">
        <v>322</v>
      </c>
      <c r="K50" s="404"/>
      <c r="L50" s="404"/>
      <c r="M50" s="404"/>
      <c r="N50" s="404"/>
      <c r="O50" s="404"/>
      <c r="P50" s="404"/>
      <c r="Q50" s="405"/>
      <c r="R50" s="11"/>
    </row>
    <row r="51" spans="1:18" s="325" customFormat="1" ht="22.5" customHeight="1" x14ac:dyDescent="0.25">
      <c r="A51" s="10"/>
      <c r="B51" s="520" t="s">
        <v>386</v>
      </c>
      <c r="C51" s="521"/>
      <c r="D51" s="521"/>
      <c r="E51" s="330" t="s">
        <v>24</v>
      </c>
      <c r="F51" s="522">
        <f>'ANA SAYFA KESİCİ'!F75:J75</f>
        <v>45307</v>
      </c>
      <c r="G51" s="518"/>
      <c r="H51" s="518"/>
      <c r="I51" s="519"/>
      <c r="J51" s="75"/>
      <c r="K51" s="76"/>
      <c r="L51" s="176"/>
      <c r="M51" s="176"/>
      <c r="N51" s="176"/>
      <c r="O51" s="176"/>
      <c r="P51" s="176"/>
      <c r="Q51" s="178"/>
      <c r="R51" s="11"/>
    </row>
    <row r="52" spans="1:18" s="325" customFormat="1" ht="22.5" customHeight="1" x14ac:dyDescent="0.25">
      <c r="A52" s="10"/>
      <c r="B52" s="495" t="s">
        <v>192</v>
      </c>
      <c r="C52" s="496"/>
      <c r="D52" s="496"/>
      <c r="E52" s="331" t="s">
        <v>24</v>
      </c>
      <c r="F52" s="521">
        <f>'ANA SAYFA KESİCİ'!F77:J77</f>
        <v>88258</v>
      </c>
      <c r="G52" s="521"/>
      <c r="H52" s="521"/>
      <c r="I52" s="523"/>
      <c r="J52" s="75"/>
      <c r="K52" s="76"/>
      <c r="L52" s="176"/>
      <c r="M52" s="176"/>
      <c r="N52" s="176"/>
      <c r="O52" s="176"/>
      <c r="P52" s="176"/>
      <c r="Q52" s="178"/>
      <c r="R52" s="11"/>
    </row>
    <row r="53" spans="1:18" s="325" customFormat="1" ht="22.5" customHeight="1" x14ac:dyDescent="0.25">
      <c r="A53" s="10"/>
      <c r="B53" s="495" t="s">
        <v>358</v>
      </c>
      <c r="C53" s="496"/>
      <c r="D53" s="496"/>
      <c r="E53" s="324" t="s">
        <v>24</v>
      </c>
      <c r="F53" s="496" t="str">
        <f>'ANA SAYFA KESİCİ'!F78:J78</f>
        <v>K202439698</v>
      </c>
      <c r="G53" s="496"/>
      <c r="H53" s="496"/>
      <c r="I53" s="497"/>
      <c r="J53" s="336"/>
      <c r="K53" s="182"/>
      <c r="L53" s="182"/>
      <c r="M53" s="182"/>
      <c r="N53" s="182"/>
      <c r="O53" s="182"/>
      <c r="P53" s="182"/>
      <c r="Q53" s="179"/>
      <c r="R53" s="11"/>
    </row>
    <row r="54" spans="1:18" ht="15.75" thickBot="1" x14ac:dyDescent="0.3">
      <c r="A54" s="15"/>
      <c r="B54" s="16"/>
      <c r="C54" s="16"/>
      <c r="D54" s="16"/>
      <c r="E54" s="16"/>
      <c r="F54" s="16"/>
      <c r="G54" s="16"/>
      <c r="H54" s="16"/>
      <c r="I54" s="16"/>
      <c r="J54" s="16"/>
      <c r="K54" s="16"/>
      <c r="L54" s="16"/>
      <c r="M54" s="16"/>
      <c r="N54" s="16"/>
      <c r="O54" s="16"/>
      <c r="P54" s="16"/>
      <c r="Q54" s="16"/>
      <c r="R54" s="17"/>
    </row>
  </sheetData>
  <mergeCells count="129">
    <mergeCell ref="B2:F3"/>
    <mergeCell ref="G2:I2"/>
    <mergeCell ref="K2:Q2"/>
    <mergeCell ref="G3:I3"/>
    <mergeCell ref="K3:Q3"/>
    <mergeCell ref="B5:Q5"/>
    <mergeCell ref="B12:Q12"/>
    <mergeCell ref="B14:I14"/>
    <mergeCell ref="P14:Q14"/>
    <mergeCell ref="B16:E16"/>
    <mergeCell ref="F16:I16"/>
    <mergeCell ref="J16:M16"/>
    <mergeCell ref="N16:Q16"/>
    <mergeCell ref="B8:I8"/>
    <mergeCell ref="J8:Q8"/>
    <mergeCell ref="B10:C10"/>
    <mergeCell ref="D10:G10"/>
    <mergeCell ref="H10:I10"/>
    <mergeCell ref="J10:L10"/>
    <mergeCell ref="M10:N10"/>
    <mergeCell ref="O10:Q10"/>
    <mergeCell ref="B17:E17"/>
    <mergeCell ref="F17:G17"/>
    <mergeCell ref="J17:M17"/>
    <mergeCell ref="N17:O17"/>
    <mergeCell ref="P17:Q17"/>
    <mergeCell ref="B18:E18"/>
    <mergeCell ref="F18:I18"/>
    <mergeCell ref="J18:M18"/>
    <mergeCell ref="N18:O18"/>
    <mergeCell ref="P18:Q18"/>
    <mergeCell ref="B19:E19"/>
    <mergeCell ref="F19:G19"/>
    <mergeCell ref="J19:M19"/>
    <mergeCell ref="N19:Q19"/>
    <mergeCell ref="B20:E20"/>
    <mergeCell ref="F20:G20"/>
    <mergeCell ref="J20:M20"/>
    <mergeCell ref="N20:O20"/>
    <mergeCell ref="P20:Q20"/>
    <mergeCell ref="J21:M21"/>
    <mergeCell ref="N21:O21"/>
    <mergeCell ref="P21:Q21"/>
    <mergeCell ref="C22:D22"/>
    <mergeCell ref="E22:F22"/>
    <mergeCell ref="G22:H22"/>
    <mergeCell ref="I22:J22"/>
    <mergeCell ref="K22:L22"/>
    <mergeCell ref="M22:N22"/>
    <mergeCell ref="O22:P22"/>
    <mergeCell ref="B23:I23"/>
    <mergeCell ref="P23:Q23"/>
    <mergeCell ref="V24:AD24"/>
    <mergeCell ref="B25:E25"/>
    <mergeCell ref="F25:I25"/>
    <mergeCell ref="J25:M25"/>
    <mergeCell ref="N25:O25"/>
    <mergeCell ref="P25:Q25"/>
    <mergeCell ref="V25:AD25"/>
    <mergeCell ref="B27:E27"/>
    <mergeCell ref="F27:I27"/>
    <mergeCell ref="J27:M27"/>
    <mergeCell ref="N27:O27"/>
    <mergeCell ref="P27:Q27"/>
    <mergeCell ref="V27:AD27"/>
    <mergeCell ref="B26:E26"/>
    <mergeCell ref="F26:G26"/>
    <mergeCell ref="J26:M26"/>
    <mergeCell ref="N26:O26"/>
    <mergeCell ref="P26:Q26"/>
    <mergeCell ref="V26:AD26"/>
    <mergeCell ref="V29:AD29"/>
    <mergeCell ref="J30:M30"/>
    <mergeCell ref="N30:O30"/>
    <mergeCell ref="P30:Q30"/>
    <mergeCell ref="B32:I32"/>
    <mergeCell ref="P32:Q32"/>
    <mergeCell ref="B28:E28"/>
    <mergeCell ref="F28:G28"/>
    <mergeCell ref="J28:M28"/>
    <mergeCell ref="N28:Q28"/>
    <mergeCell ref="V28:AD28"/>
    <mergeCell ref="B29:E29"/>
    <mergeCell ref="F29:G29"/>
    <mergeCell ref="J29:M29"/>
    <mergeCell ref="N29:O29"/>
    <mergeCell ref="P29:Q29"/>
    <mergeCell ref="B34:E34"/>
    <mergeCell ref="F34:I34"/>
    <mergeCell ref="J34:M34"/>
    <mergeCell ref="N34:O34"/>
    <mergeCell ref="P34:Q34"/>
    <mergeCell ref="B35:E35"/>
    <mergeCell ref="F35:G35"/>
    <mergeCell ref="J35:M35"/>
    <mergeCell ref="N35:O35"/>
    <mergeCell ref="P35:Q35"/>
    <mergeCell ref="B36:E36"/>
    <mergeCell ref="F36:I36"/>
    <mergeCell ref="J36:M36"/>
    <mergeCell ref="N36:O36"/>
    <mergeCell ref="P36:Q36"/>
    <mergeCell ref="B37:E37"/>
    <mergeCell ref="F37:G37"/>
    <mergeCell ref="J37:M37"/>
    <mergeCell ref="N37:Q37"/>
    <mergeCell ref="B45:C45"/>
    <mergeCell ref="D45:Q45"/>
    <mergeCell ref="D46:Q46"/>
    <mergeCell ref="D47:Q47"/>
    <mergeCell ref="D48:Q48"/>
    <mergeCell ref="D49:Q49"/>
    <mergeCell ref="B38:E38"/>
    <mergeCell ref="F38:G38"/>
    <mergeCell ref="J38:M38"/>
    <mergeCell ref="N38:O38"/>
    <mergeCell ref="P38:Q38"/>
    <mergeCell ref="J39:M39"/>
    <mergeCell ref="N39:O39"/>
    <mergeCell ref="P39:Q39"/>
    <mergeCell ref="B50:D50"/>
    <mergeCell ref="F50:I50"/>
    <mergeCell ref="B51:D51"/>
    <mergeCell ref="F51:I51"/>
    <mergeCell ref="B52:D52"/>
    <mergeCell ref="F52:I52"/>
    <mergeCell ref="B53:D53"/>
    <mergeCell ref="F53:I53"/>
    <mergeCell ref="J50:Q50"/>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4" right="0.23622047244094488" top="0.3543307086614173" bottom="0.3543307086614173" header="0" footer="0"/>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4"/>
  <sheetViews>
    <sheetView topLeftCell="A33" zoomScale="85" zoomScaleNormal="85" workbookViewId="0">
      <selection activeCell="O50" sqref="O50"/>
    </sheetView>
  </sheetViews>
  <sheetFormatPr defaultRowHeight="15" x14ac:dyDescent="0.25"/>
  <cols>
    <col min="1" max="1" width="3.5703125" style="188" customWidth="1"/>
    <col min="2" max="17" width="5.42578125" style="188" customWidth="1"/>
    <col min="18" max="18" width="3.5703125" style="188" customWidth="1"/>
    <col min="19" max="16384" width="9.140625" style="188"/>
  </cols>
  <sheetData>
    <row r="1" spans="1:23" x14ac:dyDescent="0.25">
      <c r="A1" s="12"/>
      <c r="B1" s="13"/>
      <c r="C1" s="13"/>
      <c r="D1" s="13"/>
      <c r="E1" s="13"/>
      <c r="F1" s="13"/>
      <c r="G1" s="13"/>
      <c r="H1" s="13"/>
      <c r="I1" s="13"/>
      <c r="J1" s="13"/>
      <c r="K1" s="13"/>
      <c r="L1" s="13"/>
      <c r="M1" s="13"/>
      <c r="N1" s="13"/>
      <c r="O1" s="13"/>
      <c r="P1" s="13"/>
      <c r="Q1" s="13"/>
      <c r="R1" s="14"/>
    </row>
    <row r="2" spans="1:23" ht="29.25" customHeight="1" x14ac:dyDescent="0.25">
      <c r="A2" s="10"/>
      <c r="B2" s="554"/>
      <c r="C2" s="555"/>
      <c r="D2" s="555"/>
      <c r="E2" s="555"/>
      <c r="F2" s="556"/>
      <c r="G2" s="658" t="s">
        <v>22</v>
      </c>
      <c r="H2" s="447"/>
      <c r="I2" s="447"/>
      <c r="J2" s="185" t="s">
        <v>24</v>
      </c>
      <c r="K2" s="447" t="str">
        <f>'ANA SAYFA KESİCİ'!K2</f>
        <v>BARMAK MAKİNA (ÇAĞLA ELK.)</v>
      </c>
      <c r="L2" s="447"/>
      <c r="M2" s="447"/>
      <c r="N2" s="447"/>
      <c r="O2" s="447"/>
      <c r="P2" s="447"/>
      <c r="Q2" s="448"/>
      <c r="R2" s="11"/>
    </row>
    <row r="3" spans="1:23" ht="29.25" customHeight="1" x14ac:dyDescent="0.25">
      <c r="A3" s="10"/>
      <c r="B3" s="557"/>
      <c r="C3" s="558"/>
      <c r="D3" s="558"/>
      <c r="E3" s="558"/>
      <c r="F3" s="559"/>
      <c r="G3" s="659" t="s">
        <v>23</v>
      </c>
      <c r="H3" s="660"/>
      <c r="I3" s="660"/>
      <c r="J3" s="206" t="s">
        <v>24</v>
      </c>
      <c r="K3" s="488" t="str">
        <f>'ANA SAYFA KESİCİ'!K5</f>
        <v>TRAFO 1</v>
      </c>
      <c r="L3" s="488"/>
      <c r="M3" s="488"/>
      <c r="N3" s="488"/>
      <c r="O3" s="488"/>
      <c r="P3" s="488"/>
      <c r="Q3" s="489"/>
      <c r="R3" s="11"/>
    </row>
    <row r="4" spans="1:23" ht="10.5" customHeight="1" x14ac:dyDescent="0.25">
      <c r="A4" s="10"/>
      <c r="B4" s="3"/>
      <c r="C4" s="186"/>
      <c r="D4" s="186"/>
      <c r="E4" s="186"/>
      <c r="F4" s="186"/>
      <c r="G4" s="186"/>
      <c r="H4" s="186"/>
      <c r="I4" s="186"/>
      <c r="J4" s="186"/>
      <c r="K4" s="186"/>
      <c r="L4" s="186"/>
      <c r="M4" s="186"/>
      <c r="N4" s="186"/>
      <c r="O4" s="186"/>
      <c r="P4" s="186"/>
      <c r="Q4" s="187"/>
      <c r="R4" s="11"/>
    </row>
    <row r="5" spans="1:23" ht="18.75" x14ac:dyDescent="0.25">
      <c r="A5" s="10"/>
      <c r="B5" s="403" t="s">
        <v>348</v>
      </c>
      <c r="C5" s="404"/>
      <c r="D5" s="404"/>
      <c r="E5" s="404"/>
      <c r="F5" s="404"/>
      <c r="G5" s="404"/>
      <c r="H5" s="404"/>
      <c r="I5" s="404"/>
      <c r="J5" s="404"/>
      <c r="K5" s="404"/>
      <c r="L5" s="404"/>
      <c r="M5" s="404"/>
      <c r="N5" s="404"/>
      <c r="O5" s="404"/>
      <c r="P5" s="404"/>
      <c r="Q5" s="405"/>
      <c r="R5" s="11"/>
    </row>
    <row r="6" spans="1:23" ht="6.75" customHeight="1" x14ac:dyDescent="0.25">
      <c r="A6" s="10"/>
      <c r="B6" s="3"/>
      <c r="C6" s="186"/>
      <c r="D6" s="186"/>
      <c r="E6" s="186"/>
      <c r="F6" s="186"/>
      <c r="G6" s="186"/>
      <c r="H6" s="186"/>
      <c r="I6" s="186"/>
      <c r="J6" s="186"/>
      <c r="K6" s="186"/>
      <c r="L6" s="186"/>
      <c r="M6" s="186"/>
      <c r="N6" s="186"/>
      <c r="O6" s="186"/>
      <c r="P6" s="186"/>
      <c r="Q6" s="187"/>
      <c r="R6" s="11"/>
    </row>
    <row r="7" spans="1:23" ht="18.75" x14ac:dyDescent="0.25">
      <c r="A7" s="10"/>
      <c r="B7" s="469" t="s">
        <v>3</v>
      </c>
      <c r="C7" s="470"/>
      <c r="D7" s="470"/>
      <c r="E7" s="470"/>
      <c r="F7" s="470"/>
      <c r="G7" s="470"/>
      <c r="H7" s="470"/>
      <c r="I7" s="470"/>
      <c r="J7" s="471">
        <f>'ANA SAYFA KESİCİ'!F74</f>
        <v>45310</v>
      </c>
      <c r="K7" s="471"/>
      <c r="L7" s="471"/>
      <c r="M7" s="471"/>
      <c r="N7" s="471"/>
      <c r="O7" s="471"/>
      <c r="P7" s="471"/>
      <c r="Q7" s="472"/>
      <c r="R7" s="11"/>
    </row>
    <row r="8" spans="1:23" ht="6.75" customHeight="1" x14ac:dyDescent="0.25">
      <c r="A8" s="10"/>
      <c r="B8" s="3"/>
      <c r="C8" s="186"/>
      <c r="D8" s="186"/>
      <c r="E8" s="186"/>
      <c r="F8" s="186"/>
      <c r="G8" s="186"/>
      <c r="H8" s="186"/>
      <c r="I8" s="186"/>
      <c r="J8" s="186"/>
      <c r="K8" s="186"/>
      <c r="L8" s="186"/>
      <c r="M8" s="186"/>
      <c r="N8" s="186"/>
      <c r="O8" s="186"/>
      <c r="P8" s="186"/>
      <c r="Q8" s="187"/>
      <c r="R8" s="11"/>
      <c r="T8" s="188">
        <v>1</v>
      </c>
    </row>
    <row r="9" spans="1:23" x14ac:dyDescent="0.25">
      <c r="A9" s="10"/>
      <c r="B9" s="525" t="s">
        <v>4</v>
      </c>
      <c r="C9" s="525"/>
      <c r="D9" s="526" t="str">
        <f>'KESİCİ İZOLASYON'!D10:G10</f>
        <v>Hilmi GÜL</v>
      </c>
      <c r="E9" s="526"/>
      <c r="F9" s="526"/>
      <c r="G9" s="526"/>
      <c r="H9" s="525" t="s">
        <v>5</v>
      </c>
      <c r="I9" s="525"/>
      <c r="J9" s="504" t="s">
        <v>245</v>
      </c>
      <c r="K9" s="504"/>
      <c r="L9" s="504"/>
      <c r="M9" s="504" t="s">
        <v>7</v>
      </c>
      <c r="N9" s="504"/>
      <c r="O9" s="478">
        <v>16060016</v>
      </c>
      <c r="P9" s="479"/>
      <c r="Q9" s="480"/>
      <c r="R9" s="11"/>
      <c r="V9" s="188">
        <v>3</v>
      </c>
    </row>
    <row r="10" spans="1:23" ht="6.75" customHeight="1" x14ac:dyDescent="0.25">
      <c r="A10" s="10"/>
      <c r="B10" s="200"/>
      <c r="C10" s="214"/>
      <c r="D10" s="201"/>
      <c r="E10" s="201"/>
      <c r="F10" s="201"/>
      <c r="G10" s="201"/>
      <c r="H10" s="214"/>
      <c r="I10" s="214"/>
      <c r="J10" s="203"/>
      <c r="K10" s="203"/>
      <c r="L10" s="203"/>
      <c r="M10" s="203"/>
      <c r="N10" s="203"/>
      <c r="O10" s="203"/>
      <c r="P10" s="203"/>
      <c r="Q10" s="203"/>
      <c r="R10" s="95"/>
    </row>
    <row r="11" spans="1:23" ht="14.25" customHeight="1" x14ac:dyDescent="0.25">
      <c r="A11" s="10"/>
      <c r="B11" s="403" t="s">
        <v>202</v>
      </c>
      <c r="C11" s="404"/>
      <c r="D11" s="404"/>
      <c r="E11" s="404"/>
      <c r="F11" s="404"/>
      <c r="G11" s="404"/>
      <c r="H11" s="404"/>
      <c r="I11" s="404"/>
      <c r="J11" s="404"/>
      <c r="K11" s="404"/>
      <c r="L11" s="404"/>
      <c r="M11" s="404"/>
      <c r="N11" s="404"/>
      <c r="O11" s="404"/>
      <c r="P11" s="404"/>
      <c r="Q11" s="405"/>
      <c r="R11" s="252"/>
      <c r="T11" s="188">
        <v>20</v>
      </c>
    </row>
    <row r="12" spans="1:23" ht="5.25" customHeight="1" x14ac:dyDescent="0.25">
      <c r="A12" s="10"/>
      <c r="B12" s="3"/>
      <c r="C12" s="186"/>
      <c r="D12" s="186"/>
      <c r="E12" s="186"/>
      <c r="F12" s="186"/>
      <c r="G12" s="186"/>
      <c r="H12" s="186"/>
      <c r="I12" s="186"/>
      <c r="J12" s="186"/>
      <c r="K12" s="191"/>
      <c r="L12" s="191"/>
      <c r="M12" s="195"/>
      <c r="N12" s="186"/>
      <c r="O12" s="186"/>
      <c r="P12" s="186"/>
      <c r="Q12" s="187"/>
      <c r="R12" s="253"/>
    </row>
    <row r="13" spans="1:23" ht="14.25" customHeight="1" x14ac:dyDescent="0.25">
      <c r="A13" s="10"/>
      <c r="B13" s="429" t="s">
        <v>203</v>
      </c>
      <c r="C13" s="430"/>
      <c r="D13" s="430"/>
      <c r="E13" s="430"/>
      <c r="F13" s="113" t="s">
        <v>24</v>
      </c>
      <c r="G13" s="436" t="str">
        <f>'ANA SAYFA KESİCİ'!G11</f>
        <v>ULUSOY</v>
      </c>
      <c r="H13" s="434"/>
      <c r="I13" s="434"/>
      <c r="J13" s="430" t="s">
        <v>205</v>
      </c>
      <c r="K13" s="430"/>
      <c r="L13" s="430"/>
      <c r="M13" s="117" t="s">
        <v>128</v>
      </c>
      <c r="N13" s="695" t="str">
        <f>'ANA SAYFA KESİCİ'!O11</f>
        <v>USFB-36R</v>
      </c>
      <c r="O13" s="695"/>
      <c r="P13" s="695"/>
      <c r="Q13" s="696"/>
      <c r="R13" s="95"/>
    </row>
    <row r="14" spans="1:23" ht="5.25" customHeight="1" x14ac:dyDescent="0.25">
      <c r="A14" s="10"/>
      <c r="B14" s="198"/>
      <c r="C14" s="199"/>
      <c r="D14" s="199"/>
      <c r="E14" s="199"/>
      <c r="F14" s="93"/>
      <c r="G14" s="186"/>
      <c r="H14" s="186"/>
      <c r="I14" s="186"/>
      <c r="J14" s="191"/>
      <c r="K14" s="191"/>
      <c r="L14" s="195"/>
      <c r="M14" s="186"/>
      <c r="N14" s="186"/>
      <c r="O14" s="186"/>
      <c r="P14" s="186"/>
      <c r="Q14" s="187"/>
      <c r="R14" s="95"/>
    </row>
    <row r="15" spans="1:23" ht="14.25" customHeight="1" x14ac:dyDescent="0.25">
      <c r="A15" s="10"/>
      <c r="B15" s="370" t="s">
        <v>207</v>
      </c>
      <c r="C15" s="371"/>
      <c r="D15" s="371"/>
      <c r="E15" s="371"/>
      <c r="F15" s="113" t="s">
        <v>24</v>
      </c>
      <c r="G15" s="434">
        <f>'ANA SAYFA KESİCİ'!G13</f>
        <v>630</v>
      </c>
      <c r="H15" s="434"/>
      <c r="I15" s="434"/>
      <c r="J15" s="435" t="s">
        <v>126</v>
      </c>
      <c r="K15" s="435"/>
      <c r="L15" s="435"/>
      <c r="M15" s="112" t="s">
        <v>24</v>
      </c>
      <c r="N15" s="436" t="str">
        <f>'ANA SAYFA KESİCİ'!O13</f>
        <v>2016</v>
      </c>
      <c r="O15" s="434"/>
      <c r="P15" s="434"/>
      <c r="Q15" s="645"/>
      <c r="R15" s="95"/>
      <c r="W15" s="188" t="s">
        <v>274</v>
      </c>
    </row>
    <row r="16" spans="1:23" ht="5.25" customHeight="1" x14ac:dyDescent="0.25">
      <c r="A16" s="10"/>
      <c r="B16" s="198"/>
      <c r="C16" s="199"/>
      <c r="D16" s="199"/>
      <c r="E16" s="199"/>
      <c r="F16" s="93"/>
      <c r="G16" s="186"/>
      <c r="H16" s="186"/>
      <c r="I16" s="186"/>
      <c r="J16" s="191"/>
      <c r="K16" s="191"/>
      <c r="L16" s="195"/>
      <c r="M16" s="186"/>
      <c r="N16" s="186"/>
      <c r="O16" s="186"/>
      <c r="P16" s="186"/>
      <c r="Q16" s="187"/>
      <c r="R16" s="95"/>
    </row>
    <row r="17" spans="1:30" ht="14.25" customHeight="1" x14ac:dyDescent="0.25">
      <c r="A17" s="10"/>
      <c r="B17" s="429" t="s">
        <v>84</v>
      </c>
      <c r="C17" s="430"/>
      <c r="D17" s="430"/>
      <c r="E17" s="430"/>
      <c r="F17" s="113" t="s">
        <v>129</v>
      </c>
      <c r="G17" s="646">
        <f>'ANA SAYFA KESİCİ'!G15</f>
        <v>36000</v>
      </c>
      <c r="H17" s="646"/>
      <c r="I17" s="646"/>
      <c r="J17" s="435" t="s">
        <v>127</v>
      </c>
      <c r="K17" s="435"/>
      <c r="L17" s="435"/>
      <c r="M17" s="112" t="s">
        <v>24</v>
      </c>
      <c r="N17" s="434">
        <f>'ANA SAYFA KESİCİ'!O15</f>
        <v>2196</v>
      </c>
      <c r="O17" s="434"/>
      <c r="P17" s="434"/>
      <c r="Q17" s="645"/>
      <c r="R17" s="95"/>
      <c r="W17" s="188" t="s">
        <v>275</v>
      </c>
    </row>
    <row r="18" spans="1:30" ht="5.25" customHeight="1" x14ac:dyDescent="0.25">
      <c r="A18" s="10"/>
      <c r="B18" s="198"/>
      <c r="C18" s="199"/>
      <c r="D18" s="199"/>
      <c r="E18" s="199"/>
      <c r="F18" s="93"/>
      <c r="G18" s="186"/>
      <c r="H18" s="186"/>
      <c r="I18" s="186"/>
      <c r="J18" s="191"/>
      <c r="K18" s="191"/>
      <c r="L18" s="195"/>
      <c r="M18" s="186"/>
      <c r="N18" s="186"/>
      <c r="O18" s="186"/>
      <c r="P18" s="186"/>
      <c r="Q18" s="187"/>
      <c r="R18" s="95"/>
    </row>
    <row r="19" spans="1:30" ht="14.25" customHeight="1" x14ac:dyDescent="0.25">
      <c r="A19" s="10"/>
      <c r="B19" s="459" t="s">
        <v>209</v>
      </c>
      <c r="C19" s="435"/>
      <c r="D19" s="435"/>
      <c r="E19" s="435"/>
      <c r="F19" s="112" t="s">
        <v>24</v>
      </c>
      <c r="G19" s="434" t="str">
        <f>'ANA SAYFA KESİCİ'!G17</f>
        <v>220 Vac</v>
      </c>
      <c r="H19" s="434"/>
      <c r="I19" s="434"/>
      <c r="J19" s="435" t="s">
        <v>211</v>
      </c>
      <c r="K19" s="435"/>
      <c r="L19" s="435"/>
      <c r="M19" s="112" t="s">
        <v>24</v>
      </c>
      <c r="N19" s="434" t="str">
        <f>'ANA SAYFA KESİCİ'!O17</f>
        <v>24 Vdc</v>
      </c>
      <c r="O19" s="434"/>
      <c r="P19" s="434"/>
      <c r="Q19" s="645"/>
      <c r="R19" s="95"/>
      <c r="S19" s="254" t="s">
        <v>276</v>
      </c>
      <c r="T19" s="254" t="s">
        <v>276</v>
      </c>
      <c r="U19" s="255" t="s">
        <v>276</v>
      </c>
      <c r="V19" s="254"/>
    </row>
    <row r="20" spans="1:30" ht="5.25" customHeight="1" x14ac:dyDescent="0.25">
      <c r="A20" s="10"/>
      <c r="B20" s="190"/>
      <c r="C20" s="191"/>
      <c r="D20" s="191"/>
      <c r="E20" s="191"/>
      <c r="F20" s="186"/>
      <c r="G20" s="256"/>
      <c r="H20" s="256"/>
      <c r="I20" s="256"/>
      <c r="J20" s="191"/>
      <c r="K20" s="191"/>
      <c r="L20" s="191"/>
      <c r="M20" s="186"/>
      <c r="N20" s="256"/>
      <c r="O20" s="256"/>
      <c r="P20" s="256"/>
      <c r="Q20" s="257"/>
      <c r="R20" s="11"/>
      <c r="S20" s="254"/>
      <c r="T20" s="254"/>
      <c r="U20" s="254"/>
      <c r="V20" s="254"/>
    </row>
    <row r="21" spans="1:30" ht="18.75" x14ac:dyDescent="0.25">
      <c r="A21" s="10"/>
      <c r="B21" s="403" t="s">
        <v>277</v>
      </c>
      <c r="C21" s="404"/>
      <c r="D21" s="404"/>
      <c r="E21" s="404"/>
      <c r="F21" s="404"/>
      <c r="G21" s="404"/>
      <c r="H21" s="404"/>
      <c r="I21" s="404"/>
      <c r="J21" s="404"/>
      <c r="K21" s="404"/>
      <c r="L21" s="404"/>
      <c r="M21" s="404"/>
      <c r="N21" s="404"/>
      <c r="O21" s="404"/>
      <c r="P21" s="404"/>
      <c r="Q21" s="405"/>
      <c r="R21" s="11"/>
      <c r="S21" s="258">
        <v>80</v>
      </c>
      <c r="T21" s="258">
        <v>120</v>
      </c>
      <c r="U21" s="254">
        <v>5</v>
      </c>
      <c r="V21" s="254"/>
      <c r="W21" s="188">
        <v>0</v>
      </c>
    </row>
    <row r="22" spans="1:30" ht="8.25" customHeight="1" x14ac:dyDescent="0.25">
      <c r="A22" s="10"/>
      <c r="B22" s="210"/>
      <c r="C22" s="209"/>
      <c r="D22" s="209"/>
      <c r="E22" s="209"/>
      <c r="F22" s="209"/>
      <c r="G22" s="209"/>
      <c r="H22" s="209"/>
      <c r="I22" s="209"/>
      <c r="J22" s="209"/>
      <c r="K22" s="211"/>
      <c r="L22" s="211"/>
      <c r="M22" s="211"/>
      <c r="N22" s="211"/>
      <c r="O22" s="211"/>
      <c r="P22" s="211"/>
      <c r="Q22" s="54"/>
      <c r="R22" s="11"/>
      <c r="S22" s="254"/>
      <c r="T22" s="254"/>
      <c r="U22" s="254"/>
      <c r="V22" s="254"/>
    </row>
    <row r="23" spans="1:30" ht="18.75" x14ac:dyDescent="0.25">
      <c r="A23" s="35"/>
      <c r="B23" s="403" t="s">
        <v>278</v>
      </c>
      <c r="C23" s="404"/>
      <c r="D23" s="404"/>
      <c r="E23" s="404"/>
      <c r="F23" s="404"/>
      <c r="G23" s="404"/>
      <c r="H23" s="404"/>
      <c r="I23" s="405"/>
      <c r="J23" s="403" t="s">
        <v>279</v>
      </c>
      <c r="K23" s="404"/>
      <c r="L23" s="404"/>
      <c r="M23" s="404"/>
      <c r="N23" s="404"/>
      <c r="O23" s="404"/>
      <c r="P23" s="404"/>
      <c r="Q23" s="405"/>
      <c r="R23" s="11"/>
      <c r="S23" s="254"/>
      <c r="T23" s="254"/>
      <c r="U23" s="254"/>
      <c r="V23" s="254"/>
      <c r="Y23" s="684"/>
      <c r="Z23" s="684"/>
    </row>
    <row r="24" spans="1:30" ht="12" customHeight="1" x14ac:dyDescent="0.25">
      <c r="A24" s="35"/>
      <c r="B24" s="186"/>
      <c r="C24" s="186"/>
      <c r="D24" s="186"/>
      <c r="E24" s="186"/>
      <c r="F24" s="186"/>
      <c r="G24" s="186"/>
      <c r="I24" s="1"/>
      <c r="J24" s="186"/>
      <c r="K24" s="186"/>
      <c r="L24" s="186"/>
      <c r="M24" s="186"/>
      <c r="Q24" s="9"/>
      <c r="R24" s="11"/>
      <c r="S24" s="254">
        <v>40</v>
      </c>
      <c r="T24" s="254">
        <v>30</v>
      </c>
      <c r="U24" s="254">
        <v>20</v>
      </c>
      <c r="V24" s="254">
        <v>10</v>
      </c>
      <c r="X24" s="259"/>
    </row>
    <row r="25" spans="1:30" x14ac:dyDescent="0.25">
      <c r="A25" s="35"/>
      <c r="B25" s="204" t="s">
        <v>280</v>
      </c>
      <c r="C25" s="583">
        <f>'ANA SAYFA KESİCİ'!C61:D61</f>
        <v>52.63</v>
      </c>
      <c r="D25" s="479"/>
      <c r="E25" s="27" t="s">
        <v>241</v>
      </c>
      <c r="F25" s="675" t="s">
        <v>211</v>
      </c>
      <c r="G25" s="676"/>
      <c r="H25" s="692" t="str">
        <f>'ANA SAYFA KESİCİ'!O17</f>
        <v>24 Vdc</v>
      </c>
      <c r="I25" s="693"/>
      <c r="J25" s="208" t="s">
        <v>280</v>
      </c>
      <c r="K25" s="694">
        <f>'ANA SAYFA KESİCİ'!J61</f>
        <v>69.03</v>
      </c>
      <c r="L25" s="692"/>
      <c r="M25" s="46" t="s">
        <v>241</v>
      </c>
      <c r="N25" s="675" t="s">
        <v>211</v>
      </c>
      <c r="O25" s="676"/>
      <c r="P25" s="692" t="str">
        <f>'ANA SAYFA KESİCİ'!O17</f>
        <v>24 Vdc</v>
      </c>
      <c r="Q25" s="693"/>
      <c r="R25" s="11"/>
      <c r="S25" s="254">
        <v>40</v>
      </c>
      <c r="T25" s="254">
        <v>30</v>
      </c>
      <c r="U25" s="254">
        <v>20</v>
      </c>
      <c r="V25" s="254">
        <v>10</v>
      </c>
      <c r="X25" s="259"/>
      <c r="Y25" s="684"/>
      <c r="Z25" s="684"/>
    </row>
    <row r="26" spans="1:30" x14ac:dyDescent="0.25">
      <c r="A26" s="35"/>
      <c r="B26" s="204" t="s">
        <v>281</v>
      </c>
      <c r="C26" s="583">
        <f>'ANA SAYFA KESİCİ'!C63:D63</f>
        <v>54.14</v>
      </c>
      <c r="D26" s="479"/>
      <c r="E26" s="27" t="s">
        <v>241</v>
      </c>
      <c r="F26" s="677"/>
      <c r="G26" s="678"/>
      <c r="H26" s="407"/>
      <c r="I26" s="408"/>
      <c r="J26" s="208" t="s">
        <v>281</v>
      </c>
      <c r="K26" s="583">
        <f>'ANA SAYFA KESİCİ'!J63</f>
        <v>66.569999999999993</v>
      </c>
      <c r="L26" s="479"/>
      <c r="M26" s="27" t="s">
        <v>241</v>
      </c>
      <c r="N26" s="677"/>
      <c r="O26" s="678"/>
      <c r="P26" s="407"/>
      <c r="Q26" s="408"/>
      <c r="R26" s="11"/>
    </row>
    <row r="27" spans="1:30" x14ac:dyDescent="0.25">
      <c r="A27" s="35"/>
      <c r="B27" s="204" t="s">
        <v>282</v>
      </c>
      <c r="C27" s="583">
        <f>'ANA SAYFA KESİCİ'!C65:D65</f>
        <v>50.45</v>
      </c>
      <c r="D27" s="479"/>
      <c r="E27" s="27" t="s">
        <v>241</v>
      </c>
      <c r="F27" s="675" t="s">
        <v>283</v>
      </c>
      <c r="G27" s="676"/>
      <c r="H27" s="679">
        <f>'ANA SAYFA KESİCİ'!F65</f>
        <v>1.3</v>
      </c>
      <c r="I27" s="598" t="s">
        <v>25</v>
      </c>
      <c r="J27" s="208" t="s">
        <v>282</v>
      </c>
      <c r="K27" s="583">
        <f>'ANA SAYFA KESİCİ'!J65</f>
        <v>68.790000000000006</v>
      </c>
      <c r="L27" s="479"/>
      <c r="M27" s="27" t="s">
        <v>241</v>
      </c>
      <c r="N27" s="675" t="s">
        <v>283</v>
      </c>
      <c r="O27" s="676"/>
      <c r="P27" s="679">
        <f>'ANA SAYFA KESİCİ'!M65</f>
        <v>1.3</v>
      </c>
      <c r="Q27" s="598" t="s">
        <v>25</v>
      </c>
      <c r="R27" s="11"/>
      <c r="Y27" s="684"/>
      <c r="Z27" s="684"/>
    </row>
    <row r="28" spans="1:30" x14ac:dyDescent="0.25">
      <c r="A28" s="35"/>
      <c r="B28" s="685" t="s">
        <v>284</v>
      </c>
      <c r="C28" s="686"/>
      <c r="D28" s="686"/>
      <c r="E28" s="687"/>
      <c r="F28" s="677"/>
      <c r="G28" s="678"/>
      <c r="H28" s="680"/>
      <c r="I28" s="416"/>
      <c r="J28" s="685" t="s">
        <v>284</v>
      </c>
      <c r="K28" s="686"/>
      <c r="L28" s="686"/>
      <c r="M28" s="687"/>
      <c r="N28" s="677"/>
      <c r="O28" s="678"/>
      <c r="P28" s="680"/>
      <c r="Q28" s="416"/>
      <c r="R28" s="11"/>
      <c r="W28" s="378" t="s">
        <v>285</v>
      </c>
      <c r="X28" s="378"/>
      <c r="Y28" s="378"/>
      <c r="Z28" s="378"/>
      <c r="AA28" s="378"/>
      <c r="AB28" s="378"/>
      <c r="AC28" s="378"/>
      <c r="AD28" s="378"/>
    </row>
    <row r="29" spans="1:30" ht="15" customHeight="1" x14ac:dyDescent="0.25">
      <c r="A29" s="10"/>
      <c r="B29" s="656">
        <f>'ANA SAYFA KESİCİ'!F61</f>
        <v>3.6899999999999977</v>
      </c>
      <c r="C29" s="688"/>
      <c r="D29" s="688"/>
      <c r="E29" s="260" t="s">
        <v>241</v>
      </c>
      <c r="F29" s="689" t="str">
        <f>IF(B29&gt;5,W17,W15)</f>
        <v>Uygun</v>
      </c>
      <c r="G29" s="690"/>
      <c r="H29" s="690"/>
      <c r="I29" s="691"/>
      <c r="J29" s="685">
        <f>'ANA SAYFA KESİCİ'!M61</f>
        <v>2.460000000000008</v>
      </c>
      <c r="K29" s="686"/>
      <c r="L29" s="686"/>
      <c r="M29" s="261" t="s">
        <v>241</v>
      </c>
      <c r="N29" s="689" t="str">
        <f>IF(J29&gt;5,W17,W15)</f>
        <v>Uygun</v>
      </c>
      <c r="O29" s="690"/>
      <c r="P29" s="690"/>
      <c r="Q29" s="691"/>
      <c r="R29" s="11"/>
      <c r="W29" s="262"/>
      <c r="X29" s="262"/>
      <c r="Y29" s="262"/>
      <c r="Z29" s="262"/>
      <c r="AA29" s="262"/>
      <c r="AB29" s="262"/>
      <c r="AC29" s="262"/>
      <c r="AD29" s="262"/>
    </row>
    <row r="30" spans="1:30" ht="9" customHeight="1" x14ac:dyDescent="0.25">
      <c r="A30" s="10"/>
      <c r="B30" s="171"/>
      <c r="C30" s="212"/>
      <c r="D30" s="212"/>
      <c r="E30" s="212"/>
      <c r="F30" s="212"/>
      <c r="G30" s="212"/>
      <c r="H30" s="212"/>
      <c r="O30" s="212"/>
      <c r="P30" s="212"/>
      <c r="Q30" s="170"/>
      <c r="R30" s="11"/>
      <c r="W30" s="378" t="s">
        <v>286</v>
      </c>
      <c r="X30" s="378"/>
      <c r="Y30" s="378"/>
      <c r="Z30" s="378"/>
      <c r="AA30" s="378"/>
      <c r="AB30" s="378"/>
      <c r="AC30" s="378"/>
      <c r="AD30" s="378"/>
    </row>
    <row r="31" spans="1:30" ht="15" customHeight="1" x14ac:dyDescent="0.25">
      <c r="A31" s="10"/>
      <c r="B31" s="177"/>
      <c r="C31" s="176"/>
      <c r="D31" s="176"/>
      <c r="E31" s="176"/>
      <c r="F31" s="176"/>
      <c r="G31" s="176"/>
      <c r="H31" s="176"/>
      <c r="O31" s="176"/>
      <c r="P31" s="176"/>
      <c r="Q31" s="178"/>
      <c r="R31" s="11"/>
      <c r="U31" s="1"/>
      <c r="W31" s="378" t="s">
        <v>287</v>
      </c>
      <c r="X31" s="378"/>
      <c r="Y31" s="378"/>
      <c r="Z31" s="378"/>
      <c r="AA31" s="378"/>
      <c r="AB31" s="378"/>
      <c r="AC31" s="378"/>
      <c r="AD31" s="378"/>
    </row>
    <row r="32" spans="1:30" x14ac:dyDescent="0.25">
      <c r="A32" s="10"/>
      <c r="B32" s="3"/>
      <c r="C32" s="186"/>
      <c r="D32" s="186"/>
      <c r="E32" s="186"/>
      <c r="F32" s="186"/>
      <c r="G32" s="186"/>
      <c r="H32" s="186"/>
      <c r="O32" s="186"/>
      <c r="P32" s="186"/>
      <c r="Q32" s="187"/>
      <c r="R32" s="11"/>
      <c r="U32" s="1"/>
      <c r="W32" s="378" t="s">
        <v>288</v>
      </c>
      <c r="X32" s="378"/>
      <c r="Y32" s="378"/>
      <c r="Z32" s="378"/>
      <c r="AA32" s="378"/>
      <c r="AB32" s="378"/>
      <c r="AC32" s="378"/>
      <c r="AD32" s="378"/>
    </row>
    <row r="33" spans="1:36" x14ac:dyDescent="0.25">
      <c r="A33" s="10"/>
      <c r="B33" s="3"/>
      <c r="C33" s="186"/>
      <c r="D33" s="186"/>
      <c r="E33" s="186"/>
      <c r="F33" s="186"/>
      <c r="G33" s="186"/>
      <c r="H33" s="186"/>
      <c r="O33" s="186"/>
      <c r="P33" s="186"/>
      <c r="Q33" s="187"/>
      <c r="R33" s="11"/>
      <c r="W33" s="378" t="s">
        <v>289</v>
      </c>
      <c r="X33" s="378"/>
      <c r="Y33" s="378"/>
      <c r="Z33" s="378"/>
      <c r="AA33" s="378"/>
      <c r="AB33" s="378"/>
      <c r="AC33" s="378"/>
      <c r="AD33" s="378"/>
    </row>
    <row r="34" spans="1:36" x14ac:dyDescent="0.25">
      <c r="A34" s="10"/>
      <c r="B34" s="25"/>
      <c r="C34" s="26"/>
      <c r="D34" s="26"/>
      <c r="E34" s="26"/>
      <c r="F34" s="186"/>
      <c r="G34" s="186"/>
      <c r="H34" s="186"/>
      <c r="I34" s="186"/>
      <c r="J34" s="186"/>
      <c r="K34" s="186"/>
      <c r="L34" s="186"/>
      <c r="M34" s="186"/>
      <c r="N34" s="186"/>
      <c r="O34" s="186"/>
      <c r="P34" s="186"/>
      <c r="Q34" s="187"/>
      <c r="R34" s="11"/>
    </row>
    <row r="35" spans="1:36" x14ac:dyDescent="0.25">
      <c r="A35" s="10"/>
      <c r="B35" s="3"/>
      <c r="C35" s="186"/>
      <c r="D35" s="186"/>
      <c r="E35" s="186"/>
      <c r="F35" s="186"/>
      <c r="G35" s="186"/>
      <c r="H35" s="186"/>
      <c r="I35" s="186"/>
      <c r="J35" s="186"/>
      <c r="K35" s="186"/>
      <c r="L35" s="186"/>
      <c r="M35" s="186"/>
      <c r="N35" s="186"/>
      <c r="O35" s="186"/>
      <c r="P35" s="186"/>
      <c r="Q35" s="187"/>
      <c r="R35" s="11"/>
    </row>
    <row r="36" spans="1:36" x14ac:dyDescent="0.25">
      <c r="A36" s="10"/>
      <c r="B36" s="3"/>
      <c r="C36" s="186"/>
      <c r="D36" s="186"/>
      <c r="E36" s="186"/>
      <c r="F36" s="186"/>
      <c r="G36" s="186"/>
      <c r="H36" s="186"/>
      <c r="I36" s="186"/>
      <c r="J36" s="186"/>
      <c r="K36" s="186"/>
      <c r="L36" s="186"/>
      <c r="M36" s="186"/>
      <c r="N36" s="186"/>
      <c r="O36" s="186"/>
      <c r="P36" s="186"/>
      <c r="Q36" s="187"/>
      <c r="R36" s="11"/>
    </row>
    <row r="37" spans="1:36" ht="72" customHeight="1" x14ac:dyDescent="0.25">
      <c r="A37" s="10"/>
      <c r="B37" s="3"/>
      <c r="C37" s="186"/>
      <c r="D37" s="186"/>
      <c r="E37" s="186"/>
      <c r="F37" s="24"/>
      <c r="G37" s="186"/>
      <c r="H37" s="186"/>
      <c r="I37" s="186"/>
      <c r="J37" s="186"/>
      <c r="K37" s="186"/>
      <c r="L37" s="186"/>
      <c r="M37" s="186"/>
      <c r="N37" s="186"/>
      <c r="O37" s="186"/>
      <c r="P37" s="186"/>
      <c r="Q37" s="187"/>
      <c r="R37" s="11"/>
      <c r="T37" s="1"/>
      <c r="X37" s="1"/>
    </row>
    <row r="38" spans="1:36" ht="26.25" customHeight="1" x14ac:dyDescent="0.25">
      <c r="A38" s="10"/>
      <c r="B38" s="3"/>
      <c r="C38" s="186"/>
      <c r="D38" s="186"/>
      <c r="E38" s="186"/>
      <c r="F38" s="24"/>
      <c r="G38" s="186"/>
      <c r="H38" s="186"/>
      <c r="I38" s="186"/>
      <c r="J38" s="186"/>
      <c r="K38" s="186"/>
      <c r="L38" s="186"/>
      <c r="M38" s="186"/>
      <c r="N38" s="186"/>
      <c r="O38" s="186"/>
      <c r="P38" s="186"/>
      <c r="Q38" s="187"/>
      <c r="R38" s="11"/>
      <c r="W38" s="516" t="s">
        <v>360</v>
      </c>
      <c r="X38" s="516"/>
      <c r="Y38" s="516"/>
      <c r="Z38" s="516"/>
      <c r="AA38" s="516"/>
      <c r="AB38" s="516"/>
      <c r="AC38" s="516"/>
      <c r="AD38" s="516"/>
      <c r="AE38" s="516"/>
      <c r="AF38" s="516"/>
      <c r="AG38" s="516"/>
      <c r="AH38" s="516"/>
      <c r="AI38" s="516"/>
      <c r="AJ38" s="516"/>
    </row>
    <row r="39" spans="1:36" ht="15.75" x14ac:dyDescent="0.25">
      <c r="A39" s="35"/>
      <c r="B39" s="681" t="s">
        <v>290</v>
      </c>
      <c r="C39" s="682"/>
      <c r="D39" s="682"/>
      <c r="E39" s="682"/>
      <c r="F39" s="682"/>
      <c r="G39" s="682"/>
      <c r="H39" s="682"/>
      <c r="I39" s="682"/>
      <c r="J39" s="682"/>
      <c r="K39" s="682"/>
      <c r="L39" s="682"/>
      <c r="M39" s="682"/>
      <c r="N39" s="682"/>
      <c r="O39" s="682"/>
      <c r="P39" s="682"/>
      <c r="Q39" s="683"/>
      <c r="R39" s="11"/>
      <c r="V39" s="243"/>
      <c r="W39" s="516" t="s">
        <v>291</v>
      </c>
      <c r="X39" s="516"/>
      <c r="Y39" s="516"/>
      <c r="Z39" s="516"/>
      <c r="AA39" s="516"/>
      <c r="AB39" s="516"/>
      <c r="AC39" s="516"/>
      <c r="AD39" s="516"/>
      <c r="AE39" s="516"/>
      <c r="AF39" s="516"/>
      <c r="AG39" s="516"/>
      <c r="AH39" s="516"/>
      <c r="AI39" s="516"/>
      <c r="AJ39" s="516"/>
    </row>
    <row r="40" spans="1:36" ht="15" customHeight="1" x14ac:dyDescent="0.25">
      <c r="A40" s="35"/>
      <c r="B40" s="671" t="s">
        <v>292</v>
      </c>
      <c r="C40" s="672"/>
      <c r="D40" s="672"/>
      <c r="E40" s="672"/>
      <c r="F40" s="672"/>
      <c r="G40" s="672"/>
      <c r="H40" s="672"/>
      <c r="I40" s="672"/>
      <c r="J40" s="672"/>
      <c r="K40" s="672"/>
      <c r="L40" s="672"/>
      <c r="M40" s="672"/>
      <c r="N40" s="672"/>
      <c r="O40" s="672"/>
      <c r="P40" s="672"/>
      <c r="Q40" s="673"/>
      <c r="R40" s="11"/>
      <c r="V40" s="243"/>
      <c r="W40" s="516" t="s">
        <v>361</v>
      </c>
      <c r="X40" s="516"/>
      <c r="Y40" s="516"/>
      <c r="Z40" s="516"/>
      <c r="AA40" s="516"/>
      <c r="AB40" s="516"/>
      <c r="AC40" s="516"/>
      <c r="AD40" s="516"/>
      <c r="AE40" s="516"/>
      <c r="AF40" s="516"/>
      <c r="AG40" s="516"/>
      <c r="AH40" s="516"/>
      <c r="AI40" s="516"/>
      <c r="AJ40" s="516"/>
    </row>
    <row r="41" spans="1:36" ht="15" customHeight="1" x14ac:dyDescent="0.25">
      <c r="A41" s="35"/>
      <c r="B41" s="671" t="s">
        <v>293</v>
      </c>
      <c r="C41" s="672"/>
      <c r="D41" s="672"/>
      <c r="E41" s="672"/>
      <c r="F41" s="672"/>
      <c r="G41" s="672"/>
      <c r="H41" s="672"/>
      <c r="I41" s="672"/>
      <c r="J41" s="672"/>
      <c r="K41" s="672"/>
      <c r="L41" s="672"/>
      <c r="M41" s="672"/>
      <c r="N41" s="672"/>
      <c r="O41" s="672"/>
      <c r="P41" s="672"/>
      <c r="Q41" s="673"/>
      <c r="R41" s="11"/>
      <c r="V41" s="243"/>
      <c r="W41" s="516" t="s">
        <v>294</v>
      </c>
      <c r="X41" s="516"/>
      <c r="Y41" s="516"/>
      <c r="Z41" s="516"/>
      <c r="AA41" s="516"/>
      <c r="AB41" s="516"/>
      <c r="AC41" s="516"/>
      <c r="AD41" s="516"/>
      <c r="AE41" s="516"/>
      <c r="AF41" s="516"/>
      <c r="AG41" s="516"/>
      <c r="AH41" s="516"/>
      <c r="AI41" s="516"/>
      <c r="AJ41" s="516"/>
    </row>
    <row r="42" spans="1:36" ht="15" customHeight="1" x14ac:dyDescent="0.25">
      <c r="A42" s="35"/>
      <c r="B42" s="671" t="s">
        <v>295</v>
      </c>
      <c r="C42" s="672"/>
      <c r="D42" s="672"/>
      <c r="E42" s="672"/>
      <c r="F42" s="672"/>
      <c r="G42" s="672"/>
      <c r="H42" s="672"/>
      <c r="I42" s="672"/>
      <c r="J42" s="672"/>
      <c r="K42" s="672"/>
      <c r="L42" s="672"/>
      <c r="M42" s="672"/>
      <c r="N42" s="672"/>
      <c r="O42" s="672"/>
      <c r="P42" s="672"/>
      <c r="Q42" s="673"/>
      <c r="R42" s="11"/>
      <c r="W42" s="516" t="s">
        <v>362</v>
      </c>
      <c r="X42" s="516"/>
      <c r="Y42" s="516"/>
      <c r="Z42" s="516"/>
      <c r="AA42" s="516"/>
      <c r="AB42" s="516"/>
      <c r="AC42" s="516"/>
      <c r="AD42" s="516"/>
      <c r="AE42" s="516"/>
      <c r="AF42" s="516"/>
      <c r="AG42" s="516"/>
      <c r="AH42" s="516"/>
      <c r="AI42" s="516"/>
      <c r="AJ42" s="516"/>
    </row>
    <row r="43" spans="1:36" ht="15" customHeight="1" x14ac:dyDescent="0.25">
      <c r="A43" s="35"/>
      <c r="B43" s="671" t="s">
        <v>296</v>
      </c>
      <c r="C43" s="672"/>
      <c r="D43" s="672"/>
      <c r="E43" s="672"/>
      <c r="F43" s="672"/>
      <c r="G43" s="672"/>
      <c r="H43" s="672"/>
      <c r="I43" s="672"/>
      <c r="J43" s="672"/>
      <c r="K43" s="672"/>
      <c r="L43" s="672"/>
      <c r="M43" s="672"/>
      <c r="N43" s="672"/>
      <c r="O43" s="672"/>
      <c r="P43" s="672"/>
      <c r="Q43" s="673"/>
      <c r="R43" s="11"/>
      <c r="V43" s="243"/>
      <c r="W43" s="516" t="s">
        <v>297</v>
      </c>
      <c r="X43" s="516"/>
      <c r="Y43" s="516"/>
      <c r="Z43" s="516"/>
      <c r="AA43" s="516"/>
      <c r="AB43" s="516"/>
      <c r="AC43" s="516"/>
      <c r="AD43" s="516"/>
      <c r="AE43" s="516"/>
      <c r="AF43" s="516"/>
      <c r="AG43" s="516"/>
      <c r="AH43" s="516"/>
      <c r="AI43" s="516"/>
      <c r="AJ43" s="516"/>
    </row>
    <row r="44" spans="1:36" ht="4.5" customHeight="1" x14ac:dyDescent="0.25">
      <c r="A44" s="10"/>
      <c r="B44" s="56"/>
      <c r="C44" s="195"/>
      <c r="D44" s="195"/>
      <c r="E44" s="195"/>
      <c r="F44" s="195"/>
      <c r="G44" s="195"/>
      <c r="H44" s="195"/>
      <c r="I44" s="195"/>
      <c r="J44" s="195"/>
      <c r="K44" s="186"/>
      <c r="L44" s="186"/>
      <c r="M44" s="186"/>
      <c r="N44" s="186"/>
      <c r="O44" s="186"/>
      <c r="P44" s="186"/>
      <c r="Q44" s="170"/>
      <c r="R44" s="11"/>
    </row>
    <row r="45" spans="1:36" ht="15.75" customHeight="1" x14ac:dyDescent="0.25">
      <c r="A45" s="10"/>
      <c r="B45" s="545" t="s">
        <v>35</v>
      </c>
      <c r="C45" s="545"/>
      <c r="D45" s="674" t="str">
        <f>IF(OR(C25&gt;S21,C26&gt;S21,C27&gt;S21),W39,W38)</f>
        <v>Kesicinin Açma süreleri ve bobin akım değerleri uygundur.</v>
      </c>
      <c r="E45" s="514"/>
      <c r="F45" s="514"/>
      <c r="G45" s="514"/>
      <c r="H45" s="514"/>
      <c r="I45" s="514"/>
      <c r="J45" s="514"/>
      <c r="K45" s="514"/>
      <c r="L45" s="514"/>
      <c r="M45" s="514"/>
      <c r="N45" s="514"/>
      <c r="O45" s="514"/>
      <c r="P45" s="514"/>
      <c r="Q45" s="515"/>
      <c r="R45" s="11"/>
    </row>
    <row r="46" spans="1:36" ht="15" customHeight="1" x14ac:dyDescent="0.25">
      <c r="A46" s="10"/>
      <c r="B46" s="171"/>
      <c r="C46" s="24"/>
      <c r="D46" s="516" t="str">
        <f>IF(OR(K25&gt;T21,K26&gt;T21,K27&gt;T21),W41,W40)</f>
        <v>Kesicinin Kapama süreleri ve bobin akım değerleri uygundur.</v>
      </c>
      <c r="E46" s="516"/>
      <c r="F46" s="516"/>
      <c r="G46" s="516"/>
      <c r="H46" s="516"/>
      <c r="I46" s="516"/>
      <c r="J46" s="516"/>
      <c r="K46" s="516"/>
      <c r="L46" s="516"/>
      <c r="M46" s="516"/>
      <c r="N46" s="516"/>
      <c r="O46" s="516"/>
      <c r="P46" s="516"/>
      <c r="Q46" s="517"/>
      <c r="R46" s="11"/>
    </row>
    <row r="47" spans="1:36" ht="15" customHeight="1" x14ac:dyDescent="0.25">
      <c r="A47" s="10"/>
      <c r="B47" s="171"/>
      <c r="C47" s="24"/>
      <c r="D47" s="516" t="str">
        <f>IF(OR(B29&gt;U21,J29&gt;U21),W43,W42)</f>
        <v>Kesicinin Açma-Kapama Süresi Faz Uyuşmazlığı uygundur.</v>
      </c>
      <c r="E47" s="516"/>
      <c r="F47" s="516"/>
      <c r="G47" s="516"/>
      <c r="H47" s="516"/>
      <c r="I47" s="516"/>
      <c r="J47" s="516"/>
      <c r="K47" s="516"/>
      <c r="L47" s="516"/>
      <c r="M47" s="516"/>
      <c r="N47" s="516"/>
      <c r="O47" s="516"/>
      <c r="P47" s="516"/>
      <c r="Q47" s="517"/>
      <c r="R47" s="11"/>
    </row>
    <row r="48" spans="1:36" s="325" customFormat="1" ht="22.5" customHeight="1" x14ac:dyDescent="0.25">
      <c r="A48" s="10"/>
      <c r="B48" s="520" t="s">
        <v>357</v>
      </c>
      <c r="C48" s="521"/>
      <c r="D48" s="521"/>
      <c r="E48" s="330" t="s">
        <v>24</v>
      </c>
      <c r="F48" s="518" t="s">
        <v>395</v>
      </c>
      <c r="G48" s="518"/>
      <c r="H48" s="518"/>
      <c r="I48" s="519"/>
      <c r="J48" s="403" t="s">
        <v>322</v>
      </c>
      <c r="K48" s="404"/>
      <c r="L48" s="404"/>
      <c r="M48" s="404"/>
      <c r="N48" s="404"/>
      <c r="O48" s="404"/>
      <c r="P48" s="404"/>
      <c r="Q48" s="405"/>
      <c r="R48" s="11"/>
    </row>
    <row r="49" spans="1:20" s="325" customFormat="1" ht="22.5" customHeight="1" x14ac:dyDescent="0.25">
      <c r="A49" s="10"/>
      <c r="B49" s="520" t="s">
        <v>386</v>
      </c>
      <c r="C49" s="521"/>
      <c r="D49" s="521"/>
      <c r="E49" s="330" t="s">
        <v>24</v>
      </c>
      <c r="F49" s="522">
        <f>'ANA SAYFA KESİCİ'!F75</f>
        <v>45307</v>
      </c>
      <c r="G49" s="518"/>
      <c r="H49" s="518"/>
      <c r="I49" s="519"/>
      <c r="J49" s="75"/>
      <c r="K49" s="76"/>
      <c r="L49" s="176"/>
      <c r="M49" s="176"/>
      <c r="N49" s="176"/>
      <c r="O49" s="176"/>
      <c r="P49" s="176"/>
      <c r="Q49" s="178"/>
      <c r="R49" s="11"/>
    </row>
    <row r="50" spans="1:20" s="325" customFormat="1" ht="22.5" customHeight="1" x14ac:dyDescent="0.25">
      <c r="A50" s="10"/>
      <c r="B50" s="495" t="s">
        <v>192</v>
      </c>
      <c r="C50" s="496"/>
      <c r="D50" s="496"/>
      <c r="E50" s="331" t="s">
        <v>24</v>
      </c>
      <c r="F50" s="521">
        <f>'ANA SAYFA KESİCİ'!F77</f>
        <v>88258</v>
      </c>
      <c r="G50" s="521"/>
      <c r="H50" s="521"/>
      <c r="I50" s="523"/>
      <c r="J50" s="75"/>
      <c r="K50" s="76"/>
      <c r="L50" s="176"/>
      <c r="M50" s="176"/>
      <c r="N50" s="176"/>
      <c r="O50" s="176"/>
      <c r="P50" s="176"/>
      <c r="Q50" s="178"/>
      <c r="R50" s="11"/>
    </row>
    <row r="51" spans="1:20" s="325" customFormat="1" ht="22.5" customHeight="1" x14ac:dyDescent="0.25">
      <c r="A51" s="10"/>
      <c r="B51" s="495" t="s">
        <v>358</v>
      </c>
      <c r="C51" s="496"/>
      <c r="D51" s="496"/>
      <c r="E51" s="324" t="s">
        <v>24</v>
      </c>
      <c r="F51" s="496" t="str">
        <f>'ANA SAYFA KESİCİ'!F78</f>
        <v>K202439698</v>
      </c>
      <c r="G51" s="496"/>
      <c r="H51" s="496"/>
      <c r="I51" s="497"/>
      <c r="J51" s="336"/>
      <c r="K51" s="182"/>
      <c r="L51" s="182"/>
      <c r="M51" s="182"/>
      <c r="N51" s="182"/>
      <c r="O51" s="182"/>
      <c r="P51" s="182"/>
      <c r="Q51" s="179"/>
      <c r="R51" s="11"/>
    </row>
    <row r="52" spans="1:20" ht="15.75" thickBot="1" x14ac:dyDescent="0.3">
      <c r="A52" s="15"/>
      <c r="B52" s="16"/>
      <c r="C52" s="16"/>
      <c r="D52" s="16"/>
      <c r="E52" s="16"/>
      <c r="F52" s="16"/>
      <c r="G52" s="16"/>
      <c r="H52" s="16"/>
      <c r="I52" s="16"/>
      <c r="J52" s="16"/>
      <c r="K52" s="16"/>
      <c r="L52" s="16"/>
      <c r="M52" s="16"/>
      <c r="N52" s="16"/>
      <c r="O52" s="16"/>
      <c r="P52" s="16"/>
      <c r="Q52" s="16"/>
      <c r="R52" s="17"/>
    </row>
    <row r="56" spans="1:20" ht="18.75" x14ac:dyDescent="0.25">
      <c r="S56" s="76"/>
      <c r="T56" s="1"/>
    </row>
    <row r="57" spans="1:20" x14ac:dyDescent="0.25">
      <c r="S57" s="186"/>
      <c r="T57" s="1"/>
    </row>
    <row r="58" spans="1:20" x14ac:dyDescent="0.25">
      <c r="S58" s="225"/>
      <c r="T58" s="1"/>
    </row>
    <row r="59" spans="1:20" x14ac:dyDescent="0.25">
      <c r="S59" s="186"/>
      <c r="T59" s="1"/>
    </row>
    <row r="60" spans="1:20" x14ac:dyDescent="0.25">
      <c r="S60" s="263"/>
      <c r="T60" s="1"/>
    </row>
    <row r="61" spans="1:20" x14ac:dyDescent="0.25">
      <c r="S61" s="186"/>
      <c r="T61" s="1"/>
    </row>
    <row r="62" spans="1:20" x14ac:dyDescent="0.25">
      <c r="S62" s="264"/>
      <c r="T62" s="1"/>
    </row>
    <row r="63" spans="1:20" x14ac:dyDescent="0.25">
      <c r="S63" s="186"/>
      <c r="T63" s="1"/>
    </row>
    <row r="64" spans="1:20" x14ac:dyDescent="0.25">
      <c r="S64" s="264"/>
      <c r="T64" s="1"/>
    </row>
  </sheetData>
  <mergeCells count="88">
    <mergeCell ref="B2:F3"/>
    <mergeCell ref="G2:I2"/>
    <mergeCell ref="K2:Q2"/>
    <mergeCell ref="G3:I3"/>
    <mergeCell ref="K3:Q3"/>
    <mergeCell ref="B11:Q11"/>
    <mergeCell ref="B13:E13"/>
    <mergeCell ref="G13:I13"/>
    <mergeCell ref="J13:L13"/>
    <mergeCell ref="B5:Q5"/>
    <mergeCell ref="B7:I7"/>
    <mergeCell ref="J7:Q7"/>
    <mergeCell ref="B9:C9"/>
    <mergeCell ref="D9:G9"/>
    <mergeCell ref="H9:I9"/>
    <mergeCell ref="J9:L9"/>
    <mergeCell ref="M9:N9"/>
    <mergeCell ref="O9:Q9"/>
    <mergeCell ref="N13:Q13"/>
    <mergeCell ref="B17:E17"/>
    <mergeCell ref="G17:I17"/>
    <mergeCell ref="J17:L17"/>
    <mergeCell ref="N17:Q17"/>
    <mergeCell ref="B15:E15"/>
    <mergeCell ref="G15:I15"/>
    <mergeCell ref="J15:L15"/>
    <mergeCell ref="N15:Q15"/>
    <mergeCell ref="B19:E19"/>
    <mergeCell ref="G19:I19"/>
    <mergeCell ref="J19:L19"/>
    <mergeCell ref="N19:Q19"/>
    <mergeCell ref="B21:Q21"/>
    <mergeCell ref="B23:I23"/>
    <mergeCell ref="J23:Q23"/>
    <mergeCell ref="Y23:Z23"/>
    <mergeCell ref="C25:D25"/>
    <mergeCell ref="F25:G26"/>
    <mergeCell ref="H25:I26"/>
    <mergeCell ref="K25:L25"/>
    <mergeCell ref="N25:O26"/>
    <mergeCell ref="P25:Q26"/>
    <mergeCell ref="Y25:Z25"/>
    <mergeCell ref="C26:D26"/>
    <mergeCell ref="K26:L26"/>
    <mergeCell ref="C27:D27"/>
    <mergeCell ref="F27:G28"/>
    <mergeCell ref="H27:H28"/>
    <mergeCell ref="I27:I28"/>
    <mergeCell ref="K27:L27"/>
    <mergeCell ref="N27:O28"/>
    <mergeCell ref="P27:P28"/>
    <mergeCell ref="B39:Q39"/>
    <mergeCell ref="W39:AJ39"/>
    <mergeCell ref="Q27:Q28"/>
    <mergeCell ref="Y27:Z27"/>
    <mergeCell ref="B28:E28"/>
    <mergeCell ref="J28:M28"/>
    <mergeCell ref="W28:AD28"/>
    <mergeCell ref="B29:D29"/>
    <mergeCell ref="F29:I29"/>
    <mergeCell ref="J29:L29"/>
    <mergeCell ref="N29:Q29"/>
    <mergeCell ref="W30:AD30"/>
    <mergeCell ref="W31:AD31"/>
    <mergeCell ref="W32:AD32"/>
    <mergeCell ref="W33:AD33"/>
    <mergeCell ref="W38:AJ38"/>
    <mergeCell ref="B40:Q40"/>
    <mergeCell ref="W40:AJ40"/>
    <mergeCell ref="B41:Q41"/>
    <mergeCell ref="W41:AJ41"/>
    <mergeCell ref="B42:Q42"/>
    <mergeCell ref="W42:AJ42"/>
    <mergeCell ref="W43:AJ43"/>
    <mergeCell ref="B45:C45"/>
    <mergeCell ref="D45:Q45"/>
    <mergeCell ref="B50:D50"/>
    <mergeCell ref="F50:I50"/>
    <mergeCell ref="B51:D51"/>
    <mergeCell ref="F51:I51"/>
    <mergeCell ref="B43:Q43"/>
    <mergeCell ref="D46:Q46"/>
    <mergeCell ref="D47:Q47"/>
    <mergeCell ref="B48:D48"/>
    <mergeCell ref="F48:I48"/>
    <mergeCell ref="B49:D49"/>
    <mergeCell ref="F49:I49"/>
    <mergeCell ref="J48:Q48"/>
  </mergeCells>
  <conditionalFormatting sqref="J29:L29">
    <cfRule type="cellIs" dxfId="7" priority="4" operator="greaterThan">
      <formula>5</formula>
    </cfRule>
  </conditionalFormatting>
  <conditionalFormatting sqref="B29:D29">
    <cfRule type="cellIs" dxfId="6" priority="3" operator="greaterThan">
      <formula>5</formula>
    </cfRule>
  </conditionalFormatting>
  <conditionalFormatting sqref="C25:D27">
    <cfRule type="cellIs" dxfId="5" priority="2" operator="greaterThan">
      <formula>80</formula>
    </cfRule>
  </conditionalFormatting>
  <conditionalFormatting sqref="K25:L27">
    <cfRule type="cellIs" dxfId="4" priority="1" operator="greaterThan">
      <formula>120</formula>
    </cfRule>
  </conditionalFormatting>
  <pageMargins left="0.55118110236220474" right="0.23622047244094488" top="0.3543307086614173" bottom="0.3543307086614173" header="0" footer="0"/>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2C2D9E5E-0F66-4629-BE7A-E10E9C4B25E3}">
            <xm:f>NOT(ISERROR(SEARCH($W$17,F29)))</xm:f>
            <xm:f>$W$17</xm:f>
            <x14:dxf>
              <fill>
                <patternFill>
                  <bgColor rgb="FFFF3B3B"/>
                </patternFill>
              </fill>
            </x14:dxf>
          </x14:cfRule>
          <x14:cfRule type="containsText" priority="8" stopIfTrue="1" operator="containsText" id="{6B8478CC-7DB2-40F7-9D2A-DA7F9F455F5B}">
            <xm:f>NOT(ISERROR(SEARCH($W$15,F29)))</xm:f>
            <xm:f>$W$15</xm:f>
            <x14:dxf>
              <font>
                <b val="0"/>
                <i val="0"/>
              </font>
              <fill>
                <patternFill>
                  <bgColor rgb="FF92D050"/>
                </patternFill>
              </fill>
            </x14:dxf>
          </x14:cfRule>
          <xm:sqref>F29:I29</xm:sqref>
        </x14:conditionalFormatting>
        <x14:conditionalFormatting xmlns:xm="http://schemas.microsoft.com/office/excel/2006/main">
          <x14:cfRule type="containsText" priority="5" operator="containsText" id="{5F6045E8-3E7A-4DC8-B9B9-14A56772AB94}">
            <xm:f>NOT(ISERROR(SEARCH($W$17,N29)))</xm:f>
            <xm:f>$W$17</xm:f>
            <x14:dxf>
              <fill>
                <patternFill>
                  <bgColor rgb="FFFF3B3B"/>
                </patternFill>
              </fill>
            </x14:dxf>
          </x14:cfRule>
          <x14:cfRule type="containsText" priority="6" operator="containsText" id="{F68B9AF5-A234-4CFE-86E6-8C048DB50AB2}">
            <xm:f>NOT(ISERROR(SEARCH($W$15,N29)))</xm:f>
            <xm:f>$W$15</xm:f>
            <x14:dxf>
              <fill>
                <patternFill>
                  <bgColor rgb="FF92D050"/>
                </patternFill>
              </fill>
            </x14:dxf>
          </x14:cfRule>
          <xm:sqref>N29:Q29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8"/>
  <sheetViews>
    <sheetView topLeftCell="A32" zoomScaleNormal="100" workbookViewId="0">
      <selection activeCell="N46" sqref="N46"/>
    </sheetView>
  </sheetViews>
  <sheetFormatPr defaultRowHeight="15" x14ac:dyDescent="0.25"/>
  <cols>
    <col min="1" max="1" width="3.5703125" style="276" customWidth="1"/>
    <col min="2" max="17" width="5.42578125" style="276" customWidth="1"/>
    <col min="18" max="18" width="3.5703125" style="276" customWidth="1"/>
    <col min="19" max="16384" width="9.140625" style="276"/>
  </cols>
  <sheetData>
    <row r="1" spans="1:26" x14ac:dyDescent="0.25">
      <c r="A1" s="12"/>
      <c r="B1" s="13"/>
      <c r="C1" s="13"/>
      <c r="D1" s="13"/>
      <c r="E1" s="13"/>
      <c r="F1" s="13"/>
      <c r="G1" s="13"/>
      <c r="H1" s="13"/>
      <c r="I1" s="13"/>
      <c r="J1" s="13"/>
      <c r="K1" s="13"/>
      <c r="L1" s="13"/>
      <c r="M1" s="13"/>
      <c r="N1" s="13"/>
      <c r="O1" s="13"/>
      <c r="P1" s="13"/>
      <c r="Q1" s="13"/>
      <c r="R1" s="14"/>
    </row>
    <row r="2" spans="1:26" ht="29.25" customHeight="1" x14ac:dyDescent="0.25">
      <c r="A2" s="10"/>
      <c r="B2" s="554"/>
      <c r="C2" s="555"/>
      <c r="D2" s="555"/>
      <c r="E2" s="555"/>
      <c r="F2" s="556"/>
      <c r="G2" s="449" t="s">
        <v>22</v>
      </c>
      <c r="H2" s="450"/>
      <c r="I2" s="275" t="s">
        <v>24</v>
      </c>
      <c r="J2" s="486" t="str">
        <f>'ANA SAYFA'!K2</f>
        <v>BARMAK MAKİNA (ÇAĞLA ELK.)</v>
      </c>
      <c r="K2" s="486"/>
      <c r="L2" s="486"/>
      <c r="M2" s="486"/>
      <c r="N2" s="486"/>
      <c r="O2" s="486"/>
      <c r="P2" s="486"/>
      <c r="Q2" s="487"/>
      <c r="R2" s="11"/>
    </row>
    <row r="3" spans="1:26" ht="29.25" customHeight="1" x14ac:dyDescent="0.25">
      <c r="A3" s="10"/>
      <c r="B3" s="557"/>
      <c r="C3" s="558"/>
      <c r="D3" s="558"/>
      <c r="E3" s="558"/>
      <c r="F3" s="559"/>
      <c r="G3" s="484" t="s">
        <v>23</v>
      </c>
      <c r="H3" s="485"/>
      <c r="I3" s="272" t="s">
        <v>24</v>
      </c>
      <c r="J3" s="488" t="str">
        <f>'ANA SAYFA'!K5</f>
        <v>TRAFO 1</v>
      </c>
      <c r="K3" s="488"/>
      <c r="L3" s="488"/>
      <c r="M3" s="488"/>
      <c r="N3" s="488"/>
      <c r="O3" s="488"/>
      <c r="P3" s="488"/>
      <c r="Q3" s="489"/>
      <c r="R3" s="11"/>
    </row>
    <row r="4" spans="1:26" ht="10.5" customHeight="1" x14ac:dyDescent="0.25">
      <c r="A4" s="10"/>
      <c r="B4" s="3"/>
      <c r="C4" s="186"/>
      <c r="D4" s="186"/>
      <c r="E4" s="186"/>
      <c r="F4" s="186"/>
      <c r="G4" s="186"/>
      <c r="H4" s="186"/>
      <c r="I4" s="186"/>
      <c r="J4" s="186"/>
      <c r="K4" s="186"/>
      <c r="L4" s="186"/>
      <c r="M4" s="186"/>
      <c r="N4" s="186"/>
      <c r="O4" s="186"/>
      <c r="P4" s="186"/>
      <c r="Q4" s="187"/>
      <c r="R4" s="11"/>
    </row>
    <row r="5" spans="1:26" ht="24.75" customHeight="1" x14ac:dyDescent="0.25">
      <c r="A5" s="10"/>
      <c r="B5" s="3"/>
      <c r="C5" s="186"/>
      <c r="D5" s="186"/>
      <c r="E5" s="186"/>
      <c r="F5" s="186"/>
      <c r="G5" s="186"/>
      <c r="H5" s="186"/>
      <c r="I5" s="186"/>
      <c r="J5" s="186"/>
      <c r="K5" s="186"/>
      <c r="L5" s="186"/>
      <c r="M5" s="186"/>
      <c r="N5" s="186"/>
      <c r="O5" s="186"/>
      <c r="P5" s="186"/>
      <c r="Q5" s="187"/>
      <c r="R5" s="11"/>
    </row>
    <row r="6" spans="1:26" ht="6.75" customHeight="1" x14ac:dyDescent="0.25">
      <c r="A6" s="10"/>
      <c r="B6" s="3"/>
      <c r="C6" s="186"/>
      <c r="D6" s="186"/>
      <c r="E6" s="186"/>
      <c r="F6" s="186"/>
      <c r="G6" s="186"/>
      <c r="H6" s="186"/>
      <c r="I6" s="186"/>
      <c r="J6" s="186"/>
      <c r="K6" s="186"/>
      <c r="L6" s="186"/>
      <c r="M6" s="186"/>
      <c r="N6" s="186"/>
      <c r="O6" s="186"/>
      <c r="P6" s="186"/>
      <c r="Q6" s="187"/>
      <c r="R6" s="11"/>
    </row>
    <row r="7" spans="1:26" ht="18.75" x14ac:dyDescent="0.25">
      <c r="A7" s="10"/>
      <c r="B7" s="469" t="s">
        <v>3</v>
      </c>
      <c r="C7" s="470"/>
      <c r="D7" s="470"/>
      <c r="E7" s="470"/>
      <c r="F7" s="470"/>
      <c r="G7" s="470"/>
      <c r="H7" s="470"/>
      <c r="I7" s="470"/>
      <c r="J7" s="471">
        <f>'ANA SAYFA'!F72</f>
        <v>45310</v>
      </c>
      <c r="K7" s="471"/>
      <c r="L7" s="471"/>
      <c r="M7" s="471"/>
      <c r="N7" s="471"/>
      <c r="O7" s="471"/>
      <c r="P7" s="471"/>
      <c r="Q7" s="472"/>
      <c r="R7" s="11"/>
    </row>
    <row r="8" spans="1:26" ht="6.75" customHeight="1" x14ac:dyDescent="0.25">
      <c r="A8" s="10"/>
      <c r="B8" s="3"/>
      <c r="C8" s="186"/>
      <c r="D8" s="186"/>
      <c r="E8" s="186"/>
      <c r="F8" s="186"/>
      <c r="G8" s="186"/>
      <c r="H8" s="186"/>
      <c r="I8" s="186"/>
      <c r="J8" s="186"/>
      <c r="K8" s="186"/>
      <c r="L8" s="186"/>
      <c r="M8" s="186"/>
      <c r="N8" s="186"/>
      <c r="O8" s="186"/>
      <c r="P8" s="186"/>
      <c r="Q8" s="187"/>
      <c r="R8" s="11"/>
      <c r="T8" s="276">
        <v>1</v>
      </c>
    </row>
    <row r="9" spans="1:26" x14ac:dyDescent="0.25">
      <c r="A9" s="10"/>
      <c r="B9" s="525" t="s">
        <v>4</v>
      </c>
      <c r="C9" s="525"/>
      <c r="D9" s="526" t="s">
        <v>394</v>
      </c>
      <c r="E9" s="526"/>
      <c r="F9" s="526"/>
      <c r="G9" s="526"/>
      <c r="H9" s="525" t="s">
        <v>5</v>
      </c>
      <c r="I9" s="525"/>
      <c r="J9" s="504" t="s">
        <v>245</v>
      </c>
      <c r="K9" s="504"/>
      <c r="L9" s="504"/>
      <c r="M9" s="504" t="s">
        <v>7</v>
      </c>
      <c r="N9" s="504"/>
      <c r="O9" s="478">
        <v>16060016</v>
      </c>
      <c r="P9" s="479"/>
      <c r="Q9" s="480"/>
      <c r="R9" s="11"/>
    </row>
    <row r="10" spans="1:26" ht="7.5" customHeight="1" x14ac:dyDescent="0.25">
      <c r="A10" s="10"/>
      <c r="B10" s="3"/>
      <c r="C10" s="186"/>
      <c r="D10" s="186"/>
      <c r="E10" s="186"/>
      <c r="F10" s="186"/>
      <c r="G10" s="186"/>
      <c r="H10" s="186"/>
      <c r="I10" s="186"/>
      <c r="J10" s="186"/>
      <c r="K10" s="186"/>
      <c r="L10" s="186"/>
      <c r="M10" s="186"/>
      <c r="N10" s="186"/>
      <c r="O10" s="186"/>
      <c r="P10" s="186"/>
      <c r="Q10" s="187"/>
      <c r="R10" s="11"/>
      <c r="T10" s="276">
        <v>20</v>
      </c>
    </row>
    <row r="11" spans="1:26" ht="18.75" x14ac:dyDescent="0.25">
      <c r="A11" s="10"/>
      <c r="B11" s="524" t="s">
        <v>9</v>
      </c>
      <c r="C11" s="524"/>
      <c r="D11" s="524"/>
      <c r="E11" s="524"/>
      <c r="F11" s="524"/>
      <c r="G11" s="524"/>
      <c r="H11" s="524"/>
      <c r="I11" s="524"/>
      <c r="J11" s="524"/>
      <c r="K11" s="524"/>
      <c r="L11" s="524"/>
      <c r="M11" s="524"/>
      <c r="N11" s="524"/>
      <c r="O11" s="524"/>
      <c r="P11" s="524"/>
      <c r="Q11" s="524"/>
      <c r="R11" s="11"/>
    </row>
    <row r="12" spans="1:26" ht="5.25" customHeight="1" x14ac:dyDescent="0.25">
      <c r="A12" s="10"/>
      <c r="B12" s="3"/>
      <c r="C12" s="186"/>
      <c r="D12" s="186"/>
      <c r="E12" s="186"/>
      <c r="F12" s="186"/>
      <c r="G12" s="186"/>
      <c r="H12" s="186"/>
      <c r="I12" s="186"/>
      <c r="J12" s="186"/>
      <c r="K12" s="186"/>
      <c r="L12" s="186"/>
      <c r="M12" s="186"/>
      <c r="N12" s="186"/>
      <c r="O12" s="186"/>
      <c r="P12" s="186"/>
      <c r="Q12" s="187"/>
      <c r="R12" s="11"/>
    </row>
    <row r="13" spans="1:26" ht="18.75" x14ac:dyDescent="0.25">
      <c r="A13" s="10"/>
      <c r="B13" s="403" t="s">
        <v>300</v>
      </c>
      <c r="C13" s="404"/>
      <c r="D13" s="404"/>
      <c r="E13" s="404"/>
      <c r="F13" s="404"/>
      <c r="G13" s="404"/>
      <c r="H13" s="404"/>
      <c r="I13" s="404"/>
      <c r="J13" s="404"/>
      <c r="K13" s="404"/>
      <c r="L13" s="404"/>
      <c r="M13" s="404"/>
      <c r="N13" s="404"/>
      <c r="O13" s="404"/>
      <c r="P13" s="404"/>
      <c r="Q13" s="405"/>
      <c r="R13" s="11"/>
    </row>
    <row r="14" spans="1:26" x14ac:dyDescent="0.25">
      <c r="A14" s="10"/>
      <c r="B14" s="3"/>
      <c r="C14" s="186"/>
      <c r="D14" s="186"/>
      <c r="E14" s="186"/>
      <c r="F14" s="186"/>
      <c r="G14" s="186"/>
      <c r="H14" s="186"/>
      <c r="I14" s="186"/>
      <c r="J14" s="186"/>
      <c r="K14" s="186"/>
      <c r="L14" s="186"/>
      <c r="M14" s="186"/>
      <c r="N14" s="186"/>
      <c r="O14" s="186"/>
      <c r="P14" s="186"/>
      <c r="Q14" s="187"/>
      <c r="R14" s="11"/>
    </row>
    <row r="15" spans="1:26" x14ac:dyDescent="0.25">
      <c r="A15" s="10"/>
      <c r="B15" s="397"/>
      <c r="C15" s="398"/>
      <c r="D15" s="398"/>
      <c r="E15" s="398"/>
      <c r="F15" s="398" t="s">
        <v>44</v>
      </c>
      <c r="G15" s="399"/>
      <c r="H15" s="541" t="s">
        <v>40</v>
      </c>
      <c r="I15" s="541"/>
      <c r="J15" s="541"/>
      <c r="K15" s="541" t="s">
        <v>41</v>
      </c>
      <c r="L15" s="541"/>
      <c r="M15" s="541"/>
      <c r="N15" s="397" t="s">
        <v>43</v>
      </c>
      <c r="O15" s="398"/>
      <c r="P15" s="398"/>
      <c r="Q15" s="399"/>
      <c r="R15" s="11"/>
      <c r="Y15" s="684"/>
      <c r="Z15" s="684"/>
    </row>
    <row r="16" spans="1:26" x14ac:dyDescent="0.25">
      <c r="A16" s="10"/>
      <c r="B16" s="583" t="s">
        <v>301</v>
      </c>
      <c r="C16" s="593"/>
      <c r="D16" s="583">
        <v>20000</v>
      </c>
      <c r="E16" s="593"/>
      <c r="F16" s="594" t="s">
        <v>249</v>
      </c>
      <c r="G16" s="593"/>
      <c r="H16" s="478">
        <v>10000</v>
      </c>
      <c r="I16" s="479"/>
      <c r="J16" s="27" t="s">
        <v>45</v>
      </c>
      <c r="K16" s="506">
        <f>H16/D16</f>
        <v>0.5</v>
      </c>
      <c r="L16" s="595"/>
      <c r="M16" s="27" t="s">
        <v>46</v>
      </c>
      <c r="N16" s="273">
        <f>IF(D16&gt;250,1,0)</f>
        <v>1</v>
      </c>
      <c r="O16" s="479" t="str">
        <f>IF(D16&gt;250,"UYGUN","UYGUN DEĞİL")</f>
        <v>UYGUN</v>
      </c>
      <c r="P16" s="479"/>
      <c r="Q16" s="480"/>
      <c r="R16" s="11"/>
    </row>
    <row r="17" spans="1:31" x14ac:dyDescent="0.25">
      <c r="A17" s="10"/>
      <c r="B17" s="583" t="s">
        <v>302</v>
      </c>
      <c r="C17" s="593"/>
      <c r="D17" s="583">
        <v>20000</v>
      </c>
      <c r="E17" s="593"/>
      <c r="F17" s="583" t="s">
        <v>250</v>
      </c>
      <c r="G17" s="593"/>
      <c r="H17" s="478">
        <v>10000</v>
      </c>
      <c r="I17" s="479"/>
      <c r="J17" s="27" t="s">
        <v>45</v>
      </c>
      <c r="K17" s="506">
        <f>H17/D17</f>
        <v>0.5</v>
      </c>
      <c r="L17" s="595"/>
      <c r="M17" s="27" t="s">
        <v>46</v>
      </c>
      <c r="N17" s="273">
        <f>IF(D17&gt;250,1,0)</f>
        <v>1</v>
      </c>
      <c r="O17" s="479" t="str">
        <f>IF(D17&gt;250,"UYGUN","UYGUN DEĞİL")</f>
        <v>UYGUN</v>
      </c>
      <c r="P17" s="479"/>
      <c r="Q17" s="480"/>
      <c r="R17" s="11"/>
      <c r="W17" s="378" t="s">
        <v>303</v>
      </c>
      <c r="X17" s="378"/>
      <c r="Y17" s="378"/>
      <c r="Z17" s="378"/>
      <c r="AA17" s="378"/>
      <c r="AB17" s="378"/>
      <c r="AC17" s="378"/>
      <c r="AD17" s="378"/>
      <c r="AE17" s="378"/>
    </row>
    <row r="18" spans="1:31" x14ac:dyDescent="0.25">
      <c r="A18" s="10"/>
      <c r="B18" s="583" t="s">
        <v>304</v>
      </c>
      <c r="C18" s="593"/>
      <c r="D18" s="583">
        <v>20000</v>
      </c>
      <c r="E18" s="593"/>
      <c r="F18" s="583" t="s">
        <v>250</v>
      </c>
      <c r="G18" s="593"/>
      <c r="H18" s="478">
        <v>10000</v>
      </c>
      <c r="I18" s="479"/>
      <c r="J18" s="27" t="s">
        <v>45</v>
      </c>
      <c r="K18" s="506">
        <f>H18/D18</f>
        <v>0.5</v>
      </c>
      <c r="L18" s="595"/>
      <c r="M18" s="27" t="s">
        <v>46</v>
      </c>
      <c r="N18" s="273">
        <f>IF(D18&gt;250,1,0)</f>
        <v>1</v>
      </c>
      <c r="O18" s="479" t="str">
        <f>IF(D18&gt;250,"UYGUN","UYGUN DEĞİL")</f>
        <v>UYGUN</v>
      </c>
      <c r="P18" s="479"/>
      <c r="Q18" s="480"/>
      <c r="R18" s="11"/>
      <c r="W18" s="378" t="s">
        <v>305</v>
      </c>
      <c r="X18" s="378"/>
      <c r="Y18" s="378"/>
      <c r="Z18" s="378"/>
      <c r="AA18" s="378"/>
      <c r="AB18" s="378"/>
      <c r="AC18" s="378"/>
      <c r="AD18" s="378"/>
      <c r="AE18" s="378"/>
    </row>
    <row r="19" spans="1:31" x14ac:dyDescent="0.25">
      <c r="A19" s="10"/>
      <c r="B19" s="171"/>
      <c r="C19" s="68"/>
      <c r="D19" s="68"/>
      <c r="E19" s="68"/>
      <c r="F19" s="68"/>
      <c r="G19" s="279"/>
      <c r="H19" s="279"/>
      <c r="I19" s="68"/>
      <c r="J19" s="68"/>
      <c r="K19" s="279"/>
      <c r="L19" s="279"/>
      <c r="M19" s="279"/>
      <c r="N19" s="279"/>
      <c r="O19" s="279"/>
      <c r="P19" s="279"/>
      <c r="Q19" s="170"/>
      <c r="R19" s="11"/>
      <c r="W19" s="378" t="s">
        <v>306</v>
      </c>
      <c r="X19" s="378"/>
      <c r="Y19" s="378"/>
      <c r="Z19" s="378"/>
      <c r="AA19" s="378"/>
      <c r="AB19" s="378"/>
      <c r="AC19" s="378"/>
      <c r="AD19" s="378"/>
      <c r="AE19" s="378"/>
    </row>
    <row r="20" spans="1:31" ht="18.75" x14ac:dyDescent="0.25">
      <c r="A20" s="10"/>
      <c r="B20" s="403" t="s">
        <v>307</v>
      </c>
      <c r="C20" s="404"/>
      <c r="D20" s="404"/>
      <c r="E20" s="404"/>
      <c r="F20" s="404"/>
      <c r="G20" s="404"/>
      <c r="H20" s="404"/>
      <c r="I20" s="404"/>
      <c r="J20" s="404"/>
      <c r="K20" s="404"/>
      <c r="L20" s="404"/>
      <c r="M20" s="404"/>
      <c r="N20" s="404"/>
      <c r="O20" s="404"/>
      <c r="P20" s="404"/>
      <c r="Q20" s="405"/>
      <c r="R20" s="11"/>
      <c r="W20" s="378" t="s">
        <v>308</v>
      </c>
      <c r="X20" s="378"/>
      <c r="Y20" s="378"/>
      <c r="Z20" s="378"/>
      <c r="AA20" s="378"/>
      <c r="AB20" s="378"/>
      <c r="AC20" s="378"/>
      <c r="AD20" s="378"/>
      <c r="AE20" s="378"/>
    </row>
    <row r="21" spans="1:31" x14ac:dyDescent="0.25">
      <c r="A21" s="10"/>
      <c r="B21" s="3"/>
      <c r="C21" s="186"/>
      <c r="D21" s="186"/>
      <c r="E21" s="186"/>
      <c r="F21" s="186"/>
      <c r="G21" s="186"/>
      <c r="H21" s="186"/>
      <c r="I21" s="186"/>
      <c r="J21" s="186"/>
      <c r="K21" s="186"/>
      <c r="L21" s="186"/>
      <c r="M21" s="186"/>
      <c r="N21" s="186"/>
      <c r="O21" s="186"/>
      <c r="P21" s="186"/>
      <c r="Q21" s="187"/>
      <c r="R21" s="11"/>
      <c r="W21" s="378" t="s">
        <v>309</v>
      </c>
      <c r="X21" s="378"/>
      <c r="Y21" s="378"/>
      <c r="Z21" s="378"/>
      <c r="AA21" s="378"/>
      <c r="AB21" s="378"/>
      <c r="AC21" s="378"/>
      <c r="AD21" s="378"/>
      <c r="AE21" s="378"/>
    </row>
    <row r="22" spans="1:31" x14ac:dyDescent="0.25">
      <c r="A22" s="10"/>
      <c r="B22" s="397"/>
      <c r="C22" s="398"/>
      <c r="D22" s="398"/>
      <c r="E22" s="398"/>
      <c r="F22" s="398" t="s">
        <v>44</v>
      </c>
      <c r="G22" s="399"/>
      <c r="H22" s="541" t="s">
        <v>40</v>
      </c>
      <c r="I22" s="541"/>
      <c r="J22" s="541"/>
      <c r="K22" s="541" t="s">
        <v>41</v>
      </c>
      <c r="L22" s="541"/>
      <c r="M22" s="541"/>
      <c r="N22" s="397" t="s">
        <v>43</v>
      </c>
      <c r="O22" s="398"/>
      <c r="P22" s="398"/>
      <c r="Q22" s="399"/>
      <c r="R22" s="11"/>
      <c r="W22" s="378" t="s">
        <v>310</v>
      </c>
      <c r="X22" s="378"/>
      <c r="Y22" s="378"/>
      <c r="Z22" s="378"/>
      <c r="AA22" s="378"/>
      <c r="AB22" s="378"/>
      <c r="AC22" s="378"/>
      <c r="AD22" s="378"/>
      <c r="AE22" s="378"/>
    </row>
    <row r="23" spans="1:31" x14ac:dyDescent="0.25">
      <c r="A23" s="10"/>
      <c r="B23" s="583" t="s">
        <v>311</v>
      </c>
      <c r="C23" s="593"/>
      <c r="D23" s="583">
        <v>7100</v>
      </c>
      <c r="E23" s="593"/>
      <c r="F23" s="594" t="s">
        <v>249</v>
      </c>
      <c r="G23" s="593"/>
      <c r="H23" s="478">
        <v>10000</v>
      </c>
      <c r="I23" s="479"/>
      <c r="J23" s="27" t="s">
        <v>45</v>
      </c>
      <c r="K23" s="506">
        <f t="shared" ref="K23:K25" si="0">H23/D23</f>
        <v>1.408450704225352</v>
      </c>
      <c r="L23" s="595"/>
      <c r="M23" s="27" t="s">
        <v>46</v>
      </c>
      <c r="N23" s="273">
        <f t="shared" ref="N23:N25" si="1">IF(D23&gt;250,1,0)</f>
        <v>1</v>
      </c>
      <c r="O23" s="479" t="str">
        <f t="shared" ref="O23:O25" si="2">IF(D23&gt;250,"UYGUN","UYGUN DEĞİL")</f>
        <v>UYGUN</v>
      </c>
      <c r="P23" s="479"/>
      <c r="Q23" s="480"/>
      <c r="R23" s="11"/>
    </row>
    <row r="24" spans="1:31" x14ac:dyDescent="0.25">
      <c r="A24" s="10"/>
      <c r="B24" s="583" t="s">
        <v>312</v>
      </c>
      <c r="C24" s="593"/>
      <c r="D24" s="583">
        <v>20000</v>
      </c>
      <c r="E24" s="593"/>
      <c r="F24" s="583" t="s">
        <v>250</v>
      </c>
      <c r="G24" s="593"/>
      <c r="H24" s="478">
        <v>10000</v>
      </c>
      <c r="I24" s="479"/>
      <c r="J24" s="27" t="s">
        <v>45</v>
      </c>
      <c r="K24" s="506">
        <f t="shared" si="0"/>
        <v>0.5</v>
      </c>
      <c r="L24" s="595"/>
      <c r="M24" s="27" t="s">
        <v>46</v>
      </c>
      <c r="N24" s="273">
        <f t="shared" si="1"/>
        <v>1</v>
      </c>
      <c r="O24" s="479" t="str">
        <f t="shared" si="2"/>
        <v>UYGUN</v>
      </c>
      <c r="P24" s="479"/>
      <c r="Q24" s="480"/>
      <c r="R24" s="11"/>
    </row>
    <row r="25" spans="1:31" x14ac:dyDescent="0.25">
      <c r="A25" s="10"/>
      <c r="B25" s="583" t="s">
        <v>313</v>
      </c>
      <c r="C25" s="593"/>
      <c r="D25" s="583">
        <v>20000</v>
      </c>
      <c r="E25" s="593"/>
      <c r="F25" s="583" t="s">
        <v>250</v>
      </c>
      <c r="G25" s="593"/>
      <c r="H25" s="478">
        <v>10000</v>
      </c>
      <c r="I25" s="479"/>
      <c r="J25" s="27" t="s">
        <v>45</v>
      </c>
      <c r="K25" s="506">
        <f t="shared" si="0"/>
        <v>0.5</v>
      </c>
      <c r="L25" s="595"/>
      <c r="M25" s="27" t="s">
        <v>46</v>
      </c>
      <c r="N25" s="273">
        <f t="shared" si="1"/>
        <v>1</v>
      </c>
      <c r="O25" s="479" t="str">
        <f t="shared" si="2"/>
        <v>UYGUN</v>
      </c>
      <c r="P25" s="479"/>
      <c r="Q25" s="480"/>
      <c r="R25" s="11"/>
    </row>
    <row r="26" spans="1:31" x14ac:dyDescent="0.25">
      <c r="A26" s="10"/>
      <c r="B26" s="171"/>
      <c r="C26" s="68"/>
      <c r="D26" s="68"/>
      <c r="E26" s="68"/>
      <c r="F26" s="68"/>
      <c r="G26" s="279"/>
      <c r="H26" s="279"/>
      <c r="I26" s="68"/>
      <c r="J26" s="68"/>
      <c r="K26" s="279"/>
      <c r="L26" s="279"/>
      <c r="M26" s="279"/>
      <c r="N26" s="279"/>
      <c r="O26" s="279"/>
      <c r="P26" s="279"/>
      <c r="Q26" s="170"/>
      <c r="R26" s="11"/>
    </row>
    <row r="27" spans="1:31" ht="18.75" x14ac:dyDescent="0.25">
      <c r="A27" s="10"/>
      <c r="B27" s="403" t="s">
        <v>314</v>
      </c>
      <c r="C27" s="404"/>
      <c r="D27" s="404"/>
      <c r="E27" s="404"/>
      <c r="F27" s="404"/>
      <c r="G27" s="404"/>
      <c r="H27" s="404"/>
      <c r="I27" s="404"/>
      <c r="J27" s="404"/>
      <c r="K27" s="404"/>
      <c r="L27" s="404"/>
      <c r="M27" s="404"/>
      <c r="N27" s="404"/>
      <c r="O27" s="404"/>
      <c r="P27" s="404"/>
      <c r="Q27" s="405"/>
      <c r="R27" s="11"/>
    </row>
    <row r="28" spans="1:31" x14ac:dyDescent="0.25">
      <c r="A28" s="10"/>
      <c r="B28" s="3"/>
      <c r="C28" s="186"/>
      <c r="D28" s="186"/>
      <c r="E28" s="186"/>
      <c r="F28" s="186"/>
      <c r="G28" s="186"/>
      <c r="H28" s="186"/>
      <c r="I28" s="186"/>
      <c r="J28" s="186"/>
      <c r="K28" s="186"/>
      <c r="L28" s="186"/>
      <c r="M28" s="186"/>
      <c r="N28" s="186"/>
      <c r="O28" s="186"/>
      <c r="P28" s="186"/>
      <c r="Q28" s="187"/>
      <c r="R28" s="11"/>
    </row>
    <row r="29" spans="1:31" x14ac:dyDescent="0.25">
      <c r="A29" s="10"/>
      <c r="B29" s="397" t="s">
        <v>248</v>
      </c>
      <c r="C29" s="398"/>
      <c r="D29" s="398"/>
      <c r="E29" s="398"/>
      <c r="F29" s="398" t="s">
        <v>44</v>
      </c>
      <c r="G29" s="399"/>
      <c r="H29" s="541" t="s">
        <v>40</v>
      </c>
      <c r="I29" s="541"/>
      <c r="J29" s="541"/>
      <c r="K29" s="541" t="s">
        <v>41</v>
      </c>
      <c r="L29" s="541"/>
      <c r="M29" s="541"/>
      <c r="N29" s="397" t="s">
        <v>43</v>
      </c>
      <c r="O29" s="398"/>
      <c r="P29" s="398"/>
      <c r="Q29" s="399"/>
      <c r="R29" s="11"/>
    </row>
    <row r="30" spans="1:31" x14ac:dyDescent="0.25">
      <c r="A30" s="10"/>
      <c r="B30" s="583" t="s">
        <v>315</v>
      </c>
      <c r="C30" s="593"/>
      <c r="D30" s="583">
        <v>22.9</v>
      </c>
      <c r="E30" s="593"/>
      <c r="F30" s="594" t="s">
        <v>249</v>
      </c>
      <c r="G30" s="593"/>
      <c r="H30" s="478">
        <v>10000</v>
      </c>
      <c r="I30" s="479"/>
      <c r="J30" s="27" t="s">
        <v>45</v>
      </c>
      <c r="K30" s="506">
        <f t="shared" ref="K30:K32" si="3">H30/D30</f>
        <v>436.68122270742361</v>
      </c>
      <c r="L30" s="595"/>
      <c r="M30" s="27" t="s">
        <v>46</v>
      </c>
      <c r="N30" s="273">
        <f>IF(D30&gt;20,1,0)</f>
        <v>1</v>
      </c>
      <c r="O30" s="479" t="str">
        <f>IF(D30&gt;20,"UYGUN","UYGUN DEĞİL")</f>
        <v>UYGUN</v>
      </c>
      <c r="P30" s="479"/>
      <c r="Q30" s="480"/>
      <c r="R30" s="11"/>
    </row>
    <row r="31" spans="1:31" x14ac:dyDescent="0.25">
      <c r="A31" s="35"/>
      <c r="B31" s="583" t="s">
        <v>316</v>
      </c>
      <c r="C31" s="593"/>
      <c r="D31" s="583">
        <v>132</v>
      </c>
      <c r="E31" s="593"/>
      <c r="F31" s="583" t="s">
        <v>250</v>
      </c>
      <c r="G31" s="593"/>
      <c r="H31" s="478">
        <v>10000</v>
      </c>
      <c r="I31" s="479"/>
      <c r="J31" s="27" t="s">
        <v>45</v>
      </c>
      <c r="K31" s="506">
        <f t="shared" si="3"/>
        <v>75.757575757575751</v>
      </c>
      <c r="L31" s="595"/>
      <c r="M31" s="27" t="s">
        <v>46</v>
      </c>
      <c r="N31" s="273">
        <f>IF(D31&gt;20,1,0)</f>
        <v>1</v>
      </c>
      <c r="O31" s="479" t="str">
        <f>IF(D31&gt;20,"UYGUN","UYGUN DEĞİL")</f>
        <v>UYGUN</v>
      </c>
      <c r="P31" s="479"/>
      <c r="Q31" s="480"/>
      <c r="R31" s="11"/>
    </row>
    <row r="32" spans="1:31" x14ac:dyDescent="0.25">
      <c r="A32" s="35"/>
      <c r="B32" s="583" t="s">
        <v>317</v>
      </c>
      <c r="C32" s="593"/>
      <c r="D32" s="583">
        <v>60.8</v>
      </c>
      <c r="E32" s="593"/>
      <c r="F32" s="583" t="s">
        <v>250</v>
      </c>
      <c r="G32" s="593"/>
      <c r="H32" s="478">
        <v>10000</v>
      </c>
      <c r="I32" s="479"/>
      <c r="J32" s="27" t="s">
        <v>45</v>
      </c>
      <c r="K32" s="506">
        <f t="shared" si="3"/>
        <v>164.47368421052633</v>
      </c>
      <c r="L32" s="595"/>
      <c r="M32" s="27" t="s">
        <v>46</v>
      </c>
      <c r="N32" s="273">
        <f>IF(D32&gt;20,1,0)</f>
        <v>1</v>
      </c>
      <c r="O32" s="479" t="str">
        <f>IF(D32&gt;20,"UYGUN","UYGUN DEĞİL")</f>
        <v>UYGUN</v>
      </c>
      <c r="P32" s="479"/>
      <c r="Q32" s="480"/>
      <c r="R32" s="11"/>
    </row>
    <row r="33" spans="1:18" x14ac:dyDescent="0.25">
      <c r="A33" s="35"/>
      <c r="B33" s="171"/>
      <c r="C33" s="68"/>
      <c r="D33" s="68"/>
      <c r="E33" s="68"/>
      <c r="F33" s="68"/>
      <c r="G33" s="279"/>
      <c r="H33" s="279"/>
      <c r="I33" s="68"/>
      <c r="J33" s="68"/>
      <c r="K33" s="279"/>
      <c r="L33" s="279"/>
      <c r="M33" s="279"/>
      <c r="N33" s="279"/>
      <c r="O33" s="279"/>
      <c r="P33" s="279"/>
      <c r="Q33" s="170"/>
      <c r="R33" s="11"/>
    </row>
    <row r="34" spans="1:18" ht="30.75" customHeight="1" x14ac:dyDescent="0.25">
      <c r="A34" s="35"/>
      <c r="B34" s="186"/>
      <c r="C34" s="280"/>
      <c r="D34" s="280"/>
      <c r="E34" s="280"/>
      <c r="F34" s="280"/>
      <c r="G34" s="280"/>
      <c r="H34" s="280"/>
      <c r="I34" s="280"/>
      <c r="J34" s="280"/>
      <c r="K34" s="186"/>
      <c r="L34" s="186"/>
      <c r="M34" s="186"/>
      <c r="N34" s="186"/>
      <c r="O34" s="186"/>
      <c r="P34" s="186"/>
      <c r="Q34" s="187"/>
      <c r="R34" s="11"/>
    </row>
    <row r="35" spans="1:18" x14ac:dyDescent="0.25">
      <c r="A35" s="35"/>
      <c r="B35" s="277"/>
      <c r="C35" s="281"/>
      <c r="D35" s="281"/>
      <c r="E35" s="186"/>
      <c r="F35" s="186"/>
      <c r="G35" s="186"/>
      <c r="H35" s="186"/>
      <c r="I35" s="186"/>
      <c r="J35" s="186"/>
      <c r="K35" s="186"/>
      <c r="L35" s="57"/>
      <c r="M35" s="57"/>
      <c r="N35" s="186"/>
      <c r="O35" s="57"/>
      <c r="P35" s="57"/>
      <c r="Q35" s="187"/>
      <c r="R35" s="11"/>
    </row>
    <row r="36" spans="1:18" x14ac:dyDescent="0.25">
      <c r="A36" s="35"/>
      <c r="B36" s="277"/>
      <c r="C36" s="281"/>
      <c r="D36" s="281"/>
      <c r="E36" s="186"/>
      <c r="F36" s="186"/>
      <c r="G36" s="186"/>
      <c r="H36" s="186"/>
      <c r="I36" s="186"/>
      <c r="J36" s="186"/>
      <c r="K36" s="186"/>
      <c r="L36" s="57"/>
      <c r="M36" s="57"/>
      <c r="N36" s="186"/>
      <c r="O36" s="57"/>
      <c r="P36" s="57"/>
      <c r="Q36" s="187"/>
      <c r="R36" s="11"/>
    </row>
    <row r="37" spans="1:18" x14ac:dyDescent="0.25">
      <c r="A37" s="35"/>
      <c r="B37" s="277"/>
      <c r="C37" s="281"/>
      <c r="D37" s="281"/>
      <c r="E37" s="186"/>
      <c r="F37" s="186"/>
      <c r="G37" s="186"/>
      <c r="H37" s="186"/>
      <c r="I37" s="186"/>
      <c r="J37" s="186"/>
      <c r="K37" s="186"/>
      <c r="L37" s="186"/>
      <c r="M37" s="186"/>
      <c r="N37" s="186"/>
      <c r="O37" s="186"/>
      <c r="P37" s="186"/>
      <c r="Q37" s="170"/>
      <c r="R37" s="11"/>
    </row>
    <row r="38" spans="1:18" ht="4.5" customHeight="1" x14ac:dyDescent="0.25">
      <c r="A38" s="10"/>
      <c r="B38" s="56"/>
      <c r="C38" s="268"/>
      <c r="D38" s="268"/>
      <c r="E38" s="268"/>
      <c r="F38" s="268"/>
      <c r="G38" s="268"/>
      <c r="H38" s="268"/>
      <c r="I38" s="268"/>
      <c r="J38" s="268"/>
      <c r="K38" s="186"/>
      <c r="L38" s="186"/>
      <c r="M38" s="186"/>
      <c r="N38" s="186"/>
      <c r="O38" s="186"/>
      <c r="P38" s="186"/>
      <c r="Q38" s="170"/>
      <c r="R38" s="11"/>
    </row>
    <row r="39" spans="1:18" ht="15.75" customHeight="1" x14ac:dyDescent="0.25">
      <c r="A39" s="10"/>
      <c r="B39" s="545" t="s">
        <v>35</v>
      </c>
      <c r="C39" s="545"/>
      <c r="D39" s="674" t="s">
        <v>318</v>
      </c>
      <c r="E39" s="514"/>
      <c r="F39" s="514"/>
      <c r="G39" s="514"/>
      <c r="H39" s="514"/>
      <c r="I39" s="514"/>
      <c r="J39" s="514"/>
      <c r="K39" s="514"/>
      <c r="L39" s="514"/>
      <c r="M39" s="514"/>
      <c r="N39" s="514"/>
      <c r="O39" s="514"/>
      <c r="P39" s="514"/>
      <c r="Q39" s="515"/>
      <c r="R39" s="11"/>
    </row>
    <row r="40" spans="1:18" ht="15" customHeight="1" x14ac:dyDescent="0.25">
      <c r="A40" s="10"/>
      <c r="B40" s="171"/>
      <c r="C40" s="24"/>
      <c r="D40" s="516"/>
      <c r="E40" s="516"/>
      <c r="F40" s="516"/>
      <c r="G40" s="516"/>
      <c r="H40" s="516"/>
      <c r="I40" s="516"/>
      <c r="J40" s="516"/>
      <c r="K40" s="516"/>
      <c r="L40" s="516"/>
      <c r="M40" s="516"/>
      <c r="N40" s="516"/>
      <c r="O40" s="516"/>
      <c r="P40" s="516"/>
      <c r="Q40" s="517"/>
      <c r="R40" s="11"/>
    </row>
    <row r="41" spans="1:18" ht="15" customHeight="1" x14ac:dyDescent="0.25">
      <c r="A41" s="10"/>
      <c r="B41" s="171"/>
      <c r="C41" s="24"/>
      <c r="D41" s="516"/>
      <c r="E41" s="516"/>
      <c r="F41" s="516"/>
      <c r="G41" s="516"/>
      <c r="H41" s="516"/>
      <c r="I41" s="516"/>
      <c r="J41" s="516"/>
      <c r="K41" s="516"/>
      <c r="L41" s="516"/>
      <c r="M41" s="516"/>
      <c r="N41" s="516"/>
      <c r="O41" s="516"/>
      <c r="P41" s="516"/>
      <c r="Q41" s="517"/>
      <c r="R41" s="11"/>
    </row>
    <row r="42" spans="1:18" ht="15" customHeight="1" x14ac:dyDescent="0.25">
      <c r="A42" s="10"/>
      <c r="B42" s="171"/>
      <c r="C42" s="24"/>
      <c r="D42" s="270"/>
      <c r="E42" s="270"/>
      <c r="F42" s="270"/>
      <c r="G42" s="270"/>
      <c r="H42" s="270"/>
      <c r="I42" s="270"/>
      <c r="J42" s="270"/>
      <c r="K42" s="270"/>
      <c r="L42" s="270"/>
      <c r="M42" s="270"/>
      <c r="N42" s="270"/>
      <c r="O42" s="270"/>
      <c r="P42" s="270"/>
      <c r="Q42" s="271"/>
      <c r="R42" s="11"/>
    </row>
    <row r="43" spans="1:18" x14ac:dyDescent="0.25">
      <c r="A43" s="10"/>
      <c r="B43" s="21"/>
      <c r="C43" s="697"/>
      <c r="D43" s="697"/>
      <c r="E43" s="697"/>
      <c r="F43" s="697"/>
      <c r="G43" s="697"/>
      <c r="H43" s="697"/>
      <c r="I43" s="697"/>
      <c r="J43" s="697"/>
      <c r="K43" s="697"/>
      <c r="L43" s="697"/>
      <c r="M43" s="697"/>
      <c r="N43" s="697"/>
      <c r="O43" s="697"/>
      <c r="P43" s="697"/>
      <c r="Q43" s="698"/>
      <c r="R43" s="11"/>
    </row>
    <row r="44" spans="1:18" s="325" customFormat="1" ht="22.5" customHeight="1" x14ac:dyDescent="0.25">
      <c r="A44" s="10"/>
      <c r="B44" s="520" t="s">
        <v>357</v>
      </c>
      <c r="C44" s="521"/>
      <c r="D44" s="521"/>
      <c r="E44" s="330" t="s">
        <v>24</v>
      </c>
      <c r="F44" s="518" t="s">
        <v>395</v>
      </c>
      <c r="G44" s="518"/>
      <c r="H44" s="518"/>
      <c r="I44" s="519"/>
      <c r="J44" s="403" t="s">
        <v>322</v>
      </c>
      <c r="K44" s="404"/>
      <c r="L44" s="404"/>
      <c r="M44" s="404"/>
      <c r="N44" s="404"/>
      <c r="O44" s="404"/>
      <c r="P44" s="404"/>
      <c r="Q44" s="405"/>
      <c r="R44" s="11"/>
    </row>
    <row r="45" spans="1:18" s="325" customFormat="1" ht="22.5" customHeight="1" x14ac:dyDescent="0.25">
      <c r="A45" s="10"/>
      <c r="B45" s="520" t="s">
        <v>386</v>
      </c>
      <c r="C45" s="521"/>
      <c r="D45" s="521"/>
      <c r="E45" s="330" t="s">
        <v>24</v>
      </c>
      <c r="F45" s="522">
        <f>'ANA SAYFA'!F73:J73</f>
        <v>45307</v>
      </c>
      <c r="G45" s="518"/>
      <c r="H45" s="518"/>
      <c r="I45" s="519"/>
      <c r="J45" s="75"/>
      <c r="K45" s="76"/>
      <c r="L45" s="176"/>
      <c r="M45" s="176"/>
      <c r="N45" s="176"/>
      <c r="O45" s="176"/>
      <c r="P45" s="176"/>
      <c r="Q45" s="178"/>
      <c r="R45" s="11"/>
    </row>
    <row r="46" spans="1:18" s="325" customFormat="1" ht="22.5" customHeight="1" x14ac:dyDescent="0.25">
      <c r="A46" s="10"/>
      <c r="B46" s="495" t="s">
        <v>192</v>
      </c>
      <c r="C46" s="496"/>
      <c r="D46" s="496"/>
      <c r="E46" s="331" t="s">
        <v>24</v>
      </c>
      <c r="F46" s="521">
        <f>'ANA SAYFA'!$F$75</f>
        <v>88258</v>
      </c>
      <c r="G46" s="521"/>
      <c r="H46" s="521"/>
      <c r="I46" s="523"/>
      <c r="J46" s="75"/>
      <c r="K46" s="76"/>
      <c r="L46" s="176"/>
      <c r="M46" s="176"/>
      <c r="N46" s="176"/>
      <c r="O46" s="176"/>
      <c r="P46" s="176"/>
      <c r="Q46" s="178"/>
      <c r="R46" s="11"/>
    </row>
    <row r="47" spans="1:18" s="325" customFormat="1" ht="22.5" customHeight="1" x14ac:dyDescent="0.25">
      <c r="A47" s="10"/>
      <c r="B47" s="495" t="s">
        <v>358</v>
      </c>
      <c r="C47" s="496"/>
      <c r="D47" s="496"/>
      <c r="E47" s="324" t="s">
        <v>24</v>
      </c>
      <c r="F47" s="496" t="str">
        <f>'ANA SAYFA'!$F$76</f>
        <v>K202439698</v>
      </c>
      <c r="G47" s="496"/>
      <c r="H47" s="496"/>
      <c r="I47" s="497"/>
      <c r="J47" s="336"/>
      <c r="K47" s="182"/>
      <c r="L47" s="182"/>
      <c r="M47" s="182"/>
      <c r="N47" s="182"/>
      <c r="O47" s="182"/>
      <c r="P47" s="182"/>
      <c r="Q47" s="179"/>
      <c r="R47" s="11"/>
    </row>
    <row r="48" spans="1:18" ht="15.75" thickBot="1" x14ac:dyDescent="0.3">
      <c r="A48" s="15"/>
      <c r="B48" s="16"/>
      <c r="C48" s="16"/>
      <c r="D48" s="16"/>
      <c r="E48" s="16"/>
      <c r="F48" s="16"/>
      <c r="G48" s="16"/>
      <c r="H48" s="16"/>
      <c r="I48" s="16"/>
      <c r="J48" s="16"/>
      <c r="K48" s="16"/>
      <c r="L48" s="16"/>
      <c r="M48" s="16"/>
      <c r="N48" s="16"/>
      <c r="O48" s="16"/>
      <c r="P48" s="16"/>
      <c r="Q48" s="16"/>
      <c r="R48" s="17"/>
    </row>
  </sheetData>
  <mergeCells count="110">
    <mergeCell ref="B46:D46"/>
    <mergeCell ref="F46:I46"/>
    <mergeCell ref="B47:D47"/>
    <mergeCell ref="F47:I47"/>
    <mergeCell ref="J44:Q44"/>
    <mergeCell ref="B39:C39"/>
    <mergeCell ref="D39:Q39"/>
    <mergeCell ref="D40:Q40"/>
    <mergeCell ref="D41:Q41"/>
    <mergeCell ref="C43:Q43"/>
    <mergeCell ref="B44:D44"/>
    <mergeCell ref="F44:I44"/>
    <mergeCell ref="B45:D45"/>
    <mergeCell ref="F45:I45"/>
    <mergeCell ref="B32:C32"/>
    <mergeCell ref="D32:E32"/>
    <mergeCell ref="F32:G32"/>
    <mergeCell ref="H32:I32"/>
    <mergeCell ref="K32:L32"/>
    <mergeCell ref="O32:Q32"/>
    <mergeCell ref="B31:C31"/>
    <mergeCell ref="D31:E31"/>
    <mergeCell ref="F31:G31"/>
    <mergeCell ref="H31:I31"/>
    <mergeCell ref="K31:L31"/>
    <mergeCell ref="O31:Q31"/>
    <mergeCell ref="B30:C30"/>
    <mergeCell ref="D30:E30"/>
    <mergeCell ref="F30:G30"/>
    <mergeCell ref="H30:I30"/>
    <mergeCell ref="K30:L30"/>
    <mergeCell ref="O30:Q30"/>
    <mergeCell ref="B27:Q27"/>
    <mergeCell ref="B29:C29"/>
    <mergeCell ref="D29:E29"/>
    <mergeCell ref="F29:G29"/>
    <mergeCell ref="H29:J29"/>
    <mergeCell ref="K29:M29"/>
    <mergeCell ref="N29:Q29"/>
    <mergeCell ref="B25:C25"/>
    <mergeCell ref="D25:E25"/>
    <mergeCell ref="F25:G25"/>
    <mergeCell ref="H25:I25"/>
    <mergeCell ref="K25:L25"/>
    <mergeCell ref="O25:Q25"/>
    <mergeCell ref="B24:C24"/>
    <mergeCell ref="D24:E24"/>
    <mergeCell ref="F24:G24"/>
    <mergeCell ref="H24:I24"/>
    <mergeCell ref="K24:L24"/>
    <mergeCell ref="O24:Q24"/>
    <mergeCell ref="W22:AE22"/>
    <mergeCell ref="B23:C23"/>
    <mergeCell ref="D23:E23"/>
    <mergeCell ref="F23:G23"/>
    <mergeCell ref="H23:I23"/>
    <mergeCell ref="K23:L23"/>
    <mergeCell ref="O23:Q23"/>
    <mergeCell ref="W19:AE19"/>
    <mergeCell ref="B20:Q20"/>
    <mergeCell ref="W20:AE20"/>
    <mergeCell ref="W21:AE21"/>
    <mergeCell ref="B22:C22"/>
    <mergeCell ref="D22:E22"/>
    <mergeCell ref="F22:G22"/>
    <mergeCell ref="H22:J22"/>
    <mergeCell ref="K22:M22"/>
    <mergeCell ref="N22:Q22"/>
    <mergeCell ref="W17:AE17"/>
    <mergeCell ref="B18:C18"/>
    <mergeCell ref="D18:E18"/>
    <mergeCell ref="F18:G18"/>
    <mergeCell ref="H18:I18"/>
    <mergeCell ref="K18:L18"/>
    <mergeCell ref="O18:Q18"/>
    <mergeCell ref="W18:AE18"/>
    <mergeCell ref="B17:C17"/>
    <mergeCell ref="D17:E17"/>
    <mergeCell ref="F17:G17"/>
    <mergeCell ref="H17:I17"/>
    <mergeCell ref="K17:L17"/>
    <mergeCell ref="O17:Q17"/>
    <mergeCell ref="Y15:Z15"/>
    <mergeCell ref="B16:C16"/>
    <mergeCell ref="D16:E16"/>
    <mergeCell ref="F16:G16"/>
    <mergeCell ref="H16:I16"/>
    <mergeCell ref="K16:L16"/>
    <mergeCell ref="O16:Q16"/>
    <mergeCell ref="B11:Q11"/>
    <mergeCell ref="B13:Q13"/>
    <mergeCell ref="B15:C15"/>
    <mergeCell ref="D15:E15"/>
    <mergeCell ref="F15:G15"/>
    <mergeCell ref="H15:J15"/>
    <mergeCell ref="K15:M15"/>
    <mergeCell ref="N15:Q15"/>
    <mergeCell ref="B9:C9"/>
    <mergeCell ref="D9:G9"/>
    <mergeCell ref="H9:I9"/>
    <mergeCell ref="J9:L9"/>
    <mergeCell ref="M9:N9"/>
    <mergeCell ref="O9:Q9"/>
    <mergeCell ref="B2:F3"/>
    <mergeCell ref="G2:H2"/>
    <mergeCell ref="J2:Q2"/>
    <mergeCell ref="G3:H3"/>
    <mergeCell ref="J3:Q3"/>
    <mergeCell ref="B7:I7"/>
    <mergeCell ref="J7:Q7"/>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4" right="0.23622047244094488" top="0.3543307086614173" bottom="0.3543307086614173"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8"/>
  <sheetViews>
    <sheetView tabSelected="1" topLeftCell="A3" zoomScale="59" zoomScaleNormal="59" workbookViewId="0">
      <selection activeCell="AH46" sqref="AH46"/>
    </sheetView>
  </sheetViews>
  <sheetFormatPr defaultRowHeight="15" x14ac:dyDescent="0.25"/>
  <cols>
    <col min="1" max="1" width="3.5703125" style="276" customWidth="1"/>
    <col min="2" max="17" width="5.42578125" style="276" customWidth="1"/>
    <col min="18" max="18" width="3.5703125" style="276" customWidth="1"/>
    <col min="19" max="16384" width="9.140625" style="276"/>
  </cols>
  <sheetData>
    <row r="1" spans="1:26" x14ac:dyDescent="0.25">
      <c r="A1" s="12"/>
      <c r="B1" s="13"/>
      <c r="C1" s="13"/>
      <c r="D1" s="13"/>
      <c r="E1" s="13"/>
      <c r="F1" s="13"/>
      <c r="G1" s="13"/>
      <c r="H1" s="13"/>
      <c r="I1" s="13"/>
      <c r="J1" s="13"/>
      <c r="K1" s="13"/>
      <c r="L1" s="13"/>
      <c r="M1" s="13"/>
      <c r="N1" s="13"/>
      <c r="O1" s="13"/>
      <c r="P1" s="13"/>
      <c r="Q1" s="13"/>
      <c r="R1" s="14"/>
    </row>
    <row r="2" spans="1:26" ht="29.25" customHeight="1" x14ac:dyDescent="0.25">
      <c r="A2" s="10"/>
      <c r="B2" s="554"/>
      <c r="C2" s="555"/>
      <c r="D2" s="555"/>
      <c r="E2" s="555"/>
      <c r="F2" s="556"/>
      <c r="G2" s="449" t="s">
        <v>22</v>
      </c>
      <c r="H2" s="450"/>
      <c r="I2" s="275" t="s">
        <v>24</v>
      </c>
      <c r="J2" s="486" t="str">
        <f>'ANA SAYFA'!K2</f>
        <v>BARMAK MAKİNA (ÇAĞLA ELK.)</v>
      </c>
      <c r="K2" s="486"/>
      <c r="L2" s="486"/>
      <c r="M2" s="486"/>
      <c r="N2" s="486"/>
      <c r="O2" s="486"/>
      <c r="P2" s="486"/>
      <c r="Q2" s="487"/>
      <c r="R2" s="11"/>
    </row>
    <row r="3" spans="1:26" ht="29.25" customHeight="1" x14ac:dyDescent="0.25">
      <c r="A3" s="10"/>
      <c r="B3" s="557"/>
      <c r="C3" s="558"/>
      <c r="D3" s="558"/>
      <c r="E3" s="558"/>
      <c r="F3" s="559"/>
      <c r="G3" s="484" t="s">
        <v>23</v>
      </c>
      <c r="H3" s="485"/>
      <c r="I3" s="272" t="s">
        <v>24</v>
      </c>
      <c r="J3" s="488" t="str">
        <f>'ANA SAYFA'!K5</f>
        <v>TRAFO 1</v>
      </c>
      <c r="K3" s="488"/>
      <c r="L3" s="488"/>
      <c r="M3" s="488"/>
      <c r="N3" s="488"/>
      <c r="O3" s="488"/>
      <c r="P3" s="488"/>
      <c r="Q3" s="489"/>
      <c r="R3" s="11"/>
    </row>
    <row r="4" spans="1:26" ht="10.5" customHeight="1" x14ac:dyDescent="0.25">
      <c r="A4" s="10"/>
      <c r="B4" s="3"/>
      <c r="C4" s="186"/>
      <c r="D4" s="186"/>
      <c r="E4" s="186"/>
      <c r="F4" s="186"/>
      <c r="G4" s="186"/>
      <c r="H4" s="186"/>
      <c r="I4" s="186"/>
      <c r="J4" s="186"/>
      <c r="K4" s="186"/>
      <c r="L4" s="186"/>
      <c r="M4" s="186"/>
      <c r="N4" s="186"/>
      <c r="O4" s="186"/>
      <c r="P4" s="186"/>
      <c r="Q4" s="187"/>
      <c r="R4" s="11"/>
    </row>
    <row r="5" spans="1:26" ht="24.75" customHeight="1" x14ac:dyDescent="0.25">
      <c r="A5" s="10"/>
      <c r="B5" s="3"/>
      <c r="C5" s="186"/>
      <c r="D5" s="186"/>
      <c r="E5" s="186"/>
      <c r="F5" s="186"/>
      <c r="G5" s="186"/>
      <c r="H5" s="186"/>
      <c r="I5" s="186"/>
      <c r="J5" s="186"/>
      <c r="K5" s="186"/>
      <c r="L5" s="186"/>
      <c r="M5" s="186"/>
      <c r="N5" s="186"/>
      <c r="O5" s="186"/>
      <c r="P5" s="186"/>
      <c r="Q5" s="187"/>
      <c r="R5" s="11"/>
    </row>
    <row r="6" spans="1:26" ht="6.75" customHeight="1" x14ac:dyDescent="0.25">
      <c r="A6" s="10"/>
      <c r="B6" s="3"/>
      <c r="C6" s="186"/>
      <c r="D6" s="186"/>
      <c r="E6" s="186"/>
      <c r="F6" s="186"/>
      <c r="G6" s="186"/>
      <c r="H6" s="186"/>
      <c r="I6" s="186"/>
      <c r="J6" s="186"/>
      <c r="K6" s="186"/>
      <c r="L6" s="186"/>
      <c r="M6" s="186"/>
      <c r="N6" s="186"/>
      <c r="O6" s="186"/>
      <c r="P6" s="186"/>
      <c r="Q6" s="187"/>
      <c r="R6" s="11"/>
    </row>
    <row r="7" spans="1:26" ht="18.75" x14ac:dyDescent="0.25">
      <c r="A7" s="10"/>
      <c r="B7" s="469" t="s">
        <v>3</v>
      </c>
      <c r="C7" s="470"/>
      <c r="D7" s="470"/>
      <c r="E7" s="470"/>
      <c r="F7" s="470"/>
      <c r="G7" s="470"/>
      <c r="H7" s="470"/>
      <c r="I7" s="470"/>
      <c r="J7" s="471">
        <f>'ANA SAYFA'!F72</f>
        <v>45310</v>
      </c>
      <c r="K7" s="471"/>
      <c r="L7" s="471"/>
      <c r="M7" s="471"/>
      <c r="N7" s="471"/>
      <c r="O7" s="471"/>
      <c r="P7" s="471"/>
      <c r="Q7" s="472"/>
      <c r="R7" s="11"/>
    </row>
    <row r="8" spans="1:26" ht="6.75" customHeight="1" x14ac:dyDescent="0.25">
      <c r="A8" s="10"/>
      <c r="B8" s="3"/>
      <c r="C8" s="186"/>
      <c r="D8" s="186"/>
      <c r="E8" s="186"/>
      <c r="F8" s="186"/>
      <c r="G8" s="186"/>
      <c r="H8" s="186"/>
      <c r="I8" s="186"/>
      <c r="J8" s="186"/>
      <c r="K8" s="186"/>
      <c r="L8" s="186"/>
      <c r="M8" s="186"/>
      <c r="N8" s="186"/>
      <c r="O8" s="186"/>
      <c r="P8" s="186"/>
      <c r="Q8" s="187"/>
      <c r="R8" s="11"/>
      <c r="T8" s="276">
        <v>1</v>
      </c>
    </row>
    <row r="9" spans="1:26" x14ac:dyDescent="0.25">
      <c r="A9" s="10"/>
      <c r="B9" s="525" t="s">
        <v>4</v>
      </c>
      <c r="C9" s="525"/>
      <c r="D9" s="526" t="str">
        <f>'İZOLASYON '!D11:G11</f>
        <v>Hilmi GÜL</v>
      </c>
      <c r="E9" s="526"/>
      <c r="F9" s="526"/>
      <c r="G9" s="526"/>
      <c r="H9" s="525" t="s">
        <v>5</v>
      </c>
      <c r="I9" s="525"/>
      <c r="J9" s="504" t="s">
        <v>245</v>
      </c>
      <c r="K9" s="504"/>
      <c r="L9" s="504"/>
      <c r="M9" s="504" t="s">
        <v>7</v>
      </c>
      <c r="N9" s="504"/>
      <c r="O9" s="478">
        <v>16060016</v>
      </c>
      <c r="P9" s="479"/>
      <c r="Q9" s="480"/>
      <c r="R9" s="11"/>
    </row>
    <row r="10" spans="1:26" ht="7.5" customHeight="1" x14ac:dyDescent="0.25">
      <c r="A10" s="10"/>
      <c r="B10" s="3"/>
      <c r="C10" s="186"/>
      <c r="D10" s="186"/>
      <c r="E10" s="186"/>
      <c r="F10" s="186"/>
      <c r="G10" s="186"/>
      <c r="H10" s="186"/>
      <c r="I10" s="186"/>
      <c r="J10" s="186"/>
      <c r="K10" s="186"/>
      <c r="L10" s="186"/>
      <c r="M10" s="186"/>
      <c r="N10" s="186"/>
      <c r="O10" s="186"/>
      <c r="P10" s="186"/>
      <c r="Q10" s="187"/>
      <c r="R10" s="11"/>
      <c r="T10" s="276">
        <v>20</v>
      </c>
    </row>
    <row r="11" spans="1:26" ht="18.75" x14ac:dyDescent="0.25">
      <c r="A11" s="10"/>
      <c r="B11" s="524" t="s">
        <v>9</v>
      </c>
      <c r="C11" s="524"/>
      <c r="D11" s="524"/>
      <c r="E11" s="524"/>
      <c r="F11" s="524"/>
      <c r="G11" s="524"/>
      <c r="H11" s="524"/>
      <c r="I11" s="524"/>
      <c r="J11" s="524"/>
      <c r="K11" s="524"/>
      <c r="L11" s="524"/>
      <c r="M11" s="524"/>
      <c r="N11" s="524"/>
      <c r="O11" s="524"/>
      <c r="P11" s="524"/>
      <c r="Q11" s="524"/>
      <c r="R11" s="11"/>
    </row>
    <row r="12" spans="1:26" ht="5.25" customHeight="1" x14ac:dyDescent="0.25">
      <c r="A12" s="10"/>
      <c r="B12" s="3"/>
      <c r="C12" s="186"/>
      <c r="D12" s="186"/>
      <c r="E12" s="186"/>
      <c r="F12" s="186"/>
      <c r="G12" s="186"/>
      <c r="H12" s="186"/>
      <c r="I12" s="186"/>
      <c r="J12" s="186"/>
      <c r="K12" s="186"/>
      <c r="L12" s="186"/>
      <c r="M12" s="186"/>
      <c r="N12" s="186"/>
      <c r="O12" s="186"/>
      <c r="P12" s="186"/>
      <c r="Q12" s="187"/>
      <c r="R12" s="11"/>
    </row>
    <row r="13" spans="1:26" ht="18.75" x14ac:dyDescent="0.25">
      <c r="A13" s="10"/>
      <c r="B13" s="403" t="s">
        <v>319</v>
      </c>
      <c r="C13" s="404"/>
      <c r="D13" s="404"/>
      <c r="E13" s="404"/>
      <c r="F13" s="404"/>
      <c r="G13" s="404"/>
      <c r="H13" s="404"/>
      <c r="I13" s="404"/>
      <c r="J13" s="404"/>
      <c r="K13" s="404"/>
      <c r="L13" s="404"/>
      <c r="M13" s="404"/>
      <c r="N13" s="404"/>
      <c r="O13" s="404"/>
      <c r="P13" s="404"/>
      <c r="Q13" s="405"/>
      <c r="R13" s="11"/>
    </row>
    <row r="14" spans="1:26" ht="8.25" customHeight="1" x14ac:dyDescent="0.25">
      <c r="A14" s="10"/>
      <c r="B14" s="3"/>
      <c r="C14" s="186"/>
      <c r="D14" s="186"/>
      <c r="E14" s="186"/>
      <c r="F14" s="186"/>
      <c r="G14" s="186"/>
      <c r="H14" s="186"/>
      <c r="I14" s="186"/>
      <c r="J14" s="186"/>
      <c r="K14" s="186"/>
      <c r="L14" s="186"/>
      <c r="M14" s="186"/>
      <c r="N14" s="186"/>
      <c r="O14" s="186"/>
      <c r="P14" s="186"/>
      <c r="Q14" s="187"/>
      <c r="R14" s="11"/>
    </row>
    <row r="15" spans="1:26" x14ac:dyDescent="0.25">
      <c r="A15" s="10"/>
      <c r="B15" s="397" t="s">
        <v>248</v>
      </c>
      <c r="C15" s="398"/>
      <c r="D15" s="398">
        <v>250</v>
      </c>
      <c r="E15" s="398"/>
      <c r="F15" s="398" t="s">
        <v>44</v>
      </c>
      <c r="G15" s="399"/>
      <c r="H15" s="541" t="s">
        <v>40</v>
      </c>
      <c r="I15" s="541"/>
      <c r="J15" s="541"/>
      <c r="K15" s="541" t="s">
        <v>41</v>
      </c>
      <c r="L15" s="541"/>
      <c r="M15" s="541"/>
      <c r="N15" s="397" t="s">
        <v>43</v>
      </c>
      <c r="O15" s="398"/>
      <c r="P15" s="398"/>
      <c r="Q15" s="399"/>
      <c r="R15" s="11"/>
      <c r="Y15" s="684"/>
      <c r="Z15" s="684"/>
    </row>
    <row r="16" spans="1:26" x14ac:dyDescent="0.25">
      <c r="A16" s="10"/>
      <c r="B16" s="583" t="s">
        <v>301</v>
      </c>
      <c r="C16" s="593"/>
      <c r="D16" s="583">
        <v>1500</v>
      </c>
      <c r="E16" s="593"/>
      <c r="F16" s="594" t="s">
        <v>249</v>
      </c>
      <c r="G16" s="593"/>
      <c r="H16" s="478">
        <v>10000</v>
      </c>
      <c r="I16" s="479"/>
      <c r="J16" s="27" t="s">
        <v>45</v>
      </c>
      <c r="K16" s="506">
        <f>H16/D16</f>
        <v>6.666666666666667</v>
      </c>
      <c r="L16" s="595"/>
      <c r="M16" s="27" t="s">
        <v>46</v>
      </c>
      <c r="N16" s="273">
        <f>IF(D16&gt;250,1,0)</f>
        <v>1</v>
      </c>
      <c r="O16" s="479" t="str">
        <f>IF(D16&gt;250,"UYGUN","UYGUN DEĞİL")</f>
        <v>UYGUN</v>
      </c>
      <c r="P16" s="479"/>
      <c r="Q16" s="480"/>
      <c r="R16" s="11"/>
    </row>
    <row r="17" spans="1:31" x14ac:dyDescent="0.25">
      <c r="A17" s="10"/>
      <c r="B17" s="583" t="s">
        <v>302</v>
      </c>
      <c r="C17" s="593"/>
      <c r="D17" s="583">
        <v>10000</v>
      </c>
      <c r="E17" s="593"/>
      <c r="F17" s="583" t="s">
        <v>250</v>
      </c>
      <c r="G17" s="593"/>
      <c r="H17" s="478">
        <v>10000</v>
      </c>
      <c r="I17" s="479"/>
      <c r="J17" s="27" t="s">
        <v>45</v>
      </c>
      <c r="K17" s="506">
        <f>H17/D17</f>
        <v>1</v>
      </c>
      <c r="L17" s="595"/>
      <c r="M17" s="27" t="s">
        <v>46</v>
      </c>
      <c r="N17" s="273">
        <f>IF(D17&gt;250,1,0)</f>
        <v>1</v>
      </c>
      <c r="O17" s="479" t="str">
        <f>IF(D17&gt;250,"UYGUN","UYGUN DEĞİL")</f>
        <v>UYGUN</v>
      </c>
      <c r="P17" s="479"/>
      <c r="Q17" s="480"/>
      <c r="R17" s="11"/>
      <c r="W17" s="378" t="s">
        <v>303</v>
      </c>
      <c r="X17" s="378"/>
      <c r="Y17" s="378"/>
      <c r="Z17" s="378"/>
      <c r="AA17" s="378"/>
      <c r="AB17" s="378"/>
      <c r="AC17" s="378"/>
      <c r="AD17" s="378"/>
      <c r="AE17" s="378"/>
    </row>
    <row r="18" spans="1:31" x14ac:dyDescent="0.25">
      <c r="A18" s="10"/>
      <c r="B18" s="583" t="s">
        <v>304</v>
      </c>
      <c r="C18" s="593"/>
      <c r="D18" s="583">
        <v>10000</v>
      </c>
      <c r="E18" s="593"/>
      <c r="F18" s="583" t="s">
        <v>250</v>
      </c>
      <c r="G18" s="593"/>
      <c r="H18" s="478">
        <v>10000</v>
      </c>
      <c r="I18" s="479"/>
      <c r="J18" s="27" t="s">
        <v>45</v>
      </c>
      <c r="K18" s="506">
        <f>H18/D18</f>
        <v>1</v>
      </c>
      <c r="L18" s="595"/>
      <c r="M18" s="27" t="s">
        <v>46</v>
      </c>
      <c r="N18" s="273">
        <f>IF(D18&gt;250,1,0)</f>
        <v>1</v>
      </c>
      <c r="O18" s="479" t="str">
        <f>IF(D18&gt;250,"UYGUN","UYGUN DEĞİL")</f>
        <v>UYGUN</v>
      </c>
      <c r="P18" s="479"/>
      <c r="Q18" s="480"/>
      <c r="R18" s="11"/>
      <c r="W18" s="378" t="s">
        <v>305</v>
      </c>
      <c r="X18" s="378"/>
      <c r="Y18" s="378"/>
      <c r="Z18" s="378"/>
      <c r="AA18" s="378"/>
      <c r="AB18" s="378"/>
      <c r="AC18" s="378"/>
      <c r="AD18" s="378"/>
      <c r="AE18" s="378"/>
    </row>
    <row r="19" spans="1:31" x14ac:dyDescent="0.25">
      <c r="A19" s="10"/>
      <c r="B19" s="171"/>
      <c r="C19" s="544"/>
      <c r="D19" s="544"/>
      <c r="E19" s="544"/>
      <c r="F19" s="544"/>
      <c r="G19" s="560"/>
      <c r="H19" s="560"/>
      <c r="I19" s="544"/>
      <c r="J19" s="544"/>
      <c r="K19" s="560"/>
      <c r="L19" s="560"/>
      <c r="M19" s="560"/>
      <c r="N19" s="560"/>
      <c r="O19" s="560"/>
      <c r="P19" s="560"/>
      <c r="Q19" s="170"/>
      <c r="R19" s="11"/>
      <c r="W19" s="378" t="s">
        <v>306</v>
      </c>
      <c r="X19" s="378"/>
      <c r="Y19" s="378"/>
      <c r="Z19" s="378"/>
      <c r="AA19" s="378"/>
      <c r="AB19" s="378"/>
      <c r="AC19" s="378"/>
      <c r="AD19" s="378"/>
      <c r="AE19" s="378"/>
    </row>
    <row r="20" spans="1:31" x14ac:dyDescent="0.25">
      <c r="A20" s="10"/>
      <c r="B20" s="171"/>
      <c r="C20" s="544"/>
      <c r="D20" s="544"/>
      <c r="E20" s="544"/>
      <c r="F20" s="544"/>
      <c r="G20" s="560"/>
      <c r="H20" s="560"/>
      <c r="I20" s="544"/>
      <c r="J20" s="544"/>
      <c r="K20" s="32"/>
      <c r="L20" s="32"/>
      <c r="M20" s="32"/>
      <c r="N20" s="32"/>
      <c r="O20" s="32"/>
      <c r="P20" s="32"/>
      <c r="Q20" s="170"/>
      <c r="R20" s="11"/>
      <c r="W20" s="378" t="s">
        <v>308</v>
      </c>
      <c r="X20" s="378"/>
      <c r="Y20" s="378"/>
      <c r="Z20" s="378"/>
      <c r="AA20" s="378"/>
      <c r="AB20" s="378"/>
      <c r="AC20" s="378"/>
      <c r="AD20" s="378"/>
      <c r="AE20" s="378"/>
    </row>
    <row r="21" spans="1:31" x14ac:dyDescent="0.25">
      <c r="A21" s="10"/>
      <c r="B21" s="171"/>
      <c r="C21" s="544"/>
      <c r="D21" s="544"/>
      <c r="E21" s="544"/>
      <c r="F21" s="544"/>
      <c r="G21" s="560"/>
      <c r="H21" s="560"/>
      <c r="I21" s="544"/>
      <c r="J21" s="544"/>
      <c r="K21" s="32"/>
      <c r="L21" s="32"/>
      <c r="M21" s="32"/>
      <c r="N21" s="32"/>
      <c r="O21" s="32"/>
      <c r="P21" s="32"/>
      <c r="Q21" s="170"/>
      <c r="R21" s="11"/>
      <c r="W21" s="378" t="s">
        <v>309</v>
      </c>
      <c r="X21" s="378"/>
      <c r="Y21" s="378"/>
      <c r="Z21" s="378"/>
      <c r="AA21" s="378"/>
      <c r="AB21" s="378"/>
      <c r="AC21" s="378"/>
      <c r="AD21" s="378"/>
      <c r="AE21" s="378"/>
    </row>
    <row r="22" spans="1:31" x14ac:dyDescent="0.25">
      <c r="A22" s="10"/>
      <c r="B22" s="171"/>
      <c r="C22" s="274"/>
      <c r="D22" s="274"/>
      <c r="E22" s="274"/>
      <c r="F22" s="274"/>
      <c r="G22" s="274"/>
      <c r="H22" s="274"/>
      <c r="I22" s="274"/>
      <c r="J22" s="274"/>
      <c r="K22" s="274"/>
      <c r="L22" s="274"/>
      <c r="M22" s="274"/>
      <c r="N22" s="274"/>
      <c r="O22" s="274"/>
      <c r="P22" s="274"/>
      <c r="Q22" s="170"/>
      <c r="R22" s="11"/>
      <c r="W22" s="378" t="s">
        <v>310</v>
      </c>
      <c r="X22" s="378"/>
      <c r="Y22" s="378"/>
      <c r="Z22" s="378"/>
      <c r="AA22" s="378"/>
      <c r="AB22" s="378"/>
      <c r="AC22" s="378"/>
      <c r="AD22" s="378"/>
      <c r="AE22" s="378"/>
    </row>
    <row r="23" spans="1:31" ht="18.75" x14ac:dyDescent="0.25">
      <c r="A23" s="10"/>
      <c r="B23" s="177"/>
      <c r="C23" s="176"/>
      <c r="D23" s="176"/>
      <c r="E23" s="176"/>
      <c r="F23" s="176"/>
      <c r="G23" s="176"/>
      <c r="H23" s="176"/>
      <c r="I23" s="176"/>
      <c r="J23" s="176"/>
      <c r="K23" s="176"/>
      <c r="L23" s="176"/>
      <c r="M23" s="176"/>
      <c r="N23" s="176"/>
      <c r="O23" s="176"/>
      <c r="P23" s="176"/>
      <c r="Q23" s="178"/>
      <c r="R23" s="11"/>
    </row>
    <row r="24" spans="1:31" x14ac:dyDescent="0.25">
      <c r="A24" s="10"/>
      <c r="B24" s="3"/>
      <c r="C24" s="186"/>
      <c r="D24" s="186"/>
      <c r="E24" s="186"/>
      <c r="F24" s="186"/>
      <c r="G24" s="186"/>
      <c r="H24" s="186"/>
      <c r="I24" s="186"/>
      <c r="J24" s="186"/>
      <c r="K24" s="186"/>
      <c r="L24" s="186"/>
      <c r="M24" s="186"/>
      <c r="N24" s="186"/>
      <c r="O24" s="186"/>
      <c r="P24" s="186"/>
      <c r="Q24" s="187"/>
      <c r="R24" s="11"/>
    </row>
    <row r="25" spans="1:31" x14ac:dyDescent="0.25">
      <c r="A25" s="10"/>
      <c r="B25" s="3"/>
      <c r="C25" s="186"/>
      <c r="D25" s="186"/>
      <c r="E25" s="186"/>
      <c r="F25" s="186"/>
      <c r="G25" s="186"/>
      <c r="H25" s="186"/>
      <c r="I25" s="186"/>
      <c r="J25" s="186"/>
      <c r="K25" s="186"/>
      <c r="L25" s="186"/>
      <c r="M25" s="186"/>
      <c r="N25" s="186"/>
      <c r="O25" s="186"/>
      <c r="P25" s="186"/>
      <c r="Q25" s="187"/>
      <c r="R25" s="11"/>
    </row>
    <row r="26" spans="1:31" x14ac:dyDescent="0.25">
      <c r="A26" s="10"/>
      <c r="B26" s="25"/>
      <c r="C26" s="26"/>
      <c r="D26" s="26"/>
      <c r="E26" s="26"/>
      <c r="F26" s="186"/>
      <c r="G26" s="186"/>
      <c r="H26" s="186"/>
      <c r="I26" s="186"/>
      <c r="J26" s="186"/>
      <c r="K26" s="186"/>
      <c r="L26" s="186"/>
      <c r="M26" s="186"/>
      <c r="N26" s="186"/>
      <c r="O26" s="186"/>
      <c r="P26" s="186"/>
      <c r="Q26" s="187"/>
      <c r="R26" s="11"/>
    </row>
    <row r="27" spans="1:31" x14ac:dyDescent="0.25">
      <c r="A27" s="10"/>
      <c r="B27" s="3"/>
      <c r="C27" s="186"/>
      <c r="D27" s="186"/>
      <c r="E27" s="186"/>
      <c r="F27" s="186"/>
      <c r="G27" s="186"/>
      <c r="H27" s="186"/>
      <c r="I27" s="186"/>
      <c r="J27" s="186"/>
      <c r="K27" s="186"/>
      <c r="L27" s="186"/>
      <c r="M27" s="186"/>
      <c r="N27" s="186"/>
      <c r="O27" s="186"/>
      <c r="P27" s="186"/>
      <c r="Q27" s="187"/>
      <c r="R27" s="11"/>
    </row>
    <row r="28" spans="1:31" x14ac:dyDescent="0.25">
      <c r="A28" s="10"/>
      <c r="B28" s="3"/>
      <c r="C28" s="186"/>
      <c r="D28" s="186"/>
      <c r="E28" s="186"/>
      <c r="F28" s="186"/>
      <c r="G28" s="186"/>
      <c r="H28" s="186"/>
      <c r="I28" s="186"/>
      <c r="J28" s="186"/>
      <c r="K28" s="186"/>
      <c r="L28" s="186"/>
      <c r="M28" s="186"/>
      <c r="N28" s="186"/>
      <c r="O28" s="186"/>
      <c r="P28" s="186"/>
      <c r="Q28" s="187"/>
      <c r="R28" s="11"/>
    </row>
    <row r="29" spans="1:31" ht="72" customHeight="1" x14ac:dyDescent="0.25">
      <c r="A29" s="10"/>
      <c r="B29" s="3"/>
      <c r="C29" s="186"/>
      <c r="D29" s="186"/>
      <c r="E29" s="186"/>
      <c r="F29" s="24"/>
      <c r="G29" s="186"/>
      <c r="H29" s="186"/>
      <c r="I29" s="186"/>
      <c r="J29" s="186"/>
      <c r="K29" s="186"/>
      <c r="L29" s="186"/>
      <c r="M29" s="186"/>
      <c r="N29" s="186"/>
      <c r="O29" s="186"/>
      <c r="P29" s="186"/>
      <c r="Q29" s="187"/>
      <c r="R29" s="11"/>
    </row>
    <row r="30" spans="1:31" ht="26.25" customHeight="1" x14ac:dyDescent="0.25">
      <c r="A30" s="10"/>
      <c r="B30" s="3"/>
      <c r="C30" s="186"/>
      <c r="D30" s="186"/>
      <c r="E30" s="186"/>
      <c r="F30" s="24"/>
      <c r="G30" s="186"/>
      <c r="H30" s="186"/>
      <c r="I30" s="186"/>
      <c r="J30" s="186"/>
      <c r="K30" s="186"/>
      <c r="L30" s="186"/>
      <c r="M30" s="186"/>
      <c r="N30" s="186"/>
      <c r="O30" s="186"/>
      <c r="P30" s="186"/>
      <c r="Q30" s="187"/>
      <c r="R30" s="11"/>
    </row>
    <row r="31" spans="1:31" ht="18.75" x14ac:dyDescent="0.25">
      <c r="A31" s="35"/>
      <c r="B31" s="699"/>
      <c r="C31" s="699"/>
      <c r="D31" s="699"/>
      <c r="E31" s="699"/>
      <c r="F31" s="699"/>
      <c r="G31" s="699"/>
      <c r="H31" s="699"/>
      <c r="I31" s="699"/>
      <c r="J31" s="699"/>
      <c r="K31" s="699"/>
      <c r="L31" s="699"/>
      <c r="M31" s="699"/>
      <c r="N31" s="699"/>
      <c r="O31" s="699"/>
      <c r="P31" s="699"/>
      <c r="Q31" s="700"/>
      <c r="R31" s="11"/>
    </row>
    <row r="32" spans="1:31" ht="3.75" customHeight="1" x14ac:dyDescent="0.25">
      <c r="A32" s="35"/>
      <c r="B32" s="269"/>
      <c r="C32" s="269"/>
      <c r="D32" s="269"/>
      <c r="E32" s="269"/>
      <c r="F32" s="269"/>
      <c r="G32" s="269"/>
      <c r="H32" s="269"/>
      <c r="I32" s="269"/>
      <c r="J32" s="269"/>
      <c r="K32" s="269"/>
      <c r="L32" s="269"/>
      <c r="M32" s="269"/>
      <c r="N32" s="269"/>
      <c r="O32" s="269"/>
      <c r="P32" s="269"/>
      <c r="Q32" s="54"/>
      <c r="R32" s="11"/>
    </row>
    <row r="33" spans="1:18" ht="6" customHeight="1" x14ac:dyDescent="0.25">
      <c r="A33" s="35"/>
      <c r="B33" s="269"/>
      <c r="C33" s="269"/>
      <c r="D33" s="269"/>
      <c r="E33" s="269"/>
      <c r="F33" s="269"/>
      <c r="G33" s="269"/>
      <c r="H33" s="269"/>
      <c r="I33" s="269"/>
      <c r="J33" s="269"/>
      <c r="K33" s="269"/>
      <c r="L33" s="269"/>
      <c r="M33" s="269"/>
      <c r="N33" s="269"/>
      <c r="O33" s="269"/>
      <c r="P33" s="269"/>
      <c r="Q33" s="54"/>
      <c r="R33" s="11"/>
    </row>
    <row r="34" spans="1:18" ht="30.75" customHeight="1" x14ac:dyDescent="0.25">
      <c r="A34" s="35"/>
      <c r="B34" s="186"/>
      <c r="C34" s="701"/>
      <c r="D34" s="701"/>
      <c r="E34" s="701"/>
      <c r="F34" s="701"/>
      <c r="G34" s="701"/>
      <c r="H34" s="701"/>
      <c r="I34" s="701"/>
      <c r="J34" s="701"/>
      <c r="K34" s="186"/>
      <c r="L34" s="418"/>
      <c r="M34" s="418"/>
      <c r="N34" s="418"/>
      <c r="O34" s="418"/>
      <c r="P34" s="418"/>
      <c r="Q34" s="702"/>
      <c r="R34" s="11"/>
    </row>
    <row r="35" spans="1:18" x14ac:dyDescent="0.25">
      <c r="A35" s="35"/>
      <c r="B35" s="277"/>
      <c r="C35" s="703"/>
      <c r="D35" s="703"/>
      <c r="E35" s="665"/>
      <c r="F35" s="419"/>
      <c r="G35" s="418"/>
      <c r="H35" s="418"/>
      <c r="I35" s="665"/>
      <c r="J35" s="419"/>
      <c r="K35" s="186"/>
      <c r="L35" s="651"/>
      <c r="M35" s="651"/>
      <c r="N35" s="186"/>
      <c r="O35" s="651"/>
      <c r="P35" s="651"/>
      <c r="Q35" s="187"/>
      <c r="R35" s="11"/>
    </row>
    <row r="36" spans="1:18" x14ac:dyDescent="0.25">
      <c r="A36" s="35"/>
      <c r="B36" s="277"/>
      <c r="C36" s="703"/>
      <c r="D36" s="703"/>
      <c r="E36" s="665"/>
      <c r="F36" s="419"/>
      <c r="G36" s="418"/>
      <c r="H36" s="418"/>
      <c r="I36" s="665"/>
      <c r="J36" s="419"/>
      <c r="K36" s="186"/>
      <c r="L36" s="651"/>
      <c r="M36" s="651"/>
      <c r="N36" s="186"/>
      <c r="O36" s="651"/>
      <c r="P36" s="651"/>
      <c r="Q36" s="187"/>
      <c r="R36" s="11"/>
    </row>
    <row r="37" spans="1:18" x14ac:dyDescent="0.25">
      <c r="A37" s="35"/>
      <c r="B37" s="277"/>
      <c r="C37" s="703"/>
      <c r="D37" s="703"/>
      <c r="E37" s="665"/>
      <c r="F37" s="419"/>
      <c r="G37" s="418"/>
      <c r="H37" s="418"/>
      <c r="I37" s="665"/>
      <c r="J37" s="419"/>
      <c r="K37" s="186"/>
      <c r="L37" s="186"/>
      <c r="M37" s="186"/>
      <c r="N37" s="186"/>
      <c r="O37" s="186"/>
      <c r="P37" s="186"/>
      <c r="Q37" s="170"/>
      <c r="R37" s="11"/>
    </row>
    <row r="38" spans="1:18" ht="4.5" customHeight="1" x14ac:dyDescent="0.25">
      <c r="A38" s="10"/>
      <c r="B38" s="56"/>
      <c r="C38" s="268"/>
      <c r="D38" s="268"/>
      <c r="E38" s="268"/>
      <c r="F38" s="268"/>
      <c r="G38" s="268"/>
      <c r="H38" s="268"/>
      <c r="I38" s="268"/>
      <c r="J38" s="268"/>
      <c r="K38" s="186"/>
      <c r="L38" s="186"/>
      <c r="M38" s="186"/>
      <c r="N38" s="186"/>
      <c r="O38" s="186"/>
      <c r="P38" s="186"/>
      <c r="Q38" s="170"/>
      <c r="R38" s="11"/>
    </row>
    <row r="39" spans="1:18" ht="15.75" customHeight="1" x14ac:dyDescent="0.25">
      <c r="A39" s="10"/>
      <c r="B39" s="545" t="s">
        <v>35</v>
      </c>
      <c r="C39" s="545"/>
      <c r="D39" s="674" t="str">
        <f>IF(N16&lt;1,W18,W17)</f>
        <v>L1 Fazına ait Akım Trafosunun izolasyon direnç değeri uygundur.</v>
      </c>
      <c r="E39" s="514"/>
      <c r="F39" s="514"/>
      <c r="G39" s="514"/>
      <c r="H39" s="514"/>
      <c r="I39" s="514"/>
      <c r="J39" s="514"/>
      <c r="K39" s="514"/>
      <c r="L39" s="514"/>
      <c r="M39" s="514"/>
      <c r="N39" s="514"/>
      <c r="O39" s="514"/>
      <c r="P39" s="514"/>
      <c r="Q39" s="515"/>
      <c r="R39" s="11"/>
    </row>
    <row r="40" spans="1:18" ht="15" customHeight="1" x14ac:dyDescent="0.25">
      <c r="A40" s="10"/>
      <c r="B40" s="171"/>
      <c r="C40" s="24"/>
      <c r="D40" s="516" t="str">
        <f>IF(N17&lt;1,W20,W19)</f>
        <v>L2 Fazına ait Akım Trafosunun izolasyon direnç değeri uygundur.</v>
      </c>
      <c r="E40" s="516"/>
      <c r="F40" s="516"/>
      <c r="G40" s="516"/>
      <c r="H40" s="516"/>
      <c r="I40" s="516"/>
      <c r="J40" s="516"/>
      <c r="K40" s="516"/>
      <c r="L40" s="516"/>
      <c r="M40" s="516"/>
      <c r="N40" s="516"/>
      <c r="O40" s="516"/>
      <c r="P40" s="516"/>
      <c r="Q40" s="517"/>
      <c r="R40" s="11"/>
    </row>
    <row r="41" spans="1:18" ht="15" customHeight="1" x14ac:dyDescent="0.25">
      <c r="A41" s="10"/>
      <c r="B41" s="171"/>
      <c r="C41" s="24"/>
      <c r="D41" s="516" t="str">
        <f>IF(N18&lt;1,W22,W21)</f>
        <v>L3 Fazına ait Akım Trafosunun izolasyon direnç değeri uygundur.</v>
      </c>
      <c r="E41" s="516"/>
      <c r="F41" s="516"/>
      <c r="G41" s="516"/>
      <c r="H41" s="516"/>
      <c r="I41" s="516"/>
      <c r="J41" s="516"/>
      <c r="K41" s="516"/>
      <c r="L41" s="516"/>
      <c r="M41" s="516"/>
      <c r="N41" s="516"/>
      <c r="O41" s="516"/>
      <c r="P41" s="516"/>
      <c r="Q41" s="517"/>
      <c r="R41" s="11"/>
    </row>
    <row r="42" spans="1:18" ht="15" customHeight="1" x14ac:dyDescent="0.25">
      <c r="A42" s="10"/>
      <c r="B42" s="171"/>
      <c r="C42" s="24"/>
      <c r="D42" s="270"/>
      <c r="E42" s="270"/>
      <c r="F42" s="270"/>
      <c r="G42" s="270"/>
      <c r="H42" s="270"/>
      <c r="I42" s="270"/>
      <c r="J42" s="270"/>
      <c r="K42" s="270"/>
      <c r="L42" s="270"/>
      <c r="M42" s="270"/>
      <c r="N42" s="270"/>
      <c r="O42" s="270"/>
      <c r="P42" s="270"/>
      <c r="Q42" s="271"/>
      <c r="R42" s="11"/>
    </row>
    <row r="43" spans="1:18" x14ac:dyDescent="0.25">
      <c r="A43" s="10"/>
      <c r="B43" s="21"/>
      <c r="C43" s="697"/>
      <c r="D43" s="697"/>
      <c r="E43" s="697"/>
      <c r="F43" s="697"/>
      <c r="G43" s="697"/>
      <c r="H43" s="697"/>
      <c r="I43" s="697"/>
      <c r="J43" s="697"/>
      <c r="K43" s="697"/>
      <c r="L43" s="697"/>
      <c r="M43" s="697"/>
      <c r="N43" s="697"/>
      <c r="O43" s="697"/>
      <c r="P43" s="697"/>
      <c r="Q43" s="698"/>
      <c r="R43" s="11"/>
    </row>
    <row r="44" spans="1:18" s="325" customFormat="1" ht="22.5" customHeight="1" x14ac:dyDescent="0.25">
      <c r="A44" s="10"/>
      <c r="B44" s="520" t="s">
        <v>357</v>
      </c>
      <c r="C44" s="521"/>
      <c r="D44" s="521"/>
      <c r="E44" s="330" t="s">
        <v>24</v>
      </c>
      <c r="F44" s="587" t="s">
        <v>395</v>
      </c>
      <c r="G44" s="587"/>
      <c r="H44" s="587"/>
      <c r="I44" s="588"/>
      <c r="J44" s="403" t="s">
        <v>322</v>
      </c>
      <c r="K44" s="404"/>
      <c r="L44" s="404"/>
      <c r="M44" s="404"/>
      <c r="N44" s="404"/>
      <c r="O44" s="404"/>
      <c r="P44" s="404"/>
      <c r="Q44" s="405"/>
      <c r="R44" s="11"/>
    </row>
    <row r="45" spans="1:18" s="325" customFormat="1" ht="22.5" customHeight="1" x14ac:dyDescent="0.25">
      <c r="A45" s="10"/>
      <c r="B45" s="520" t="s">
        <v>386</v>
      </c>
      <c r="C45" s="521"/>
      <c r="D45" s="521"/>
      <c r="E45" s="330" t="s">
        <v>24</v>
      </c>
      <c r="F45" s="522">
        <f>'ANA SAYFA KESİCİ'!F75</f>
        <v>45307</v>
      </c>
      <c r="G45" s="518"/>
      <c r="H45" s="518"/>
      <c r="I45" s="519"/>
      <c r="J45" s="75"/>
      <c r="K45" s="76"/>
      <c r="L45" s="176"/>
      <c r="M45" s="176"/>
      <c r="N45" s="176"/>
      <c r="O45" s="176"/>
      <c r="P45" s="176"/>
      <c r="Q45" s="178"/>
      <c r="R45" s="11"/>
    </row>
    <row r="46" spans="1:18" s="325" customFormat="1" ht="22.5" customHeight="1" x14ac:dyDescent="0.25">
      <c r="A46" s="10"/>
      <c r="B46" s="495" t="s">
        <v>192</v>
      </c>
      <c r="C46" s="496"/>
      <c r="D46" s="496"/>
      <c r="E46" s="331" t="s">
        <v>24</v>
      </c>
      <c r="F46" s="521">
        <f>'ANA SAYFA'!$F$75</f>
        <v>88258</v>
      </c>
      <c r="G46" s="521"/>
      <c r="H46" s="521"/>
      <c r="I46" s="523"/>
      <c r="J46" s="75"/>
      <c r="K46" s="76"/>
      <c r="L46" s="176"/>
      <c r="M46" s="176"/>
      <c r="N46" s="176"/>
      <c r="O46" s="176"/>
      <c r="P46" s="176"/>
      <c r="Q46" s="178"/>
      <c r="R46" s="11"/>
    </row>
    <row r="47" spans="1:18" s="325" customFormat="1" ht="22.5" customHeight="1" x14ac:dyDescent="0.25">
      <c r="A47" s="10"/>
      <c r="B47" s="495" t="s">
        <v>358</v>
      </c>
      <c r="C47" s="496"/>
      <c r="D47" s="496"/>
      <c r="E47" s="324" t="s">
        <v>24</v>
      </c>
      <c r="F47" s="496" t="str">
        <f>'ANA SAYFA'!$F$76</f>
        <v>K202439698</v>
      </c>
      <c r="G47" s="496"/>
      <c r="H47" s="496"/>
      <c r="I47" s="497"/>
      <c r="J47" s="336"/>
      <c r="K47" s="182"/>
      <c r="L47" s="182"/>
      <c r="M47" s="182"/>
      <c r="N47" s="182"/>
      <c r="O47" s="182"/>
      <c r="P47" s="182"/>
      <c r="Q47" s="179"/>
      <c r="R47" s="11"/>
    </row>
    <row r="48" spans="1:18" ht="15.75" thickBot="1" x14ac:dyDescent="0.3">
      <c r="A48" s="15"/>
      <c r="B48" s="16"/>
      <c r="C48" s="16"/>
      <c r="D48" s="16"/>
      <c r="E48" s="16"/>
      <c r="F48" s="16"/>
      <c r="G48" s="16"/>
      <c r="H48" s="16"/>
      <c r="I48" s="16"/>
      <c r="J48" s="16"/>
      <c r="K48" s="16"/>
      <c r="L48" s="16"/>
      <c r="M48" s="16"/>
      <c r="N48" s="16"/>
      <c r="O48" s="16"/>
      <c r="P48" s="16"/>
      <c r="Q48" s="16"/>
      <c r="R48" s="17"/>
    </row>
  </sheetData>
  <mergeCells count="96">
    <mergeCell ref="B47:D47"/>
    <mergeCell ref="F47:I47"/>
    <mergeCell ref="B44:D44"/>
    <mergeCell ref="F44:I44"/>
    <mergeCell ref="B45:D45"/>
    <mergeCell ref="F45:I45"/>
    <mergeCell ref="B46:D46"/>
    <mergeCell ref="F46:I46"/>
    <mergeCell ref="B39:C39"/>
    <mergeCell ref="D39:Q39"/>
    <mergeCell ref="D40:Q40"/>
    <mergeCell ref="D41:Q41"/>
    <mergeCell ref="C43:Q43"/>
    <mergeCell ref="L35:M35"/>
    <mergeCell ref="O35:P35"/>
    <mergeCell ref="C36:D36"/>
    <mergeCell ref="G36:H36"/>
    <mergeCell ref="L36:M36"/>
    <mergeCell ref="O36:P36"/>
    <mergeCell ref="C35:D35"/>
    <mergeCell ref="E35:E37"/>
    <mergeCell ref="F35:F37"/>
    <mergeCell ref="G35:H35"/>
    <mergeCell ref="I35:I37"/>
    <mergeCell ref="J35:J37"/>
    <mergeCell ref="C37:D37"/>
    <mergeCell ref="G37:H37"/>
    <mergeCell ref="G21:H21"/>
    <mergeCell ref="I21:J21"/>
    <mergeCell ref="W21:AE21"/>
    <mergeCell ref="B31:Q31"/>
    <mergeCell ref="C34:D34"/>
    <mergeCell ref="E34:F34"/>
    <mergeCell ref="G34:H34"/>
    <mergeCell ref="I34:J34"/>
    <mergeCell ref="L34:N34"/>
    <mergeCell ref="O34:Q34"/>
    <mergeCell ref="W22:AE22"/>
    <mergeCell ref="C21:D21"/>
    <mergeCell ref="E21:F21"/>
    <mergeCell ref="O19:P19"/>
    <mergeCell ref="W19:AE19"/>
    <mergeCell ref="C20:D20"/>
    <mergeCell ref="E20:F20"/>
    <mergeCell ref="G20:H20"/>
    <mergeCell ref="I20:J20"/>
    <mergeCell ref="W20:AE20"/>
    <mergeCell ref="C19:D19"/>
    <mergeCell ref="E19:F19"/>
    <mergeCell ref="G19:H19"/>
    <mergeCell ref="I19:J19"/>
    <mergeCell ref="K19:L19"/>
    <mergeCell ref="M19:N19"/>
    <mergeCell ref="W17:AE17"/>
    <mergeCell ref="B18:C18"/>
    <mergeCell ref="D18:E18"/>
    <mergeCell ref="F18:G18"/>
    <mergeCell ref="H18:I18"/>
    <mergeCell ref="K18:L18"/>
    <mergeCell ref="O18:Q18"/>
    <mergeCell ref="W18:AE18"/>
    <mergeCell ref="B17:C17"/>
    <mergeCell ref="D17:E17"/>
    <mergeCell ref="F17:G17"/>
    <mergeCell ref="H17:I17"/>
    <mergeCell ref="K17:L17"/>
    <mergeCell ref="O17:Q17"/>
    <mergeCell ref="N15:Q15"/>
    <mergeCell ref="Y15:Z15"/>
    <mergeCell ref="B16:C16"/>
    <mergeCell ref="D16:E16"/>
    <mergeCell ref="F16:G16"/>
    <mergeCell ref="H16:I16"/>
    <mergeCell ref="K16:L16"/>
    <mergeCell ref="O16:Q16"/>
    <mergeCell ref="B15:C15"/>
    <mergeCell ref="D15:E15"/>
    <mergeCell ref="F15:G15"/>
    <mergeCell ref="H15:J15"/>
    <mergeCell ref="K15:M15"/>
    <mergeCell ref="J44:Q44"/>
    <mergeCell ref="O9:Q9"/>
    <mergeCell ref="B2:F3"/>
    <mergeCell ref="G2:H2"/>
    <mergeCell ref="J2:Q2"/>
    <mergeCell ref="G3:H3"/>
    <mergeCell ref="J3:Q3"/>
    <mergeCell ref="B7:I7"/>
    <mergeCell ref="J7:Q7"/>
    <mergeCell ref="B9:C9"/>
    <mergeCell ref="D9:G9"/>
    <mergeCell ref="H9:I9"/>
    <mergeCell ref="J9:L9"/>
    <mergeCell ref="M9:N9"/>
    <mergeCell ref="B11:Q11"/>
    <mergeCell ref="B13:Q13"/>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4" right="0.23622047244094488" top="0.3543307086614173" bottom="0.3543307086614173"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15</vt:i4>
      </vt:variant>
      <vt:variant>
        <vt:lpstr>Adlandırılmış Aralıklar</vt:lpstr>
      </vt:variant>
      <vt:variant>
        <vt:i4>14</vt:i4>
      </vt:variant>
    </vt:vector>
  </HeadingPairs>
  <TitlesOfParts>
    <vt:vector size="29" baseType="lpstr">
      <vt:lpstr>KAPAK SAYFASI</vt:lpstr>
      <vt:lpstr>ANA SAYFA</vt:lpstr>
      <vt:lpstr>OG SARGI MEVCUT KADEME</vt:lpstr>
      <vt:lpstr>AG SARGI</vt:lpstr>
      <vt:lpstr>İZOLASYON </vt:lpstr>
      <vt:lpstr>Ç.O 34500</vt:lpstr>
      <vt:lpstr>TOPRAKLAMALAR</vt:lpstr>
      <vt:lpstr>HV PF</vt:lpstr>
      <vt:lpstr>LV PF</vt:lpstr>
      <vt:lpstr>ANA SAYFA KESİCİ</vt:lpstr>
      <vt:lpstr>KESİCİ İZOLASYON</vt:lpstr>
      <vt:lpstr>KESİCİ KONTAK</vt:lpstr>
      <vt:lpstr>AÇMA-KAPAMA</vt:lpstr>
      <vt:lpstr>DİĞER</vt:lpstr>
      <vt:lpstr>AKIM TRAFOLARI</vt:lpstr>
      <vt:lpstr>'AÇMA-KAPAMA'!Yazdırma_Alanı</vt:lpstr>
      <vt:lpstr>'AG SARGI'!Yazdırma_Alanı</vt:lpstr>
      <vt:lpstr>'AKIM TRAFOLARI'!Yazdırma_Alanı</vt:lpstr>
      <vt:lpstr>'ANA SAYFA'!Yazdırma_Alanı</vt:lpstr>
      <vt:lpstr>'ANA SAYFA KESİCİ'!Yazdırma_Alanı</vt:lpstr>
      <vt:lpstr>'Ç.O 34500'!Yazdırma_Alanı</vt:lpstr>
      <vt:lpstr>DİĞER!Yazdırma_Alanı</vt:lpstr>
      <vt:lpstr>'HV PF'!Yazdırma_Alanı</vt:lpstr>
      <vt:lpstr>'İZOLASYON '!Yazdırma_Alanı</vt:lpstr>
      <vt:lpstr>'KESİCİ İZOLASYON'!Yazdırma_Alanı</vt:lpstr>
      <vt:lpstr>'KESİCİ KONTAK'!Yazdırma_Alanı</vt:lpstr>
      <vt:lpstr>'LV PF'!Yazdırma_Alanı</vt:lpstr>
      <vt:lpstr>'OG SARGI MEVCUT KADEME'!Yazdırma_Alanı</vt:lpstr>
      <vt:lpstr>TOPRAKLAMALAR!Yazdırma_Alanı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2025-11-03T14:29:36Z</dcterms:modified>
</cp:coreProperties>
</file>