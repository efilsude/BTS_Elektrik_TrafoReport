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542" t="n"/>
      <c r="H11" s="486" t="n"/>
      <c r="I11" s="486" t="n"/>
      <c r="J11" s="486" t="n"/>
      <c r="K11" s="291" t="inlineStr">
        <is>
          <t>Kesici Tipi</t>
        </is>
      </c>
      <c r="N11" s="91" t="inlineStr">
        <is>
          <t xml:space="preserve">: </t>
        </is>
      </c>
      <c r="O11" s="543" t="n"/>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ht="15" customHeight="1" s="227">
      <c r="A13" s="10" t="n"/>
      <c r="B13" s="247" t="inlineStr">
        <is>
          <t>Anma Akımı (A)</t>
        </is>
      </c>
      <c r="F13" s="89" t="inlineStr">
        <is>
          <t>:</t>
        </is>
      </c>
      <c r="G13" s="548" t="n"/>
      <c r="H13" s="486" t="n"/>
      <c r="I13" s="486" t="n"/>
      <c r="J13" s="486" t="n"/>
      <c r="K13" s="277" t="inlineStr">
        <is>
          <t>İmal Yılı</t>
        </is>
      </c>
      <c r="N13" s="549" t="inlineStr">
        <is>
          <t>:</t>
        </is>
      </c>
      <c r="O13" s="550" t="n"/>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ht="15" customHeight="1" s="227">
      <c r="A15" s="10" t="n"/>
      <c r="B15" s="280" t="inlineStr">
        <is>
          <t>Gerilim Seviyesi (V)</t>
        </is>
      </c>
      <c r="F15" s="89" t="inlineStr">
        <is>
          <t xml:space="preserve">:  </t>
        </is>
      </c>
      <c r="G15" s="548" t="n"/>
      <c r="H15" s="486" t="n"/>
      <c r="I15" s="486" t="n"/>
      <c r="J15" s="486" t="n"/>
      <c r="K15" s="277" t="inlineStr">
        <is>
          <t>Seri Numarası</t>
        </is>
      </c>
      <c r="N15" s="549" t="inlineStr">
        <is>
          <t>:</t>
        </is>
      </c>
      <c r="O15" s="551" t="n"/>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n"/>
      <c r="H17" s="486" t="n"/>
      <c r="I17" s="486" t="n"/>
      <c r="J17" s="486" t="n"/>
      <c r="K17" s="277" t="inlineStr">
        <is>
          <t>Bobin Gerilimi</t>
        </is>
      </c>
      <c r="N17" s="549" t="inlineStr">
        <is>
          <t>:</t>
        </is>
      </c>
      <c r="O17" s="551"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552" t="n"/>
      <c r="H24" s="487" t="n"/>
      <c r="I24" s="553" t="n"/>
      <c r="J24" s="554" t="n"/>
      <c r="K24" s="291" t="inlineStr">
        <is>
          <t>Kesici Temizliği</t>
        </is>
      </c>
      <c r="O24" s="89" t="inlineStr">
        <is>
          <t>:</t>
        </is>
      </c>
      <c r="P24" s="552" t="n"/>
      <c r="Q24" s="487" t="n"/>
      <c r="R24" s="553" t="n"/>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ht="15" customHeight="1" s="227">
      <c r="A26" s="10" t="n"/>
      <c r="B26" s="280" t="inlineStr">
        <is>
          <t>DC Redresör Kontrolü</t>
        </is>
      </c>
      <c r="F26" s="89" t="inlineStr">
        <is>
          <t>:</t>
        </is>
      </c>
      <c r="G26" s="557" t="n"/>
      <c r="H26" s="552" t="n"/>
      <c r="I26" s="553" t="n"/>
      <c r="J26" s="554" t="n"/>
      <c r="K26" s="291" t="inlineStr">
        <is>
          <t>Hücre Temizliği</t>
        </is>
      </c>
      <c r="O26" s="89" t="inlineStr">
        <is>
          <t>:</t>
        </is>
      </c>
      <c r="P26" s="552" t="n"/>
      <c r="Q26" s="487" t="n"/>
      <c r="R26" s="553" t="n"/>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ht="15" customHeight="1" s="227">
      <c r="A28" s="10" t="n"/>
      <c r="B28" s="280" t="inlineStr">
        <is>
          <t>İndikatör Kontrolü</t>
        </is>
      </c>
      <c r="F28" s="89" t="inlineStr">
        <is>
          <t>:</t>
        </is>
      </c>
      <c r="G28" s="552" t="n"/>
      <c r="H28" s="487" t="n"/>
      <c r="I28" s="553" t="n"/>
      <c r="J28" s="93" t="n"/>
      <c r="K28" s="291" t="inlineStr">
        <is>
          <t>Bara Kontrolü</t>
        </is>
      </c>
      <c r="O28" s="116" t="inlineStr">
        <is>
          <t xml:space="preserve">: </t>
        </is>
      </c>
      <c r="P28" s="552" t="n"/>
      <c r="Q28" s="487" t="n"/>
      <c r="R28" s="553" t="n"/>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ht="15" customHeight="1" s="227">
      <c r="A30" s="10" t="n"/>
      <c r="B30" s="280" t="inlineStr">
        <is>
          <t>Mekanik Konrolü</t>
        </is>
      </c>
      <c r="F30" s="89" t="inlineStr">
        <is>
          <t>:</t>
        </is>
      </c>
      <c r="G30" s="552" t="n"/>
      <c r="H30" s="487" t="n"/>
      <c r="I30" s="553" t="n"/>
      <c r="J30" s="93" t="n"/>
      <c r="K30" s="291" t="inlineStr">
        <is>
          <t>Isıtıcı Kontrolü</t>
        </is>
      </c>
      <c r="O30" s="89" t="inlineStr">
        <is>
          <t>:</t>
        </is>
      </c>
      <c r="P30" s="552" t="n"/>
      <c r="Q30" s="487" t="n"/>
      <c r="R30" s="553" t="n"/>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ht="15" customHeight="1" s="227">
      <c r="A32" s="10" t="n"/>
      <c r="B32" s="280" t="inlineStr">
        <is>
          <t>Kablo Başlığı Kontrolü</t>
        </is>
      </c>
      <c r="F32" s="110" t="inlineStr">
        <is>
          <t>:</t>
        </is>
      </c>
      <c r="G32" s="552" t="n"/>
      <c r="H32" s="487" t="n"/>
      <c r="I32" s="553" t="n"/>
      <c r="J32" s="93" t="n"/>
      <c r="K32" s="291" t="inlineStr">
        <is>
          <t>A.A Röle Kontrolü</t>
        </is>
      </c>
      <c r="O32" s="111" t="inlineStr">
        <is>
          <t>:</t>
        </is>
      </c>
      <c r="P32" s="552" t="n"/>
      <c r="Q32" s="487" t="n"/>
      <c r="R32" s="55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n"/>
      <c r="D50" s="99" t="n"/>
      <c r="E50" s="99" t="n"/>
      <c r="F50" s="562" t="inlineStr">
        <is>
          <t>kV</t>
        </is>
      </c>
      <c r="G50" s="563" t="n"/>
      <c r="H50" s="99" t="n"/>
      <c r="I50" s="564" t="inlineStr">
        <is>
          <t>GΩ</t>
        </is>
      </c>
      <c r="J50" s="565">
        <f>IF(G50&gt;50,1,0)</f>
        <v/>
      </c>
      <c r="K50" s="376" t="n"/>
      <c r="L50" s="99" t="n"/>
      <c r="M50" s="99" t="n"/>
      <c r="N50" s="482" t="n"/>
      <c r="O50" s="566" t="n"/>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n"/>
      <c r="D52" s="99" t="n"/>
      <c r="E52" s="99" t="n"/>
      <c r="F52" s="562" t="inlineStr">
        <is>
          <t>kV</t>
        </is>
      </c>
      <c r="G52" s="563" t="n"/>
      <c r="H52" s="99" t="n"/>
      <c r="I52" s="564" t="inlineStr">
        <is>
          <t>GΩ</t>
        </is>
      </c>
      <c r="J52" s="565">
        <f>IF(G52&gt;50,1,0)</f>
        <v/>
      </c>
      <c r="K52" s="376" t="n"/>
      <c r="L52" s="99" t="n"/>
      <c r="M52" s="99" t="n"/>
      <c r="N52" s="482" t="n"/>
      <c r="O52" s="571" t="n"/>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n"/>
      <c r="D54" s="99" t="n"/>
      <c r="E54" s="99" t="n"/>
      <c r="F54" s="562" t="inlineStr">
        <is>
          <t>kV</t>
        </is>
      </c>
      <c r="G54" s="563" t="n"/>
      <c r="H54" s="99" t="n"/>
      <c r="I54" s="564" t="inlineStr">
        <is>
          <t>GΩ</t>
        </is>
      </c>
      <c r="J54" s="565">
        <f>IF(G54&gt;50,1,0)</f>
        <v/>
      </c>
      <c r="K54" s="376" t="n"/>
      <c r="L54" s="99" t="n"/>
      <c r="M54" s="99" t="n"/>
      <c r="N54" s="482" t="n"/>
      <c r="O54" s="571" t="n"/>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c r="D61" s="99" t="n"/>
      <c r="E61" s="482" t="inlineStr">
        <is>
          <t>ms</t>
        </is>
      </c>
      <c r="F61" s="527">
        <f>MAX(V80:V85)</f>
        <v/>
      </c>
      <c r="G61" s="99" t="n"/>
      <c r="H61" s="398" t="inlineStr">
        <is>
          <t>ms</t>
        </is>
      </c>
      <c r="I61" s="482" t="n"/>
      <c r="J61" s="572" t="n"/>
      <c r="K61" s="99" t="n"/>
      <c r="L61" s="482" t="inlineStr">
        <is>
          <t>ms</t>
        </is>
      </c>
      <c r="M61" s="527">
        <f>MAX(X80:X85)</f>
        <v/>
      </c>
      <c r="N61" s="99" t="n"/>
      <c r="O61" s="398" t="inlineStr">
        <is>
          <t>ms</t>
        </is>
      </c>
      <c r="P61" s="482" t="n"/>
      <c r="Q61" s="573"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c r="D63" s="99" t="n"/>
      <c r="E63" s="482" t="inlineStr">
        <is>
          <t>ms</t>
        </is>
      </c>
      <c r="F63" s="374" t="inlineStr">
        <is>
          <t>BOBİN AKIMI</t>
        </is>
      </c>
      <c r="G63" s="99" t="n"/>
      <c r="H63" s="99" t="n"/>
      <c r="I63" s="482" t="n"/>
      <c r="J63" s="572" t="n"/>
      <c r="K63" s="99" t="n"/>
      <c r="L63" s="482" t="inlineStr">
        <is>
          <t>ms</t>
        </is>
      </c>
      <c r="M63" s="374" t="inlineStr">
        <is>
          <t>BOBİN AKIMI</t>
        </is>
      </c>
      <c r="N63" s="99" t="n"/>
      <c r="O63" s="99" t="n"/>
      <c r="P63" s="482" t="n"/>
      <c r="Q63" s="573"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ht="15" customHeight="1" s="227">
      <c r="A65" s="10" t="n"/>
      <c r="B65" s="504" t="inlineStr">
        <is>
          <t>L-3</t>
        </is>
      </c>
      <c r="C65" s="572" t="n"/>
      <c r="D65" s="99" t="n"/>
      <c r="E65" s="482" t="inlineStr">
        <is>
          <t>ms</t>
        </is>
      </c>
      <c r="F65" s="576" t="n"/>
      <c r="G65" s="99" t="n"/>
      <c r="H65" s="398" t="inlineStr">
        <is>
          <t>A</t>
        </is>
      </c>
      <c r="I65" s="482" t="n"/>
      <c r="J65" s="572" t="n"/>
      <c r="K65" s="99" t="n"/>
      <c r="L65" s="482" t="inlineStr">
        <is>
          <t>ms</t>
        </is>
      </c>
      <c r="M65" s="576" t="n"/>
      <c r="N65" s="99" t="n"/>
      <c r="O65" s="398" t="inlineStr">
        <is>
          <t>A</t>
        </is>
      </c>
      <c r="P65" s="482" t="n"/>
      <c r="Q65" s="573" t="n"/>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n"/>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2">
        <f>C61-C63</f>
        <v/>
      </c>
      <c r="X80" s="603">
        <f>J61-J63</f>
        <v/>
      </c>
    </row>
    <row r="81" ht="15" customHeight="1" s="227">
      <c r="V81" s="602">
        <f>C61-C65</f>
        <v/>
      </c>
      <c r="X81" s="603">
        <f>J61-J65</f>
        <v/>
      </c>
    </row>
    <row r="82" ht="15" customHeight="1" s="227">
      <c r="V82" s="602">
        <f>C63-C65</f>
        <v/>
      </c>
      <c r="X82" s="603">
        <f>J63-J65</f>
        <v/>
      </c>
    </row>
    <row r="83" ht="15" customHeight="1" s="227">
      <c r="V83" s="602">
        <f>C63-C61</f>
        <v/>
      </c>
      <c r="X83" s="603">
        <f>J63-J61</f>
        <v/>
      </c>
    </row>
    <row r="84" ht="15" customHeight="1" s="227">
      <c r="V84" s="602">
        <f>C65-C61</f>
        <v/>
      </c>
      <c r="X84" s="603">
        <f>J65-J61</f>
        <v/>
      </c>
    </row>
    <row r="85" ht="15" customHeight="1" s="227">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ht="15" customHeight="1" s="227">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28" t="n"/>
      <c r="C38" s="317" t="n"/>
      <c r="E38" s="317" t="n"/>
      <c r="G38" s="317" t="n"/>
      <c r="I38" s="317" t="n"/>
      <c r="K38" s="127" t="n"/>
      <c r="L38" s="607" t="n"/>
      <c r="N38" s="127" t="n"/>
      <c r="O38" s="607" t="n"/>
      <c r="Q38" s="143" t="n"/>
      <c r="R38" s="11" t="n"/>
    </row>
    <row r="39" ht="15" customHeight="1" s="227">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ht="15" customHeight="1" s="227">
      <c r="A40" s="10" t="n"/>
      <c r="B40" s="528" t="n"/>
      <c r="C40" s="317" t="n"/>
      <c r="E40" s="317" t="n"/>
      <c r="G40" s="317" t="n"/>
      <c r="I40" s="317" t="n"/>
      <c r="K40" s="127" t="n"/>
      <c r="L40" s="607" t="n"/>
      <c r="N40" s="127" t="n"/>
      <c r="O40" s="607" t="n"/>
      <c r="Q40" s="143" t="n"/>
      <c r="R40" s="11" t="n"/>
    </row>
    <row r="41" ht="15" customHeight="1" s="227">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ht="15" customHeight="1" s="227">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ht="15" customHeight="1" s="227">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ht="15" customHeight="1" s="227">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ht="15" customHeight="1" s="227">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K18:L18"/>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H18:I18"/>
    <mergeCell ref="O38:P38"/>
    <mergeCell ref="K19:L19"/>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1"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ht="15" customHeight="1" s="2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ht="15" customHeight="1" s="227">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 customHeight="1" s="227">
      <c r="S56" s="54" t="n"/>
    </row>
    <row r="57" ht="15" customHeight="1" s="227">
      <c r="S57" s="127" t="n"/>
    </row>
    <row r="58" ht="15" customHeight="1" s="227">
      <c r="S58" s="27" t="n"/>
    </row>
    <row r="59" ht="15" customHeight="1" s="227">
      <c r="S59" s="127" t="n"/>
    </row>
    <row r="60" ht="15" customHeight="1" s="227">
      <c r="S60" s="635"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zoomScale="82" zoomScaleNormal="82"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5" customHeight="1" s="22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ht="15" customHeight="1" s="227">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ht="15" customHeight="1" s="227">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ht="15" customHeight="1" s="227">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ht="15" customHeight="1" s="227">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ht="15" customHeight="1" s="227">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ht="15" customHeight="1" s="227">
      <c r="A42" s="10" t="n"/>
      <c r="B42" s="3" t="n"/>
      <c r="C42" s="317" t="inlineStr">
        <is>
          <t>MEZÜR</t>
        </is>
      </c>
      <c r="Q42" s="143" t="n"/>
      <c r="R42" s="11" t="n"/>
    </row>
    <row r="43" ht="15" customHeight="1" s="227">
      <c r="A43" s="10" t="n"/>
      <c r="B43" s="528" t="n"/>
      <c r="C43" s="317" t="inlineStr">
        <is>
          <t>KAL. NO: 389202 / TARİH: 16.04.2025</t>
        </is>
      </c>
      <c r="Q43" s="143" t="n"/>
      <c r="R43" s="11" t="n"/>
    </row>
    <row r="44" ht="15" customHeight="1" s="227">
      <c r="A44" s="10" t="n"/>
      <c r="B44" s="528" t="n"/>
      <c r="C44" s="317" t="inlineStr">
        <is>
          <t>DENSİMETRE</t>
        </is>
      </c>
      <c r="Q44" s="117" t="n"/>
      <c r="R44" s="11" t="n"/>
    </row>
    <row r="45" ht="15" customHeight="1" s="227">
      <c r="A45" s="10" t="n"/>
      <c r="B45" s="528" t="n"/>
      <c r="C45" s="317" t="inlineStr">
        <is>
          <t>KAL.NO: 389201 / TARİH:  17.04.2025</t>
        </is>
      </c>
      <c r="Q45" s="117" t="n"/>
      <c r="R45" s="11" t="n"/>
    </row>
    <row r="46" ht="15" customHeight="1" s="227">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ht="15" customHeight="1" s="227">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C45:P45"/>
    <mergeCell ref="N22:O22"/>
    <mergeCell ref="B34:D34"/>
    <mergeCell ref="K26:L26"/>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2026-08-18T08:24:09Z</dcterms:modified>
</cp:coreProperties>
</file>