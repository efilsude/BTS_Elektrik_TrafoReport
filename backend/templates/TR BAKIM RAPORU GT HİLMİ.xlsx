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sheets/sheet8.xml" ContentType="application/vnd.openxmlformats-officedocument.spreadsheetml.worksheet+xml"/>
  <Override PartName="/xl/drawings/drawing8.xml" ContentType="application/vnd.openxmlformats-officedocument.drawing+xml"/>
  <Override PartName="/xl/worksheets/sheet9.xml" ContentType="application/vnd.openxmlformats-officedocument.spreadsheetml.worksheet+xml"/>
  <Override PartName="/xl/drawings/drawing9.xml" ContentType="application/vnd.openxmlformats-officedocument.drawing+xml"/>
  <Override PartName="/xl/worksheets/sheet10.xml" ContentType="application/vnd.openxmlformats-officedocument.spreadsheetml.worksheet+xml"/>
  <Override PartName="/xl/drawings/drawing10.xml" ContentType="application/vnd.openxmlformats-officedocument.drawing+xml"/>
  <Override PartName="/xl/worksheets/sheet11.xml" ContentType="application/vnd.openxmlformats-officedocument.spreadsheetml.worksheet+xml"/>
  <Override PartName="/xl/drawings/drawing11.xml" ContentType="application/vnd.openxmlformats-officedocument.drawing+xml"/>
  <Override PartName="/xl/worksheets/sheet12.xml" ContentType="application/vnd.openxmlformats-officedocument.spreadsheetml.worksheet+xml"/>
  <Override PartName="/xl/drawings/drawing12.xml" ContentType="application/vnd.openxmlformats-officedocument.drawing+xml"/>
  <Override PartName="/xl/worksheets/sheet13.xml" ContentType="application/vnd.openxmlformats-officedocument.spreadsheetml.worksheet+xml"/>
  <Override PartName="/xl/drawings/drawing13.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BuÇalışmaKitabı"/>
  <bookViews>
    <workbookView visibility="visible" minimized="0" showHorizontalScroll="1" showVerticalScroll="1" showSheetTabs="1" xWindow="-120" yWindow="-120" windowWidth="29040" windowHeight="15840" tabRatio="851" firstSheet="0" activeTab="6" autoFilterDateGrouping="1"/>
  </bookViews>
  <sheets>
    <sheet xmlns:r="http://schemas.openxmlformats.org/officeDocument/2006/relationships" name="KAPAK SAYFASI" sheetId="1" state="visible" r:id="rId1"/>
    <sheet xmlns:r="http://schemas.openxmlformats.org/officeDocument/2006/relationships" name="ANA SAYFA" sheetId="2" state="visible" r:id="rId2"/>
    <sheet xmlns:r="http://schemas.openxmlformats.org/officeDocument/2006/relationships" name="OG SARGI MEVCUT KADEME" sheetId="3" state="visible" r:id="rId3"/>
    <sheet xmlns:r="http://schemas.openxmlformats.org/officeDocument/2006/relationships" name="AG SARGI" sheetId="4" state="visible" r:id="rId4"/>
    <sheet xmlns:r="http://schemas.openxmlformats.org/officeDocument/2006/relationships" name="İZOLASYON " sheetId="5" state="visible" r:id="rId5"/>
    <sheet xmlns:r="http://schemas.openxmlformats.org/officeDocument/2006/relationships" name="Ç.O 34500" sheetId="6" state="visible" r:id="rId6"/>
    <sheet xmlns:r="http://schemas.openxmlformats.org/officeDocument/2006/relationships" name="TOPRAKLAMALAR" sheetId="7" state="visible" r:id="rId7"/>
    <sheet xmlns:r="http://schemas.openxmlformats.org/officeDocument/2006/relationships" name="ANA SAYFA KESİCİ" sheetId="8" state="visible" r:id="rId8"/>
    <sheet xmlns:r="http://schemas.openxmlformats.org/officeDocument/2006/relationships" name="KESİCİ İZOLASYON" sheetId="9" state="visible" r:id="rId9"/>
    <sheet xmlns:r="http://schemas.openxmlformats.org/officeDocument/2006/relationships" name="KESİCİ KONTAK" sheetId="10" state="visible" r:id="rId10"/>
    <sheet xmlns:r="http://schemas.openxmlformats.org/officeDocument/2006/relationships" name="AÇMA-KAPAMA" sheetId="11" state="visible" r:id="rId11"/>
    <sheet xmlns:r="http://schemas.openxmlformats.org/officeDocument/2006/relationships" name="YAĞ RAPORU" sheetId="12" state="visible" r:id="rId12"/>
    <sheet xmlns:r="http://schemas.openxmlformats.org/officeDocument/2006/relationships" name="HERMETİK YAĞ DİLEKÇESİ" sheetId="13" state="visible" r:id="rId13"/>
  </sheets>
  <definedNames>
    <definedName name="_xlnm.Print_Area" localSheetId="1">'ANA SAYFA'!$A$1:$T$83</definedName>
    <definedName name="_xlnm.Print_Area" localSheetId="2">'OG SARGI MEVCUT KADEME'!$A$1:$R$49</definedName>
    <definedName name="_xlnm.Print_Area" localSheetId="3">'AG SARGI'!$A$1:$R$49</definedName>
    <definedName name="_xlnm.Print_Area" localSheetId="4">'İZOLASYON '!$A$1:$R$54</definedName>
    <definedName name="_xlnm.Print_Area" localSheetId="5">'Ç.O 34500'!$A$1:$R$54</definedName>
    <definedName name="_xlnm.Print_Area" localSheetId="12">'HERMETİK YAĞ DİLEKÇESİ'!$A$1:$R$56</definedName>
  </definedNames>
  <calcPr calcId="152511" fullCalcOnLoad="1"/>
</workbook>
</file>

<file path=xl/styles.xml><?xml version="1.0" encoding="utf-8"?>
<styleSheet xmlns="http://schemas.openxmlformats.org/spreadsheetml/2006/main">
  <numFmts count="9">
    <numFmt numFmtId="164" formatCode="0.000"/>
    <numFmt numFmtId="165" formatCode="0.000000"/>
    <numFmt numFmtId="166" formatCode="0.0"/>
    <numFmt numFmtId="167" formatCode="0.000%"/>
    <numFmt numFmtId="168" formatCode="dd/mm/yyyy;@"/>
    <numFmt numFmtId="169" formatCode="0.0000"/>
    <numFmt numFmtId="170" formatCode="0.0000000"/>
    <numFmt numFmtId="171" formatCode="0.0000%"/>
    <numFmt numFmtId="172" formatCode="0.00000"/>
  </numFmts>
  <fonts count="42">
    <font>
      <name val="Calibri"/>
      <family val="2"/>
      <color theme="1"/>
      <sz val="11"/>
      <scheme val="minor"/>
    </font>
    <font>
      <name val="Calibri"/>
      <charset val="162"/>
      <family val="2"/>
      <color theme="1"/>
      <sz val="11"/>
      <scheme val="minor"/>
    </font>
    <font>
      <name val="Calibri"/>
      <charset val="162"/>
      <family val="2"/>
      <color theme="1"/>
      <sz val="11"/>
      <scheme val="minor"/>
    </font>
    <font>
      <name val="Calibri"/>
      <charset val="162"/>
      <family val="2"/>
      <color theme="1"/>
      <sz val="11"/>
      <scheme val="minor"/>
    </font>
    <font>
      <name val="Calibri"/>
      <charset val="162"/>
      <family val="2"/>
      <color theme="1"/>
      <sz val="11"/>
      <scheme val="minor"/>
    </font>
    <font>
      <name val="Calibri"/>
      <charset val="162"/>
      <family val="2"/>
      <color theme="1"/>
      <sz val="11"/>
      <scheme val="minor"/>
    </font>
    <font>
      <name val="Calibri"/>
      <charset val="162"/>
      <family val="2"/>
      <color theme="1"/>
      <sz val="11"/>
      <scheme val="minor"/>
    </font>
    <font>
      <name val="Calibri"/>
      <charset val="162"/>
      <family val="2"/>
      <b val="1"/>
      <color theme="1"/>
      <sz val="11"/>
      <scheme val="minor"/>
    </font>
    <font>
      <name val="Calibri"/>
      <family val="2"/>
      <color theme="1"/>
      <sz val="14"/>
      <scheme val="minor"/>
    </font>
    <font>
      <name val="Calibri"/>
      <family val="2"/>
      <color theme="1"/>
      <sz val="12"/>
      <scheme val="minor"/>
    </font>
    <font>
      <name val="Calibri"/>
      <charset val="162"/>
      <family val="2"/>
      <b val="1"/>
      <color theme="1"/>
      <sz val="14"/>
      <scheme val="minor"/>
    </font>
    <font>
      <name val="Calibri"/>
      <charset val="162"/>
      <family val="2"/>
      <color theme="1"/>
      <sz val="14"/>
      <scheme val="minor"/>
    </font>
    <font>
      <name val="Calibri"/>
      <charset val="162"/>
      <family val="2"/>
      <b val="1"/>
      <color theme="1"/>
      <sz val="12"/>
      <scheme val="minor"/>
    </font>
    <font>
      <name val="Arial Tur"/>
      <charset val="162"/>
      <color theme="1"/>
      <sz val="9"/>
    </font>
    <font>
      <name val="Calibri"/>
      <family val="2"/>
      <b val="1"/>
      <color theme="1"/>
      <sz val="11"/>
      <scheme val="minor"/>
    </font>
    <font>
      <name val="Arial Tur"/>
      <charset val="162"/>
      <b val="1"/>
      <color theme="1"/>
      <sz val="11"/>
    </font>
    <font>
      <name val="Calibri"/>
      <family val="2"/>
      <b val="1"/>
      <color theme="1"/>
      <sz val="11"/>
    </font>
    <font>
      <name val="Calibri"/>
      <family val="2"/>
      <sz val="11"/>
      <scheme val="minor"/>
    </font>
    <font>
      <name val="Calibri"/>
      <family val="2"/>
      <sz val="12"/>
      <scheme val="minor"/>
    </font>
    <font>
      <name val="Calibri"/>
      <charset val="162"/>
      <family val="2"/>
      <color rgb="FF006100"/>
      <sz val="11"/>
      <scheme val="minor"/>
    </font>
    <font>
      <name val="Calibri"/>
      <charset val="162"/>
      <family val="2"/>
      <color theme="1"/>
      <sz val="12"/>
      <scheme val="minor"/>
    </font>
    <font>
      <name val="Calibri"/>
      <charset val="162"/>
      <family val="2"/>
      <color theme="1"/>
      <sz val="10"/>
      <scheme val="minor"/>
    </font>
    <font>
      <name val="Calibri"/>
      <family val="2"/>
      <color theme="1"/>
      <sz val="10"/>
      <scheme val="minor"/>
    </font>
    <font>
      <name val="Calibri"/>
      <charset val="162"/>
      <family val="2"/>
      <color theme="1"/>
      <sz val="13"/>
      <scheme val="minor"/>
    </font>
    <font>
      <name val="Calibri"/>
      <charset val="162"/>
      <family val="2"/>
      <color theme="1"/>
      <sz val="8"/>
      <scheme val="minor"/>
    </font>
    <font>
      <name val="Arial Tur"/>
      <charset val="162"/>
      <color theme="1"/>
      <sz val="12"/>
    </font>
    <font>
      <name val="Wingdings"/>
      <charset val="2"/>
      <color theme="1"/>
      <sz val="10"/>
    </font>
    <font>
      <name val="Calibri"/>
      <charset val="162"/>
      <family val="2"/>
      <b val="1"/>
      <color rgb="FF3F3F3F"/>
      <sz val="11"/>
      <scheme val="minor"/>
    </font>
    <font>
      <name val="Calibri"/>
      <charset val="162"/>
      <family val="2"/>
      <b val="1"/>
      <color theme="1"/>
      <sz val="9"/>
      <scheme val="minor"/>
    </font>
    <font>
      <name val="Calibri"/>
      <charset val="162"/>
      <family val="2"/>
      <color theme="1"/>
      <sz val="9"/>
      <scheme val="minor"/>
    </font>
    <font>
      <name val="Calibri"/>
      <family val="2"/>
      <color theme="1"/>
      <sz val="8"/>
      <scheme val="minor"/>
    </font>
    <font>
      <name val="Calibri"/>
      <charset val="162"/>
      <family val="2"/>
      <b val="1"/>
      <color theme="1"/>
      <sz val="10"/>
      <scheme val="minor"/>
    </font>
    <font>
      <name val="Calibri"/>
      <family val="2"/>
      <color theme="10"/>
      <sz val="11"/>
      <u val="single"/>
      <scheme val="minor"/>
    </font>
    <font>
      <name val="Calibri"/>
      <family val="2"/>
      <color rgb="FFFFCC00"/>
      <sz val="11"/>
      <u val="single"/>
      <scheme val="minor"/>
    </font>
    <font>
      <name val="Arial Tur"/>
      <charset val="162"/>
      <color theme="1"/>
      <sz val="11"/>
    </font>
    <font>
      <name val="Calibri"/>
      <family val="2"/>
      <color rgb="FFFF0000"/>
      <sz val="11"/>
      <scheme val="minor"/>
    </font>
    <font>
      <name val="Calibri"/>
      <charset val="162"/>
      <family val="2"/>
      <color rgb="FFFF0000"/>
      <sz val="11"/>
      <scheme val="minor"/>
    </font>
    <font>
      <name val="Calibri"/>
      <family val="2"/>
      <color rgb="FFFF0000"/>
      <sz val="10"/>
      <scheme val="minor"/>
    </font>
    <font>
      <name val="Wingdings"/>
      <charset val="2"/>
      <color rgb="FFFF0000"/>
      <sz val="10"/>
    </font>
    <font>
      <name val="Calibri"/>
      <charset val="162"/>
      <family val="2"/>
      <b val="1"/>
      <i val="1"/>
      <color theme="1"/>
      <sz val="12"/>
      <scheme val="minor"/>
    </font>
    <font>
      <name val="Calibri"/>
      <charset val="162"/>
      <family val="2"/>
      <i val="1"/>
      <color theme="1"/>
      <sz val="11"/>
      <scheme val="minor"/>
    </font>
    <font>
      <name val="Calibri"/>
      <charset val="162"/>
      <family val="2"/>
      <b val="1"/>
      <sz val="11"/>
      <scheme val="minor"/>
    </font>
  </fonts>
  <fills count="7">
    <fill>
      <patternFill/>
    </fill>
    <fill>
      <patternFill patternType="gray125"/>
    </fill>
    <fill>
      <patternFill patternType="solid">
        <fgColor rgb="FFC6EFCE"/>
      </patternFill>
    </fill>
    <fill>
      <patternFill patternType="solid">
        <fgColor theme="0" tint="-0.1499984740745262"/>
        <bgColor indexed="64"/>
      </patternFill>
    </fill>
    <fill>
      <patternFill patternType="solid">
        <fgColor rgb="FFF2F2F2"/>
      </patternFill>
    </fill>
    <fill>
      <patternFill patternType="solid">
        <fgColor theme="0"/>
        <bgColor indexed="64"/>
      </patternFill>
    </fill>
    <fill>
      <patternFill patternType="solid">
        <fgColor rgb="FFFFCC00"/>
        <bgColor indexed="64"/>
      </patternFill>
    </fill>
  </fills>
  <borders count="51">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indexed="64"/>
      </right>
      <top/>
      <bottom/>
      <diagonal/>
    </border>
    <border>
      <left style="thin">
        <color indexed="64"/>
      </left>
      <right style="medium">
        <color indexed="64"/>
      </right>
      <top/>
      <bottom/>
      <diagonal/>
    </border>
    <border>
      <left/>
      <right style="thin">
        <color indexed="64"/>
      </right>
      <top/>
      <bottom style="dotted">
        <color indexed="64"/>
      </bottom>
      <diagonal/>
    </border>
    <border>
      <left/>
      <right/>
      <top/>
      <bottom style="dotted">
        <color indexed="64"/>
      </bottom>
      <diagonal/>
    </border>
    <border>
      <left style="thin">
        <color indexed="64"/>
      </left>
      <right/>
      <top/>
      <bottom style="dotted">
        <color indexed="64"/>
      </bottom>
      <diagonal/>
    </border>
    <border>
      <left/>
      <right style="thin">
        <color indexed="64"/>
      </right>
      <top style="thin">
        <color indexed="64"/>
      </top>
      <bottom style="dotted">
        <color indexed="64"/>
      </bottom>
      <diagonal/>
    </border>
    <border>
      <left/>
      <right/>
      <top style="thin">
        <color indexed="64"/>
      </top>
      <bottom style="dotted">
        <color indexed="64"/>
      </bottom>
      <diagonal/>
    </border>
    <border>
      <left style="thin">
        <color rgb="FF3F3F3F"/>
      </left>
      <right style="thin">
        <color rgb="FF3F3F3F"/>
      </right>
      <top style="thin">
        <color rgb="FF3F3F3F"/>
      </top>
      <bottom style="thin">
        <color rgb="FF3F3F3F"/>
      </bottom>
      <diagonal/>
    </border>
    <border>
      <left/>
      <right style="medium">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tted">
        <color indexed="64"/>
      </bottom>
      <diagonal/>
    </border>
    <border>
      <left style="thin">
        <color indexed="64"/>
      </left>
      <right style="thin">
        <color indexed="64"/>
      </right>
      <top/>
      <bottom/>
      <diagonal/>
    </border>
    <border>
      <left/>
      <right style="medium">
        <color indexed="64"/>
      </right>
      <top style="thin">
        <color indexed="64"/>
      </top>
      <bottom/>
      <diagonal/>
    </border>
    <border>
      <left style="thin">
        <color indexed="64"/>
      </left>
      <right style="thin">
        <color indexed="64"/>
      </right>
      <top style="thin">
        <color indexed="64"/>
      </top>
      <bottom/>
      <diagonal/>
    </border>
    <border>
      <left/>
      <right style="thin">
        <color rgb="FF3F3F3F"/>
      </right>
      <top/>
      <bottom style="dotted">
        <color indexed="64"/>
      </bottom>
      <diagonal/>
    </border>
    <border>
      <left style="thin">
        <color indexed="64"/>
      </left>
      <right style="thin">
        <color indexed="64"/>
      </right>
      <top style="dotted">
        <color indexed="64"/>
      </top>
      <bottom style="dotted">
        <color indexed="64"/>
      </bottom>
      <diagonal/>
    </border>
    <border>
      <left/>
      <right/>
      <top style="dotted">
        <color indexed="64"/>
      </top>
      <bottom style="dotted">
        <color indexed="64"/>
      </bottom>
      <diagonal/>
    </border>
    <border>
      <left/>
      <right style="thin">
        <color indexed="64"/>
      </right>
      <top style="dotted">
        <color indexed="64"/>
      </top>
      <bottom style="dotted">
        <color indexed="64"/>
      </bottom>
      <diagonal/>
    </border>
    <border>
      <left style="thin">
        <color indexed="64"/>
      </left>
      <right/>
      <top style="dotted">
        <color indexed="64"/>
      </top>
      <bottom style="dotted">
        <color indexed="64"/>
      </bottom>
      <diagonal/>
    </border>
    <border>
      <left/>
      <right/>
      <top style="dotted">
        <color indexed="64"/>
      </top>
      <bottom/>
      <diagonal/>
    </border>
    <border>
      <left/>
      <right style="thin">
        <color indexed="64"/>
      </right>
      <top style="dotted">
        <color indexed="64"/>
      </top>
      <bottom/>
      <diagonal/>
    </border>
    <border>
      <left/>
      <right style="thin">
        <color rgb="FF3F3F3F"/>
      </right>
      <top/>
      <bottom/>
      <diagonal/>
    </border>
    <border>
      <left style="thin">
        <color indexed="64"/>
      </left>
      <right style="medium">
        <color indexed="64"/>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right style="thin">
        <color indexed="64"/>
      </right>
      <top style="medium">
        <color indexed="64"/>
      </top>
      <bottom style="medium">
        <color indexed="64"/>
      </bottom>
      <diagonal/>
    </border>
    <border>
      <left/>
      <right style="thin">
        <color indexed="64"/>
      </right>
      <top style="medium">
        <color indexed="64"/>
      </top>
      <bottom/>
      <diagonal/>
    </border>
  </borders>
  <cellStyleXfs count="4">
    <xf numFmtId="0" fontId="0" fillId="0" borderId="0"/>
    <xf numFmtId="0" fontId="19" fillId="2" borderId="0"/>
    <xf numFmtId="0" fontId="27" fillId="4" borderId="28"/>
    <xf numFmtId="0" fontId="32" fillId="0" borderId="0"/>
  </cellStyleXfs>
  <cellXfs count="667">
    <xf numFmtId="0" fontId="0" fillId="0" borderId="0" pivotButton="0" quotePrefix="0" xfId="0"/>
    <xf numFmtId="0" fontId="0" fillId="0" borderId="0" pivotButton="0" quotePrefix="0" xfId="0"/>
    <xf numFmtId="0" fontId="0" fillId="0" borderId="1" applyAlignment="1" pivotButton="0" quotePrefix="0" xfId="0">
      <alignment horizontal="center" vertical="center"/>
    </xf>
    <xf numFmtId="0" fontId="0" fillId="0" borderId="11" applyAlignment="1" pivotButton="0" quotePrefix="0" xfId="0">
      <alignment vertical="center"/>
    </xf>
    <xf numFmtId="0" fontId="0" fillId="0" borderId="0" applyAlignment="1" pivotButton="0" quotePrefix="0" xfId="0">
      <alignment vertical="center"/>
    </xf>
    <xf numFmtId="0" fontId="0" fillId="0" borderId="12" applyAlignment="1" pivotButton="0" quotePrefix="0" xfId="0">
      <alignment vertical="center"/>
    </xf>
    <xf numFmtId="0" fontId="0" fillId="0" borderId="11" applyAlignment="1" pivotButton="0" quotePrefix="0" xfId="0">
      <alignment horizontal="center" vertical="center"/>
    </xf>
    <xf numFmtId="0" fontId="0" fillId="0" borderId="12" applyAlignment="1" pivotButton="0" quotePrefix="0" xfId="0">
      <alignment horizontal="center" vertical="center"/>
    </xf>
    <xf numFmtId="0" fontId="0" fillId="0" borderId="11" pivotButton="0" quotePrefix="0" xfId="0"/>
    <xf numFmtId="0" fontId="0" fillId="0" borderId="12" pivotButton="0" quotePrefix="0" xfId="0"/>
    <xf numFmtId="0" fontId="0" fillId="0" borderId="16" pivotButton="0" quotePrefix="0" xfId="0"/>
    <xf numFmtId="0" fontId="0" fillId="0" borderId="17" pivotButton="0" quotePrefix="0" xfId="0"/>
    <xf numFmtId="0" fontId="0" fillId="0" borderId="13" pivotButton="0" quotePrefix="0" xfId="0"/>
    <xf numFmtId="0" fontId="0" fillId="0" borderId="14" pivotButton="0" quotePrefix="0" xfId="0"/>
    <xf numFmtId="0" fontId="0" fillId="0" borderId="15" pivotButton="0" quotePrefix="0" xfId="0"/>
    <xf numFmtId="0" fontId="0" fillId="0" borderId="18" pivotButton="0" quotePrefix="0" xfId="0"/>
    <xf numFmtId="0" fontId="0" fillId="0" borderId="19" pivotButton="0" quotePrefix="0" xfId="0"/>
    <xf numFmtId="0" fontId="0" fillId="0" borderId="20" pivotButton="0" quotePrefix="0" xfId="0"/>
    <xf numFmtId="0" fontId="0" fillId="0" borderId="2" applyAlignment="1" pivotButton="0" quotePrefix="0" xfId="0">
      <alignment horizontal="center" vertical="center"/>
    </xf>
    <xf numFmtId="164" fontId="0" fillId="0" borderId="3" applyAlignment="1" pivotButton="0" quotePrefix="0" xfId="0">
      <alignment horizontal="center" vertical="center"/>
    </xf>
    <xf numFmtId="0" fontId="0" fillId="0" borderId="4" applyAlignment="1" pivotButton="0" quotePrefix="0" xfId="0">
      <alignment horizontal="center" vertical="center"/>
    </xf>
    <xf numFmtId="0" fontId="0" fillId="0" borderId="6" pivotButton="0" quotePrefix="0" xfId="0"/>
    <xf numFmtId="0" fontId="0" fillId="0" borderId="7" pivotButton="0" quotePrefix="0" xfId="0"/>
    <xf numFmtId="164" fontId="0" fillId="0" borderId="0" applyAlignment="1" pivotButton="0" quotePrefix="0" xfId="0">
      <alignment vertical="center"/>
    </xf>
    <xf numFmtId="0" fontId="7" fillId="0" borderId="11" applyAlignment="1" pivotButton="0" quotePrefix="0" xfId="0">
      <alignment vertical="center"/>
    </xf>
    <xf numFmtId="0" fontId="7" fillId="0" borderId="0" applyAlignment="1" pivotButton="0" quotePrefix="0" xfId="0">
      <alignment vertical="center"/>
    </xf>
    <xf numFmtId="0" fontId="11" fillId="0" borderId="0" applyAlignment="1" pivotButton="0" quotePrefix="0" xfId="0">
      <alignment vertical="center"/>
    </xf>
    <xf numFmtId="0" fontId="6" fillId="0" borderId="0" applyAlignment="1" pivotButton="0" quotePrefix="0" xfId="0">
      <alignment vertical="center"/>
    </xf>
    <xf numFmtId="0" fontId="11" fillId="0" borderId="11" applyAlignment="1" pivotButton="0" quotePrefix="0" xfId="0">
      <alignment vertical="center"/>
    </xf>
    <xf numFmtId="0" fontId="11" fillId="0" borderId="12" applyAlignment="1" pivotButton="0" quotePrefix="0" xfId="0">
      <alignment vertical="center"/>
    </xf>
    <xf numFmtId="165" fontId="0" fillId="0" borderId="0" applyAlignment="1" pivotButton="0" quotePrefix="0" xfId="0">
      <alignment vertical="center"/>
    </xf>
    <xf numFmtId="0" fontId="13" fillId="0" borderId="10" applyAlignment="1" pivotButton="0" quotePrefix="0" xfId="0">
      <alignment vertical="center"/>
    </xf>
    <xf numFmtId="164" fontId="0" fillId="0" borderId="0" applyAlignment="1" pivotButton="0" quotePrefix="0" xfId="0">
      <alignment horizontal="center"/>
    </xf>
    <xf numFmtId="0" fontId="0" fillId="0" borderId="21" pivotButton="0" quotePrefix="0" xfId="0"/>
    <xf numFmtId="164" fontId="0" fillId="0" borderId="0" pivotButton="0" quotePrefix="0" xfId="0"/>
    <xf numFmtId="10" fontId="0" fillId="0" borderId="0" pivotButton="0" quotePrefix="0" xfId="0"/>
    <xf numFmtId="0" fontId="0" fillId="0" borderId="11" applyAlignment="1" pivotButton="0" quotePrefix="0" xfId="0">
      <alignment horizontal="center" vertical="center"/>
    </xf>
    <xf numFmtId="0" fontId="0" fillId="0" borderId="1" applyAlignment="1" pivotButton="0" quotePrefix="0" xfId="0">
      <alignment horizontal="center" vertical="center"/>
    </xf>
    <xf numFmtId="0" fontId="11" fillId="0" borderId="10" applyAlignment="1" pivotButton="0" quotePrefix="0" xfId="0">
      <alignment vertical="center"/>
    </xf>
    <xf numFmtId="0" fontId="0" fillId="0" borderId="2" applyAlignment="1" pivotButton="0" quotePrefix="0" xfId="0">
      <alignment vertical="center"/>
    </xf>
    <xf numFmtId="0" fontId="0" fillId="0" borderId="3" applyAlignment="1" pivotButton="0" quotePrefix="0" xfId="0">
      <alignment vertical="center"/>
    </xf>
    <xf numFmtId="0" fontId="0" fillId="0" borderId="4" applyAlignment="1" pivotButton="0" quotePrefix="0" xfId="0">
      <alignment vertical="center"/>
    </xf>
    <xf numFmtId="0" fontId="0" fillId="0" borderId="5" applyAlignment="1" pivotButton="0" quotePrefix="0" xfId="0">
      <alignment vertical="center"/>
    </xf>
    <xf numFmtId="0" fontId="0" fillId="0" borderId="6" applyAlignment="1" pivotButton="0" quotePrefix="0" xfId="0">
      <alignment vertical="center"/>
    </xf>
    <xf numFmtId="0" fontId="0" fillId="0" borderId="1" applyAlignment="1" pivotButton="0" quotePrefix="0" xfId="0">
      <alignment vertical="center"/>
    </xf>
    <xf numFmtId="2" fontId="0" fillId="0" borderId="0" applyAlignment="1" pivotButton="0" quotePrefix="0" xfId="0">
      <alignment vertical="center"/>
    </xf>
    <xf numFmtId="0" fontId="0" fillId="0" borderId="2" pivotButton="0" quotePrefix="0" xfId="0"/>
    <xf numFmtId="0" fontId="0" fillId="0" borderId="3" pivotButton="0" quotePrefix="0" xfId="0"/>
    <xf numFmtId="0" fontId="9" fillId="0" borderId="3" applyAlignment="1" pivotButton="0" quotePrefix="0" xfId="0">
      <alignment vertical="center"/>
    </xf>
    <xf numFmtId="0" fontId="0" fillId="0" borderId="5" pivotButton="0" quotePrefix="0" xfId="0"/>
    <xf numFmtId="0" fontId="0" fillId="0" borderId="6" pivotButton="0" quotePrefix="0" xfId="0"/>
    <xf numFmtId="0" fontId="9" fillId="0" borderId="6" applyAlignment="1" pivotButton="0" quotePrefix="0" xfId="0">
      <alignment vertical="center"/>
    </xf>
    <xf numFmtId="164" fontId="0" fillId="0" borderId="3" applyAlignment="1" pivotButton="0" quotePrefix="0" xfId="0">
      <alignment vertical="center"/>
    </xf>
    <xf numFmtId="0" fontId="10" fillId="0" borderId="11" applyAlignment="1" pivotButton="0" quotePrefix="0" xfId="0">
      <alignment vertical="center"/>
    </xf>
    <xf numFmtId="0" fontId="10" fillId="0" borderId="0" applyAlignment="1" pivotButton="0" quotePrefix="0" xfId="0">
      <alignment vertical="center"/>
    </xf>
    <xf numFmtId="0" fontId="10" fillId="0" borderId="12" applyAlignment="1" pivotButton="0" quotePrefix="0" xfId="0">
      <alignment vertical="center"/>
    </xf>
    <xf numFmtId="0" fontId="10" fillId="0" borderId="0" applyAlignment="1" pivotButton="0" quotePrefix="0" xfId="0">
      <alignment horizontal="center" vertical="center"/>
    </xf>
    <xf numFmtId="0" fontId="0" fillId="0" borderId="6" applyAlignment="1" pivotButton="0" quotePrefix="0" xfId="0">
      <alignment horizontal="center"/>
    </xf>
    <xf numFmtId="0" fontId="0" fillId="0" borderId="0" applyAlignment="1" pivotButton="0" quotePrefix="0" xfId="0">
      <alignment horizontal="center" vertical="center"/>
    </xf>
    <xf numFmtId="0" fontId="0" fillId="0" borderId="0" applyAlignment="1" pivotButton="0" quotePrefix="0" xfId="0">
      <alignment horizontal="right" vertical="center"/>
    </xf>
    <xf numFmtId="0" fontId="0" fillId="0" borderId="6" applyAlignment="1" pivotButton="0" quotePrefix="0" xfId="0">
      <alignment horizontal="center" vertical="center"/>
    </xf>
    <xf numFmtId="0" fontId="0" fillId="0" borderId="7" applyAlignment="1" pivotButton="0" quotePrefix="0" xfId="0">
      <alignment horizontal="center" vertical="center"/>
    </xf>
    <xf numFmtId="0" fontId="0" fillId="0" borderId="11" pivotButton="0" quotePrefix="0" xfId="0"/>
    <xf numFmtId="0" fontId="0" fillId="0" borderId="0" pivotButton="0" quotePrefix="0" xfId="0"/>
    <xf numFmtId="0" fontId="9" fillId="0" borderId="7" applyAlignment="1" pivotButton="0" quotePrefix="0" xfId="0">
      <alignment vertical="center"/>
    </xf>
    <xf numFmtId="0" fontId="22" fillId="0" borderId="11" applyAlignment="1" pivotButton="0" quotePrefix="0" xfId="0">
      <alignment horizontal="left" vertical="center"/>
    </xf>
    <xf numFmtId="0" fontId="22" fillId="0" borderId="0" applyAlignment="1" pivotButton="0" quotePrefix="0" xfId="0">
      <alignment horizontal="left" vertical="center"/>
    </xf>
    <xf numFmtId="0" fontId="22" fillId="0" borderId="0" applyAlignment="1" pivotButton="0" quotePrefix="0" xfId="0">
      <alignment vertical="center"/>
    </xf>
    <xf numFmtId="0" fontId="21" fillId="0" borderId="0" applyAlignment="1" pivotButton="0" quotePrefix="0" xfId="0">
      <alignment horizontal="left" vertical="center"/>
    </xf>
    <xf numFmtId="0" fontId="0" fillId="0" borderId="22" pivotButton="0" quotePrefix="0" xfId="0"/>
    <xf numFmtId="0" fontId="22" fillId="0" borderId="11" applyAlignment="1" pivotButton="0" quotePrefix="0" xfId="0">
      <alignment vertical="center"/>
    </xf>
    <xf numFmtId="0" fontId="22" fillId="0" borderId="5" applyAlignment="1" pivotButton="0" quotePrefix="0" xfId="0">
      <alignment horizontal="left" vertical="center"/>
    </xf>
    <xf numFmtId="0" fontId="22" fillId="0" borderId="6" applyAlignment="1" pivotButton="0" quotePrefix="0" xfId="0">
      <alignment horizontal="left" vertical="center"/>
    </xf>
    <xf numFmtId="0" fontId="22" fillId="0" borderId="6" applyAlignment="1" pivotButton="0" quotePrefix="0" xfId="0">
      <alignment vertical="center"/>
    </xf>
    <xf numFmtId="0" fontId="22" fillId="0" borderId="7" applyAlignment="1" pivotButton="0" quotePrefix="0" xfId="0">
      <alignment vertical="center"/>
    </xf>
    <xf numFmtId="0" fontId="0" fillId="0" borderId="7" applyAlignment="1" pivotButton="0" quotePrefix="0" xfId="0">
      <alignment vertical="center"/>
    </xf>
    <xf numFmtId="0" fontId="20" fillId="0" borderId="11" applyAlignment="1" pivotButton="0" quotePrefix="0" xfId="0">
      <alignment vertical="center"/>
    </xf>
    <xf numFmtId="0" fontId="20" fillId="0" borderId="0" applyAlignment="1" pivotButton="0" quotePrefix="0" xfId="0">
      <alignment vertical="center"/>
    </xf>
    <xf numFmtId="0" fontId="25" fillId="0" borderId="6" applyAlignment="1" pivotButton="0" quotePrefix="0" xfId="0">
      <alignment horizontal="center" vertical="center"/>
    </xf>
    <xf numFmtId="0" fontId="11" fillId="0" borderId="9" applyAlignment="1" pivotButton="0" quotePrefix="0" xfId="0">
      <alignment vertical="center"/>
    </xf>
    <xf numFmtId="0" fontId="21" fillId="0" borderId="3" applyAlignment="1" pivotButton="0" quotePrefix="0" xfId="0">
      <alignment horizontal="left" vertical="center"/>
    </xf>
    <xf numFmtId="0" fontId="0" fillId="0" borderId="3" applyAlignment="1" pivotButton="0" quotePrefix="0" xfId="0">
      <alignment horizontal="center" vertical="center"/>
    </xf>
    <xf numFmtId="0" fontId="0" fillId="0" borderId="5" applyAlignment="1" pivotButton="0" quotePrefix="0" xfId="0">
      <alignment horizontal="left"/>
    </xf>
    <xf numFmtId="0" fontId="0" fillId="0" borderId="6" applyAlignment="1" pivotButton="0" quotePrefix="0" xfId="0">
      <alignment horizontal="left"/>
    </xf>
    <xf numFmtId="0" fontId="5" fillId="0" borderId="11" applyAlignment="1" pivotButton="0" quotePrefix="0" xfId="0">
      <alignment vertical="center"/>
    </xf>
    <xf numFmtId="0" fontId="5" fillId="0" borderId="0" applyAlignment="1" pivotButton="0" quotePrefix="0" xfId="0">
      <alignment vertical="center"/>
    </xf>
    <xf numFmtId="0" fontId="5" fillId="0" borderId="11" applyAlignment="1" pivotButton="0" quotePrefix="0" xfId="0">
      <alignment horizontal="center" vertical="center"/>
    </xf>
    <xf numFmtId="0" fontId="5" fillId="0" borderId="5" applyAlignment="1" pivotButton="0" quotePrefix="0" xfId="0">
      <alignment horizontal="center" vertical="center"/>
    </xf>
    <xf numFmtId="0" fontId="5" fillId="0" borderId="6" applyAlignment="1" pivotButton="0" quotePrefix="0" xfId="0">
      <alignment horizontal="center" vertical="center"/>
    </xf>
    <xf numFmtId="0" fontId="22" fillId="0" borderId="24" applyAlignment="1" pivotButton="0" quotePrefix="0" xfId="0">
      <alignment vertical="center"/>
    </xf>
    <xf numFmtId="0" fontId="0" fillId="0" borderId="27" pivotButton="0" quotePrefix="0" xfId="0"/>
    <xf numFmtId="0" fontId="21" fillId="0" borderId="24" applyAlignment="1" pivotButton="0" quotePrefix="0" xfId="0">
      <alignment vertical="center"/>
    </xf>
    <xf numFmtId="0" fontId="21" fillId="0" borderId="24" applyAlignment="1" pivotButton="0" quotePrefix="0" xfId="0">
      <alignment horizontal="center" vertical="center"/>
    </xf>
    <xf numFmtId="0" fontId="26" fillId="0" borderId="1" applyAlignment="1" pivotButton="0" quotePrefix="0" xfId="0">
      <alignment horizontal="center" vertical="center"/>
    </xf>
    <xf numFmtId="0" fontId="22" fillId="0" borderId="0" applyAlignment="1" pivotButton="0" quotePrefix="0" xfId="0">
      <alignment horizontal="center" vertical="center"/>
    </xf>
    <xf numFmtId="0" fontId="20" fillId="0" borderId="0" applyAlignment="1" pivotButton="0" quotePrefix="0" xfId="0">
      <alignment horizontal="left" vertical="center"/>
    </xf>
    <xf numFmtId="0" fontId="5" fillId="0" borderId="0" applyAlignment="1" pivotButton="0" quotePrefix="0" xfId="0">
      <alignment horizontal="left" vertical="center"/>
    </xf>
    <xf numFmtId="2" fontId="5" fillId="0" borderId="0" applyAlignment="1" pivotButton="0" quotePrefix="0" xfId="0">
      <alignment horizontal="left" vertical="center"/>
    </xf>
    <xf numFmtId="49" fontId="0" fillId="0" borderId="0" pivotButton="0" quotePrefix="0" xfId="0"/>
    <xf numFmtId="0" fontId="0" fillId="0" borderId="9" pivotButton="0" quotePrefix="0" xfId="0"/>
    <xf numFmtId="0" fontId="27" fillId="4" borderId="28" applyAlignment="1" pivotButton="0" quotePrefix="0" xfId="2">
      <alignment horizontal="center" vertical="center"/>
    </xf>
    <xf numFmtId="0" fontId="0" fillId="0" borderId="0" pivotButton="0" quotePrefix="0" xfId="0"/>
    <xf numFmtId="0" fontId="9" fillId="0" borderId="0" applyAlignment="1" pivotButton="0" quotePrefix="0" xfId="0">
      <alignment vertical="top" wrapText="1"/>
    </xf>
    <xf numFmtId="0" fontId="9" fillId="0" borderId="12" applyAlignment="1" pivotButton="0" quotePrefix="0" xfId="0">
      <alignment vertical="top" wrapText="1"/>
    </xf>
    <xf numFmtId="0" fontId="0" fillId="0" borderId="11" applyAlignment="1" pivotButton="0" quotePrefix="0" xfId="0">
      <alignment horizontal="center" vertical="center"/>
    </xf>
    <xf numFmtId="0" fontId="0" fillId="0" borderId="0" pivotButton="0" quotePrefix="0" xfId="0"/>
    <xf numFmtId="0" fontId="0" fillId="0" borderId="0" pivotButton="0" quotePrefix="0" xfId="0"/>
    <xf numFmtId="2" fontId="20" fillId="0" borderId="0" applyAlignment="1" pivotButton="0" quotePrefix="0" xfId="0">
      <alignment vertical="center"/>
    </xf>
    <xf numFmtId="2" fontId="20" fillId="0" borderId="12" applyAlignment="1" pivotButton="0" quotePrefix="0" xfId="0">
      <alignment vertical="center"/>
    </xf>
    <xf numFmtId="2" fontId="20" fillId="0" borderId="23" applyAlignment="1" pivotButton="0" quotePrefix="0" xfId="0">
      <alignment vertical="center"/>
    </xf>
    <xf numFmtId="0" fontId="21" fillId="0" borderId="24" pivotButton="0" quotePrefix="0" xfId="0"/>
    <xf numFmtId="0" fontId="22" fillId="0" borderId="24" pivotButton="0" quotePrefix="0" xfId="0"/>
    <xf numFmtId="166" fontId="5" fillId="0" borderId="0" applyAlignment="1" pivotButton="0" quotePrefix="0" xfId="0">
      <alignment horizontal="center" vertical="center"/>
    </xf>
    <xf numFmtId="166" fontId="5" fillId="0" borderId="0" applyAlignment="1" pivotButton="0" quotePrefix="0" xfId="0">
      <alignment vertical="center"/>
    </xf>
    <xf numFmtId="0" fontId="0" fillId="0" borderId="0" pivotButton="0" quotePrefix="0" xfId="0"/>
    <xf numFmtId="0" fontId="0" fillId="0" borderId="2" applyAlignment="1" pivotButton="0" quotePrefix="0" xfId="0">
      <alignment horizontal="center" vertical="center"/>
    </xf>
    <xf numFmtId="0" fontId="22" fillId="0" borderId="24" applyAlignment="1" pivotButton="0" quotePrefix="0" xfId="0">
      <alignment horizontal="left" vertical="center"/>
    </xf>
    <xf numFmtId="0" fontId="0" fillId="0" borderId="12" applyAlignment="1" pivotButton="0" quotePrefix="0" xfId="0">
      <alignment horizontal="center" vertical="center"/>
    </xf>
    <xf numFmtId="0" fontId="0" fillId="0" borderId="11" applyAlignment="1" pivotButton="0" quotePrefix="0" xfId="0">
      <alignment horizontal="center" vertical="center"/>
    </xf>
    <xf numFmtId="0" fontId="0" fillId="0" borderId="0" pivotButton="0" quotePrefix="0" xfId="0"/>
    <xf numFmtId="0" fontId="22" fillId="0" borderId="12" applyAlignment="1" pivotButton="0" quotePrefix="0" xfId="0">
      <alignment horizontal="center" vertical="center"/>
    </xf>
    <xf numFmtId="165" fontId="0" fillId="0" borderId="12" applyAlignment="1" pivotButton="0" quotePrefix="0" xfId="0">
      <alignment vertical="center"/>
    </xf>
    <xf numFmtId="0" fontId="0" fillId="0" borderId="0" pivotButton="0" quotePrefix="0" xfId="0"/>
    <xf numFmtId="0" fontId="0" fillId="0" borderId="0" pivotButton="0" quotePrefix="0" xfId="0"/>
    <xf numFmtId="0" fontId="9" fillId="0" borderId="5" applyAlignment="1" pivotButton="0" quotePrefix="0" xfId="0">
      <alignment vertical="center"/>
    </xf>
    <xf numFmtId="0" fontId="0" fillId="0" borderId="0" pivotButton="0" quotePrefix="0" xfId="0"/>
    <xf numFmtId="166" fontId="0" fillId="0" borderId="8" applyAlignment="1" pivotButton="0" quotePrefix="0" xfId="0">
      <alignment vertical="center"/>
    </xf>
    <xf numFmtId="0" fontId="0" fillId="0" borderId="0" applyAlignment="1" pivotButton="0" quotePrefix="0" xfId="0">
      <alignment vertical="center"/>
    </xf>
    <xf numFmtId="0" fontId="10" fillId="0" borderId="9" applyAlignment="1" pivotButton="0" quotePrefix="0" xfId="0">
      <alignment vertical="center"/>
    </xf>
    <xf numFmtId="0" fontId="0" fillId="0" borderId="4" applyAlignment="1" pivotButton="0" quotePrefix="0" xfId="0">
      <alignment horizontal="center" vertical="center"/>
    </xf>
    <xf numFmtId="0" fontId="0" fillId="0" borderId="0" pivotButton="0" quotePrefix="0" xfId="0"/>
    <xf numFmtId="166" fontId="0" fillId="0" borderId="0" pivotButton="0" quotePrefix="0" xfId="0"/>
    <xf numFmtId="0" fontId="0" fillId="5" borderId="0" pivotButton="0" quotePrefix="0" xfId="0"/>
    <xf numFmtId="0" fontId="0" fillId="0" borderId="27" applyAlignment="1" pivotButton="0" quotePrefix="0" xfId="0">
      <alignment horizontal="center"/>
    </xf>
    <xf numFmtId="0" fontId="11" fillId="0" borderId="0" applyAlignment="1" pivotButton="0" quotePrefix="0" xfId="0">
      <alignment vertical="center"/>
    </xf>
    <xf numFmtId="0" fontId="11" fillId="0" borderId="12" applyAlignment="1" pivotButton="0" quotePrefix="0" xfId="0">
      <alignment vertical="center"/>
    </xf>
    <xf numFmtId="0" fontId="10" fillId="0" borderId="7" applyAlignment="1" pivotButton="0" quotePrefix="0" xfId="0">
      <alignment vertical="center"/>
    </xf>
    <xf numFmtId="0" fontId="0" fillId="0" borderId="26" pivotButton="0" quotePrefix="0" xfId="0"/>
    <xf numFmtId="0" fontId="0" fillId="0" borderId="27" applyAlignment="1" pivotButton="0" quotePrefix="0" xfId="0">
      <alignment horizontal="left"/>
    </xf>
    <xf numFmtId="0" fontId="10" fillId="0" borderId="6" applyAlignment="1" pivotButton="0" quotePrefix="0" xfId="0">
      <alignment vertical="center"/>
    </xf>
    <xf numFmtId="0" fontId="0" fillId="0" borderId="0" pivotButton="0" quotePrefix="0" xfId="0"/>
    <xf numFmtId="0" fontId="9" fillId="0" borderId="6" applyAlignment="1" pivotButton="0" quotePrefix="0" xfId="0">
      <alignment horizontal="left" vertical="center"/>
    </xf>
    <xf numFmtId="0" fontId="9" fillId="0" borderId="3" applyAlignment="1" pivotButton="0" quotePrefix="0" xfId="0">
      <alignment horizontal="left" vertical="center"/>
    </xf>
    <xf numFmtId="0" fontId="0" fillId="0" borderId="12" applyAlignment="1" pivotButton="0" quotePrefix="0" xfId="0">
      <alignment vertical="center"/>
    </xf>
    <xf numFmtId="0" fontId="0" fillId="0" borderId="0" pivotButton="0" quotePrefix="0" xfId="0"/>
    <xf numFmtId="0" fontId="7" fillId="0" borderId="8" applyAlignment="1" pivotButton="0" quotePrefix="0" xfId="0">
      <alignment vertical="center"/>
    </xf>
    <xf numFmtId="0" fontId="7" fillId="0" borderId="10" applyAlignment="1" pivotButton="0" quotePrefix="0" xfId="0">
      <alignment vertical="center"/>
    </xf>
    <xf numFmtId="0" fontId="0" fillId="0" borderId="0" applyAlignment="1" pivotButton="0" quotePrefix="0" xfId="0">
      <alignment horizontal="center" vertical="center"/>
    </xf>
    <xf numFmtId="0" fontId="0" fillId="0" borderId="0" pivotButton="0" quotePrefix="0" xfId="0"/>
    <xf numFmtId="0" fontId="0" fillId="0" borderId="0" pivotButton="0" quotePrefix="0" xfId="0"/>
    <xf numFmtId="167" fontId="0" fillId="0" borderId="0" pivotButton="0" quotePrefix="0" xfId="0"/>
    <xf numFmtId="0" fontId="9" fillId="0" borderId="3" applyAlignment="1" pivotButton="0" quotePrefix="0" xfId="0">
      <alignment horizontal="left" vertical="center"/>
    </xf>
    <xf numFmtId="0" fontId="0" fillId="0" borderId="1" applyAlignment="1" pivotButton="0" quotePrefix="0" xfId="0">
      <alignment horizontal="center" vertical="center"/>
    </xf>
    <xf numFmtId="0" fontId="12" fillId="0" borderId="8" applyAlignment="1" pivotButton="0" quotePrefix="0" xfId="0">
      <alignment vertical="center"/>
    </xf>
    <xf numFmtId="0" fontId="12" fillId="0" borderId="9" applyAlignment="1" pivotButton="0" quotePrefix="0" xfId="0">
      <alignment vertical="center"/>
    </xf>
    <xf numFmtId="0" fontId="12" fillId="0" borderId="10" applyAlignment="1" pivotButton="0" quotePrefix="0" xfId="0">
      <alignment vertical="center"/>
    </xf>
    <xf numFmtId="0" fontId="21" fillId="0" borderId="0" applyAlignment="1" pivotButton="0" quotePrefix="0" xfId="0">
      <alignment horizontal="left" vertical="center"/>
    </xf>
    <xf numFmtId="0" fontId="4" fillId="0" borderId="0" applyAlignment="1" pivotButton="0" quotePrefix="0" xfId="0">
      <alignment horizontal="left" vertical="center"/>
    </xf>
    <xf numFmtId="0" fontId="4" fillId="0" borderId="12" applyAlignment="1" pivotButton="0" quotePrefix="0" xfId="0">
      <alignment horizontal="left" vertical="center"/>
    </xf>
    <xf numFmtId="0" fontId="0" fillId="0" borderId="0" pivotButton="0" quotePrefix="0" xfId="0"/>
    <xf numFmtId="0" fontId="4" fillId="0" borderId="0" applyAlignment="1" pivotButton="0" quotePrefix="0" xfId="0">
      <alignment vertical="center"/>
    </xf>
    <xf numFmtId="0" fontId="21" fillId="0" borderId="11" applyAlignment="1" pivotButton="0" quotePrefix="0" xfId="0">
      <alignment vertical="center"/>
    </xf>
    <xf numFmtId="0" fontId="21" fillId="0" borderId="0" applyAlignment="1" pivotButton="0" quotePrefix="0" xfId="0">
      <alignment vertical="center"/>
    </xf>
    <xf numFmtId="0" fontId="21" fillId="0" borderId="5" applyAlignment="1" pivotButton="0" quotePrefix="0" xfId="0">
      <alignment horizontal="left" vertical="center"/>
    </xf>
    <xf numFmtId="0" fontId="21" fillId="0" borderId="6" applyAlignment="1" pivotButton="0" quotePrefix="0" xfId="0">
      <alignment horizontal="left" vertical="center"/>
    </xf>
    <xf numFmtId="0" fontId="4" fillId="0" borderId="6" applyAlignment="1" pivotButton="0" quotePrefix="0" xfId="0">
      <alignment vertical="center"/>
    </xf>
    <xf numFmtId="0" fontId="4" fillId="0" borderId="6" applyAlignment="1" pivotButton="0" quotePrefix="0" xfId="0">
      <alignment horizontal="left" vertical="center"/>
    </xf>
    <xf numFmtId="0" fontId="4" fillId="0" borderId="7" applyAlignment="1" pivotButton="0" quotePrefix="0" xfId="0">
      <alignment horizontal="left" vertical="center"/>
    </xf>
    <xf numFmtId="168" fontId="4" fillId="0" borderId="0" applyAlignment="1" pivotButton="0" quotePrefix="0" xfId="0">
      <alignment vertical="center"/>
    </xf>
    <xf numFmtId="168" fontId="4" fillId="0" borderId="12" applyAlignment="1" pivotButton="0" quotePrefix="0" xfId="0">
      <alignment vertical="center"/>
    </xf>
    <xf numFmtId="0" fontId="4" fillId="0" borderId="12" applyAlignment="1" pivotButton="0" quotePrefix="0" xfId="0">
      <alignment vertical="center"/>
    </xf>
    <xf numFmtId="0" fontId="0" fillId="0" borderId="0" pivotButton="0" quotePrefix="0" xfId="0"/>
    <xf numFmtId="0" fontId="0" fillId="0" borderId="0" pivotButton="0" quotePrefix="0" xfId="0"/>
    <xf numFmtId="166" fontId="0" fillId="0" borderId="9" applyAlignment="1" pivotButton="0" quotePrefix="0" xfId="0">
      <alignment vertical="center"/>
    </xf>
    <xf numFmtId="0" fontId="13" fillId="0" borderId="29" applyAlignment="1" pivotButton="0" quotePrefix="0" xfId="0">
      <alignment vertical="center"/>
    </xf>
    <xf numFmtId="0" fontId="0" fillId="0" borderId="0" pivotButton="0" quotePrefix="0" xfId="0"/>
    <xf numFmtId="0" fontId="0" fillId="0" borderId="0" applyAlignment="1" pivotButton="0" quotePrefix="0" xfId="0">
      <alignment horizontal="left"/>
    </xf>
    <xf numFmtId="0" fontId="7" fillId="0" borderId="0" pivotButton="0" quotePrefix="0" xfId="0"/>
    <xf numFmtId="0" fontId="9" fillId="0" borderId="11" applyAlignment="1" pivotButton="0" quotePrefix="0" xfId="0">
      <alignment vertical="center" wrapText="1"/>
    </xf>
    <xf numFmtId="0" fontId="9" fillId="0" borderId="0" applyAlignment="1" pivotButton="0" quotePrefix="0" xfId="0">
      <alignment vertical="center" wrapText="1"/>
    </xf>
    <xf numFmtId="0" fontId="9" fillId="0" borderId="12" applyAlignment="1" pivotButton="0" quotePrefix="0" xfId="0">
      <alignment vertical="center" wrapText="1"/>
    </xf>
    <xf numFmtId="0" fontId="7" fillId="0" borderId="11" pivotButton="0" quotePrefix="0" xfId="0"/>
    <xf numFmtId="0" fontId="7" fillId="0" borderId="0" pivotButton="0" quotePrefix="0" xfId="0"/>
    <xf numFmtId="0" fontId="7" fillId="0" borderId="12" pivotButton="0" quotePrefix="0" xfId="0"/>
    <xf numFmtId="0" fontId="0" fillId="0" borderId="0" applyAlignment="1" pivotButton="0" quotePrefix="0" xfId="0">
      <alignment horizontal="left" vertical="top"/>
    </xf>
    <xf numFmtId="0" fontId="22" fillId="0" borderId="0" applyAlignment="1" pivotButton="0" quotePrefix="0" xfId="0">
      <alignment horizontal="left" vertical="top" wrapText="1"/>
    </xf>
    <xf numFmtId="0" fontId="0" fillId="0" borderId="0" pivotButton="0" quotePrefix="0" xfId="0"/>
    <xf numFmtId="0" fontId="0" fillId="0" borderId="0" applyAlignment="1" pivotButton="0" quotePrefix="0" xfId="0">
      <alignment vertical="top"/>
    </xf>
    <xf numFmtId="0" fontId="22" fillId="0" borderId="0" applyAlignment="1" pivotButton="0" quotePrefix="0" xfId="0">
      <alignment vertical="top" wrapText="1"/>
    </xf>
    <xf numFmtId="0" fontId="22" fillId="0" borderId="0" applyAlignment="1" pivotButton="0" quotePrefix="0" xfId="0">
      <alignment vertical="top"/>
    </xf>
    <xf numFmtId="0" fontId="21" fillId="0" borderId="0" applyAlignment="1" pivotButton="0" quotePrefix="0" xfId="0">
      <alignment horizontal="left" vertical="top" wrapText="1"/>
    </xf>
    <xf numFmtId="0" fontId="22" fillId="0" borderId="0" applyAlignment="1" pivotButton="0" quotePrefix="0" xfId="0">
      <alignment horizontal="left" vertical="top"/>
    </xf>
    <xf numFmtId="0" fontId="0" fillId="0" borderId="0" pivotButton="0" quotePrefix="0" xfId="0"/>
    <xf numFmtId="0" fontId="9" fillId="0" borderId="6" applyAlignment="1" pivotButton="0" quotePrefix="0" xfId="0">
      <alignment horizontal="left" vertical="center"/>
    </xf>
    <xf numFmtId="0" fontId="0" fillId="0" borderId="0" pivotButton="0" quotePrefix="0" xfId="0"/>
    <xf numFmtId="0" fontId="12" fillId="5" borderId="4" applyAlignment="1" pivotButton="0" quotePrefix="0" xfId="0">
      <alignment horizontal="left" vertical="center"/>
    </xf>
    <xf numFmtId="0" fontId="0" fillId="5" borderId="11" applyAlignment="1" pivotButton="0" quotePrefix="0" xfId="0">
      <alignment vertical="center"/>
    </xf>
    <xf numFmtId="0" fontId="0" fillId="5" borderId="0" applyAlignment="1" pivotButton="0" quotePrefix="0" xfId="0">
      <alignment vertical="center"/>
    </xf>
    <xf numFmtId="0" fontId="0" fillId="5" borderId="12" applyAlignment="1" pivotButton="0" quotePrefix="0" xfId="0">
      <alignment vertical="center"/>
    </xf>
    <xf numFmtId="0" fontId="12" fillId="5" borderId="11" applyAlignment="1" pivotButton="0" quotePrefix="0" xfId="0">
      <alignment vertical="top"/>
    </xf>
    <xf numFmtId="0" fontId="12" fillId="5" borderId="0" applyAlignment="1" pivotButton="0" quotePrefix="0" xfId="0">
      <alignment vertical="top"/>
    </xf>
    <xf numFmtId="0" fontId="12" fillId="5" borderId="12" applyAlignment="1" pivotButton="0" quotePrefix="0" xfId="0">
      <alignment vertical="top"/>
    </xf>
    <xf numFmtId="0" fontId="0" fillId="5" borderId="6" pivotButton="0" quotePrefix="0" xfId="0"/>
    <xf numFmtId="0" fontId="0" fillId="5" borderId="7" pivotButton="0" quotePrefix="0" xfId="0"/>
    <xf numFmtId="0" fontId="1" fillId="5" borderId="11" applyAlignment="1" pivotButton="0" quotePrefix="0" xfId="0">
      <alignment vertical="top" wrapText="1"/>
    </xf>
    <xf numFmtId="0" fontId="0" fillId="5" borderId="0" applyAlignment="1" pivotButton="0" quotePrefix="0" xfId="0">
      <alignment vertical="top"/>
    </xf>
    <xf numFmtId="0" fontId="0" fillId="5" borderId="12" applyAlignment="1" pivotButton="0" quotePrefix="0" xfId="0">
      <alignment vertical="top"/>
    </xf>
    <xf numFmtId="0" fontId="0" fillId="5" borderId="11" applyAlignment="1" pivotButton="0" quotePrefix="0" xfId="0">
      <alignment vertical="top"/>
    </xf>
    <xf numFmtId="0" fontId="0" fillId="0" borderId="0" pivotButton="0" quotePrefix="0" xfId="0"/>
    <xf numFmtId="0" fontId="7" fillId="0" borderId="0" pivotButton="0" quotePrefix="0" xfId="0"/>
    <xf numFmtId="0" fontId="33" fillId="0" borderId="0" pivotButton="0" quotePrefix="0" xfId="3"/>
    <xf numFmtId="0" fontId="0" fillId="0" borderId="4" pivotButton="0" quotePrefix="0" xfId="0"/>
    <xf numFmtId="0" fontId="0" fillId="0" borderId="12" pivotButton="0" quotePrefix="0" xfId="0"/>
    <xf numFmtId="0" fontId="0" fillId="0" borderId="7" pivotButton="0" quotePrefix="0" xfId="0"/>
    <xf numFmtId="0" fontId="0" fillId="0" borderId="0" pivotButton="0" quotePrefix="0" xfId="0"/>
    <xf numFmtId="0" fontId="22" fillId="0" borderId="0" applyAlignment="1" pivotButton="0" quotePrefix="0" xfId="0">
      <alignment horizontal="left"/>
    </xf>
    <xf numFmtId="0" fontId="22" fillId="0" borderId="0" applyAlignment="1" pivotButton="0" quotePrefix="0" xfId="0">
      <alignment horizontal="left" vertical="top" wrapText="1"/>
    </xf>
    <xf numFmtId="0" fontId="21" fillId="0" borderId="0" applyAlignment="1" pivotButton="0" quotePrefix="0" xfId="0">
      <alignment horizontal="left" vertical="top" wrapText="1"/>
    </xf>
    <xf numFmtId="0" fontId="7" fillId="0" borderId="0" applyAlignment="1" pivotButton="0" quotePrefix="0" xfId="0">
      <alignment horizontal="left" vertical="top"/>
    </xf>
    <xf numFmtId="0" fontId="0" fillId="0" borderId="0" applyAlignment="1" pivotButton="0" quotePrefix="0" xfId="0">
      <alignment horizontal="left"/>
    </xf>
    <xf numFmtId="0" fontId="0" fillId="0" borderId="0" pivotButton="0" quotePrefix="0" xfId="0"/>
    <xf numFmtId="0" fontId="12" fillId="0" borderId="0" pivotButton="0" quotePrefix="0" xfId="0"/>
    <xf numFmtId="0" fontId="31" fillId="0" borderId="0" applyAlignment="1" pivotButton="0" quotePrefix="0" xfId="0">
      <alignment vertical="center"/>
    </xf>
    <xf numFmtId="0" fontId="30" fillId="0" borderId="0" applyAlignment="1" pivotButton="0" quotePrefix="0" xfId="0">
      <alignment vertical="center"/>
    </xf>
    <xf numFmtId="0" fontId="24" fillId="0" borderId="0" pivotButton="0" quotePrefix="0" xfId="0"/>
    <xf numFmtId="0" fontId="0" fillId="0" borderId="0" pivotButton="0" quotePrefix="0" xfId="0"/>
    <xf numFmtId="0" fontId="30" fillId="0" borderId="0" applyAlignment="1" pivotButton="0" quotePrefix="0" xfId="0">
      <alignment vertical="center"/>
    </xf>
    <xf numFmtId="0" fontId="0" fillId="0" borderId="0" pivotButton="0" quotePrefix="0" xfId="0"/>
    <xf numFmtId="0" fontId="22" fillId="0" borderId="23" applyAlignment="1" pivotButton="0" quotePrefix="0" xfId="0">
      <alignment horizontal="center" vertical="center"/>
    </xf>
    <xf numFmtId="0" fontId="21" fillId="0" borderId="0" applyAlignment="1" pivotButton="0" quotePrefix="0" xfId="0">
      <alignment horizontal="left" vertical="center"/>
    </xf>
    <xf numFmtId="0" fontId="7" fillId="5" borderId="11" pivotButton="0" quotePrefix="0" xfId="0"/>
    <xf numFmtId="0" fontId="0" fillId="5" borderId="0" pivotButton="0" quotePrefix="0" xfId="0"/>
    <xf numFmtId="14" fontId="0" fillId="0" borderId="0" applyAlignment="1" pivotButton="0" quotePrefix="1" xfId="0">
      <alignment horizontal="left"/>
    </xf>
    <xf numFmtId="0" fontId="11" fillId="0" borderId="5" applyAlignment="1" pivotButton="0" quotePrefix="0" xfId="0">
      <alignment vertical="center"/>
    </xf>
    <xf numFmtId="0" fontId="11" fillId="0" borderId="6" applyAlignment="1" pivotButton="0" quotePrefix="0" xfId="0">
      <alignment vertical="center"/>
    </xf>
    <xf numFmtId="0" fontId="11" fillId="0" borderId="7" applyAlignment="1" pivotButton="0" quotePrefix="0" xfId="0">
      <alignment vertical="center"/>
    </xf>
    <xf numFmtId="0" fontId="21" fillId="0" borderId="5" applyAlignment="1" pivotButton="0" quotePrefix="0" xfId="0">
      <alignment vertical="center"/>
    </xf>
    <xf numFmtId="0" fontId="21" fillId="0" borderId="6" applyAlignment="1" pivotButton="0" quotePrefix="0" xfId="0">
      <alignment vertical="center"/>
    </xf>
    <xf numFmtId="0" fontId="21" fillId="0" borderId="7" applyAlignment="1" pivotButton="0" quotePrefix="0" xfId="0">
      <alignment vertical="center"/>
    </xf>
    <xf numFmtId="0" fontId="22" fillId="0" borderId="0" pivotButton="0" quotePrefix="0" xfId="0"/>
    <xf numFmtId="0" fontId="7" fillId="0" borderId="0" applyAlignment="1" pivotButton="0" quotePrefix="0" xfId="0">
      <alignment horizontal="center" vertical="center"/>
    </xf>
    <xf numFmtId="0" fontId="7" fillId="0" borderId="0" applyAlignment="1" pivotButton="0" quotePrefix="0" xfId="0">
      <alignment horizontal="center" vertical="top"/>
    </xf>
    <xf numFmtId="0" fontId="0" fillId="6" borderId="0" applyAlignment="1" pivotButton="0" quotePrefix="0" xfId="0">
      <alignment horizontal="center"/>
    </xf>
    <xf numFmtId="0" fontId="24" fillId="0" borderId="0" applyAlignment="1" pivotButton="0" quotePrefix="0" xfId="0">
      <alignment horizontal="left"/>
    </xf>
    <xf numFmtId="0" fontId="0" fillId="0" borderId="0" applyAlignment="1" pivotButton="0" quotePrefix="0" xfId="0">
      <alignment horizontal="center"/>
    </xf>
    <xf numFmtId="0" fontId="0" fillId="0" borderId="0" applyAlignment="1" pivotButton="0" quotePrefix="0" xfId="0">
      <alignment horizontal="left"/>
    </xf>
    <xf numFmtId="0" fontId="30" fillId="0" borderId="0" applyAlignment="1" pivotButton="0" quotePrefix="0" xfId="0">
      <alignment horizontal="center" vertical="center"/>
    </xf>
    <xf numFmtId="0" fontId="22" fillId="0" borderId="11" applyAlignment="1" pivotButton="0" quotePrefix="0" xfId="0">
      <alignment horizontal="left"/>
    </xf>
    <xf numFmtId="0" fontId="22" fillId="0" borderId="0" applyAlignment="1" pivotButton="0" quotePrefix="0" xfId="0">
      <alignment horizontal="left"/>
    </xf>
    <xf numFmtId="0" fontId="10" fillId="0" borderId="0" applyAlignment="1" pivotButton="0" quotePrefix="0" xfId="0">
      <alignment horizontal="center"/>
    </xf>
    <xf numFmtId="0" fontId="22" fillId="0" borderId="0" applyAlignment="1" pivotButton="0" quotePrefix="0" xfId="0">
      <alignment horizontal="left" vertical="top" wrapText="1"/>
    </xf>
    <xf numFmtId="0" fontId="21" fillId="0" borderId="0" applyAlignment="1" pivotButton="0" quotePrefix="0" xfId="0">
      <alignment horizontal="left" vertical="top" wrapText="1"/>
    </xf>
    <xf numFmtId="0" fontId="7" fillId="0" borderId="0" applyAlignment="1" pivotButton="0" quotePrefix="0" xfId="0">
      <alignment horizontal="left" vertical="top"/>
    </xf>
    <xf numFmtId="0" fontId="7" fillId="0" borderId="1" applyAlignment="1" pivotButton="0" quotePrefix="0" xfId="0">
      <alignment horizontal="center" vertical="top"/>
    </xf>
    <xf numFmtId="14" fontId="0" fillId="0" borderId="1" applyAlignment="1" pivotButton="0" quotePrefix="0" xfId="0">
      <alignment horizontal="center"/>
    </xf>
    <xf numFmtId="14" fontId="0" fillId="0" borderId="0" applyAlignment="1" pivotButton="0" quotePrefix="0" xfId="0">
      <alignment horizontal="left"/>
    </xf>
    <xf numFmtId="0" fontId="0" fillId="0" borderId="0" applyAlignment="1" pivotButton="0" quotePrefix="0" xfId="0">
      <alignment horizontal="left"/>
    </xf>
    <xf numFmtId="0" fontId="22" fillId="0" borderId="12" applyAlignment="1" pivotButton="0" quotePrefix="0" xfId="0">
      <alignment horizontal="left"/>
    </xf>
    <xf numFmtId="0" fontId="22" fillId="0" borderId="8" applyAlignment="1" pivotButton="0" quotePrefix="0" xfId="0">
      <alignment horizontal="center"/>
    </xf>
    <xf numFmtId="0" fontId="22" fillId="0" borderId="9" applyAlignment="1" pivotButton="0" quotePrefix="0" xfId="0">
      <alignment horizontal="center"/>
    </xf>
    <xf numFmtId="0" fontId="22" fillId="0" borderId="10" applyAlignment="1" pivotButton="0" quotePrefix="0" xfId="0">
      <alignment horizontal="center"/>
    </xf>
    <xf numFmtId="0" fontId="22" fillId="0" borderId="5" applyAlignment="1" pivotButton="0" quotePrefix="0" xfId="0">
      <alignment horizontal="center"/>
    </xf>
    <xf numFmtId="0" fontId="22" fillId="0" borderId="6" applyAlignment="1" pivotButton="0" quotePrefix="0" xfId="0">
      <alignment horizontal="center"/>
    </xf>
    <xf numFmtId="0" fontId="22" fillId="0" borderId="7" applyAlignment="1" pivotButton="0" quotePrefix="0" xfId="0">
      <alignment horizontal="center"/>
    </xf>
    <xf numFmtId="14" fontId="2" fillId="0" borderId="0" applyAlignment="1" pivotButton="0" quotePrefix="0" xfId="0">
      <alignment horizontal="left" vertical="center"/>
    </xf>
    <xf numFmtId="0" fontId="2" fillId="0" borderId="0" applyAlignment="1" pivotButton="0" quotePrefix="0" xfId="0">
      <alignment horizontal="left" vertical="center"/>
    </xf>
    <xf numFmtId="0" fontId="2" fillId="0" borderId="12" applyAlignment="1" pivotButton="0" quotePrefix="0" xfId="0">
      <alignment horizontal="left" vertical="center"/>
    </xf>
    <xf numFmtId="0" fontId="21" fillId="0" borderId="11" applyAlignment="1" pivotButton="0" quotePrefix="0" xfId="0">
      <alignment horizontal="left" vertical="center"/>
    </xf>
    <xf numFmtId="0" fontId="21" fillId="0" borderId="0" applyAlignment="1" pivotButton="0" quotePrefix="0" xfId="0">
      <alignment horizontal="left" vertical="center"/>
    </xf>
    <xf numFmtId="14" fontId="3" fillId="0" borderId="0" applyAlignment="1" pivotButton="0" quotePrefix="0" xfId="0">
      <alignment horizontal="left" vertical="center"/>
    </xf>
    <xf numFmtId="14" fontId="3" fillId="0" borderId="12" applyAlignment="1" pivotButton="0" quotePrefix="0" xfId="0">
      <alignment horizontal="left" vertical="center"/>
    </xf>
    <xf numFmtId="0" fontId="0" fillId="0" borderId="27" applyAlignment="1" pivotButton="0" quotePrefix="0" xfId="0">
      <alignment horizontal="right"/>
    </xf>
    <xf numFmtId="2" fontId="20" fillId="0" borderId="24" applyAlignment="1" pivotButton="0" quotePrefix="0" xfId="0">
      <alignment horizontal="center" vertical="center"/>
    </xf>
    <xf numFmtId="0" fontId="5" fillId="0" borderId="11" applyAlignment="1" pivotButton="0" quotePrefix="0" xfId="0">
      <alignment horizontal="center" vertical="center"/>
    </xf>
    <xf numFmtId="0" fontId="5" fillId="0" borderId="0" applyAlignment="1" pivotButton="0" quotePrefix="0" xfId="0">
      <alignment horizontal="center" vertical="center"/>
    </xf>
    <xf numFmtId="2" fontId="5" fillId="0" borderId="24" applyAlignment="1" pivotButton="0" quotePrefix="0" xfId="0">
      <alignment horizontal="center" vertical="center"/>
    </xf>
    <xf numFmtId="0" fontId="0" fillId="0" borderId="24" applyAlignment="1" pivotButton="0" quotePrefix="0" xfId="0">
      <alignment horizontal="center" vertical="center"/>
    </xf>
    <xf numFmtId="0" fontId="21" fillId="0" borderId="0" applyAlignment="1" pivotButton="0" quotePrefix="0" xfId="0">
      <alignment horizontal="left" vertical="center"/>
    </xf>
    <xf numFmtId="49" fontId="0" fillId="0" borderId="24" applyAlignment="1" pivotButton="0" quotePrefix="0" xfId="0">
      <alignment horizontal="center" vertical="center"/>
    </xf>
    <xf numFmtId="49" fontId="0" fillId="0" borderId="23" applyAlignment="1" pivotButton="0" quotePrefix="0" xfId="0">
      <alignment horizontal="center" vertical="center"/>
    </xf>
    <xf numFmtId="0" fontId="22" fillId="0" borderId="11" applyAlignment="1" pivotButton="0" quotePrefix="0" xfId="0">
      <alignment horizontal="left" vertical="center"/>
    </xf>
    <xf numFmtId="0" fontId="22" fillId="0" borderId="0" applyAlignment="1" pivotButton="0" quotePrefix="0" xfId="0">
      <alignment horizontal="left" vertical="center"/>
    </xf>
    <xf numFmtId="0" fontId="0" fillId="0" borderId="24" applyAlignment="1" pivotButton="0" quotePrefix="1" xfId="0">
      <alignment horizontal="center" vertical="center"/>
    </xf>
    <xf numFmtId="0" fontId="0" fillId="0" borderId="23" applyAlignment="1" pivotButton="0" quotePrefix="0" xfId="0">
      <alignment horizontal="center" vertical="center"/>
    </xf>
    <xf numFmtId="0" fontId="0" fillId="0" borderId="24" applyAlignment="1" pivotButton="0" quotePrefix="0" xfId="0">
      <alignment horizontal="center" vertical="center"/>
    </xf>
    <xf numFmtId="0" fontId="30" fillId="0" borderId="11" applyAlignment="1" pivotButton="0" quotePrefix="0" xfId="0">
      <alignment horizontal="center" vertical="center" wrapText="1"/>
    </xf>
    <xf numFmtId="0" fontId="30" fillId="0" borderId="0" applyAlignment="1" pivotButton="0" quotePrefix="0" xfId="0">
      <alignment horizontal="center" vertical="center" wrapText="1"/>
    </xf>
    <xf numFmtId="0" fontId="30" fillId="0" borderId="12" applyAlignment="1" pivotButton="0" quotePrefix="0" xfId="0">
      <alignment horizontal="center" vertical="center" wrapText="1"/>
    </xf>
    <xf numFmtId="0" fontId="10" fillId="0" borderId="8" applyAlignment="1" pivotButton="0" quotePrefix="0" xfId="0">
      <alignment horizontal="center" vertical="center"/>
    </xf>
    <xf numFmtId="0" fontId="10" fillId="0" borderId="9" applyAlignment="1" pivotButton="0" quotePrefix="0" xfId="0">
      <alignment horizontal="center" vertical="center"/>
    </xf>
    <xf numFmtId="0" fontId="10" fillId="0" borderId="10" applyAlignment="1" pivotButton="0" quotePrefix="0" xfId="0">
      <alignment horizontal="center" vertical="center"/>
    </xf>
    <xf numFmtId="0" fontId="22" fillId="0" borderId="0" applyAlignment="1" pivotButton="0" quotePrefix="0" xfId="0">
      <alignment horizontal="left" vertical="center"/>
    </xf>
    <xf numFmtId="0" fontId="9" fillId="0" borderId="11" applyAlignment="1" pivotButton="0" quotePrefix="0" xfId="0">
      <alignment horizontal="center" vertical="center"/>
    </xf>
    <xf numFmtId="0" fontId="9" fillId="0" borderId="0" applyAlignment="1" pivotButton="0" quotePrefix="0" xfId="0">
      <alignment horizontal="center" vertical="center"/>
    </xf>
    <xf numFmtId="0" fontId="9" fillId="0" borderId="0" applyAlignment="1" pivotButton="0" quotePrefix="0" xfId="0">
      <alignment horizontal="left" vertical="center" wrapText="1"/>
    </xf>
    <xf numFmtId="0" fontId="9" fillId="0" borderId="12" applyAlignment="1" pivotButton="0" quotePrefix="0" xfId="0">
      <alignment horizontal="left" vertical="center" wrapText="1"/>
    </xf>
    <xf numFmtId="0" fontId="9" fillId="0" borderId="3" applyAlignment="1" pivotButton="0" quotePrefix="0" xfId="0">
      <alignment horizontal="left" vertical="center" wrapText="1"/>
    </xf>
    <xf numFmtId="0" fontId="9" fillId="0" borderId="4" applyAlignment="1" pivotButton="0" quotePrefix="0" xfId="0">
      <alignment horizontal="left" vertical="center" wrapText="1"/>
    </xf>
    <xf numFmtId="0" fontId="9" fillId="0" borderId="2" applyAlignment="1" pivotButton="0" quotePrefix="0" xfId="0">
      <alignment horizontal="center" vertical="center" wrapText="1"/>
    </xf>
    <xf numFmtId="0" fontId="9" fillId="0" borderId="3" applyAlignment="1" pivotButton="0" quotePrefix="0" xfId="0">
      <alignment horizontal="center" vertical="center" wrapText="1"/>
    </xf>
    <xf numFmtId="0" fontId="9" fillId="0" borderId="11" applyAlignment="1" pivotButton="0" quotePrefix="0" xfId="0">
      <alignment horizontal="center" vertical="center" wrapText="1"/>
    </xf>
    <xf numFmtId="0" fontId="9" fillId="0" borderId="0" applyAlignment="1" pivotButton="0" quotePrefix="0" xfId="0">
      <alignment horizontal="center" vertical="center" wrapText="1"/>
    </xf>
    <xf numFmtId="0" fontId="0" fillId="0" borderId="11" applyAlignment="1" pivotButton="0" quotePrefix="0" xfId="0">
      <alignment horizontal="left"/>
    </xf>
    <xf numFmtId="0" fontId="0" fillId="0" borderId="0" applyAlignment="1" pivotButton="0" quotePrefix="0" xfId="0">
      <alignment horizontal="center"/>
    </xf>
    <xf numFmtId="0" fontId="0" fillId="0" borderId="12" applyAlignment="1" pivotButton="0" quotePrefix="0" xfId="0">
      <alignment horizontal="center"/>
    </xf>
    <xf numFmtId="0" fontId="22" fillId="0" borderId="24" applyAlignment="1" pivotButton="0" quotePrefix="0" xfId="0">
      <alignment horizontal="center" vertical="center"/>
    </xf>
    <xf numFmtId="0" fontId="22" fillId="0" borderId="23" applyAlignment="1" pivotButton="0" quotePrefix="0" xfId="0">
      <alignment horizontal="center" vertical="center"/>
    </xf>
    <xf numFmtId="2" fontId="0" fillId="0" borderId="24" applyAlignment="1" pivotButton="0" quotePrefix="0" xfId="0">
      <alignment horizontal="center" vertical="center"/>
    </xf>
    <xf numFmtId="2" fontId="0" fillId="0" borderId="23" applyAlignment="1" pivotButton="0" quotePrefix="0" xfId="0">
      <alignment horizontal="center" vertical="center"/>
    </xf>
    <xf numFmtId="169" fontId="0" fillId="0" borderId="24" applyAlignment="1" pivotButton="0" quotePrefix="0" xfId="0">
      <alignment horizontal="center" vertical="center"/>
    </xf>
    <xf numFmtId="0" fontId="0" fillId="0" borderId="5" applyAlignment="1" pivotButton="0" quotePrefix="0" xfId="0">
      <alignment horizontal="center" vertical="center"/>
    </xf>
    <xf numFmtId="0" fontId="0" fillId="0" borderId="6" applyAlignment="1" pivotButton="0" quotePrefix="0" xfId="0">
      <alignment horizontal="center" vertical="center"/>
    </xf>
    <xf numFmtId="0" fontId="0" fillId="0" borderId="7" applyAlignment="1" pivotButton="0" quotePrefix="0" xfId="0">
      <alignment horizontal="center" vertical="center"/>
    </xf>
    <xf numFmtId="0" fontId="0" fillId="0" borderId="5" applyAlignment="1" pivotButton="0" quotePrefix="0" xfId="0">
      <alignment horizontal="left" vertical="center"/>
    </xf>
    <xf numFmtId="0" fontId="0" fillId="0" borderId="6" applyAlignment="1" pivotButton="0" quotePrefix="0" xfId="0">
      <alignment horizontal="left" vertical="center"/>
    </xf>
    <xf numFmtId="0" fontId="0" fillId="0" borderId="7" applyAlignment="1" pivotButton="0" quotePrefix="0" xfId="0">
      <alignment horizontal="left" vertical="center"/>
    </xf>
    <xf numFmtId="0" fontId="0" fillId="3"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left" vertical="center"/>
    </xf>
    <xf numFmtId="0" fontId="0" fillId="0" borderId="12" applyAlignment="1" pivotButton="0" quotePrefix="0" xfId="0">
      <alignment horizontal="left" vertical="center"/>
    </xf>
    <xf numFmtId="164" fontId="0" fillId="0" borderId="25" applyAlignment="1" pivotButton="0" quotePrefix="0" xfId="0">
      <alignment horizontal="center"/>
    </xf>
    <xf numFmtId="164" fontId="0" fillId="0" borderId="24" applyAlignment="1" pivotButton="0" quotePrefix="0" xfId="0">
      <alignment horizontal="center"/>
    </xf>
    <xf numFmtId="164" fontId="0" fillId="0" borderId="23" applyAlignment="1" pivotButton="0" quotePrefix="0" xfId="0">
      <alignment horizontal="center"/>
    </xf>
    <xf numFmtId="0" fontId="12" fillId="0" borderId="9" applyAlignment="1" pivotButton="0" quotePrefix="0" xfId="0">
      <alignment horizontal="center" vertical="center"/>
    </xf>
    <xf numFmtId="170" fontId="0" fillId="0" borderId="24" applyAlignment="1" pivotButton="0" quotePrefix="0" xfId="0">
      <alignment horizontal="center" vertical="center"/>
    </xf>
    <xf numFmtId="170" fontId="0" fillId="0" borderId="23" applyAlignment="1" pivotButton="0" quotePrefix="0" xfId="0">
      <alignment horizontal="center" vertical="center"/>
    </xf>
    <xf numFmtId="0" fontId="0" fillId="0" borderId="2" applyAlignment="1" pivotButton="0" quotePrefix="0" xfId="0">
      <alignment horizontal="left"/>
    </xf>
    <xf numFmtId="0" fontId="0" fillId="0" borderId="3" applyAlignment="1" pivotButton="0" quotePrefix="0" xfId="0">
      <alignment horizontal="left"/>
    </xf>
    <xf numFmtId="0" fontId="0" fillId="0" borderId="8" applyAlignment="1" pivotButton="0" quotePrefix="0" xfId="0">
      <alignment horizontal="left"/>
    </xf>
    <xf numFmtId="0" fontId="0" fillId="0" borderId="9" applyAlignment="1" pivotButton="0" quotePrefix="0" xfId="0">
      <alignment horizontal="left"/>
    </xf>
    <xf numFmtId="0" fontId="0" fillId="0" borderId="9" applyAlignment="1" pivotButton="0" quotePrefix="0" xfId="0">
      <alignment horizontal="center"/>
    </xf>
    <xf numFmtId="0" fontId="0" fillId="0" borderId="10" applyAlignment="1" pivotButton="0" quotePrefix="0" xfId="0">
      <alignment horizontal="center"/>
    </xf>
    <xf numFmtId="0" fontId="10" fillId="0" borderId="2" applyAlignment="1" pivotButton="0" quotePrefix="0" xfId="0">
      <alignment horizontal="center" vertical="center"/>
    </xf>
    <xf numFmtId="0" fontId="10" fillId="0" borderId="3" applyAlignment="1" pivotButton="0" quotePrefix="0" xfId="0">
      <alignment horizontal="center" vertical="center"/>
    </xf>
    <xf numFmtId="0" fontId="10" fillId="0" borderId="4" applyAlignment="1" pivotButton="0" quotePrefix="0" xfId="0">
      <alignment horizontal="center" vertical="center"/>
    </xf>
    <xf numFmtId="0" fontId="10" fillId="0" borderId="11" applyAlignment="1" pivotButton="0" quotePrefix="0" xfId="0">
      <alignment horizontal="center" vertical="center"/>
    </xf>
    <xf numFmtId="0" fontId="10" fillId="0" borderId="0" applyAlignment="1" pivotButton="0" quotePrefix="0" xfId="0">
      <alignment horizontal="center" vertical="center"/>
    </xf>
    <xf numFmtId="0" fontId="10" fillId="0" borderId="12" applyAlignment="1" pivotButton="0" quotePrefix="0" xfId="0">
      <alignment horizontal="center" vertical="center"/>
    </xf>
    <xf numFmtId="0" fontId="10" fillId="0" borderId="5" applyAlignment="1" pivotButton="0" quotePrefix="0" xfId="0">
      <alignment horizontal="center" vertical="center"/>
    </xf>
    <xf numFmtId="0" fontId="10" fillId="0" borderId="6" applyAlignment="1" pivotButton="0" quotePrefix="0" xfId="0">
      <alignment horizontal="center" vertical="center"/>
    </xf>
    <xf numFmtId="0" fontId="10" fillId="0" borderId="7" applyAlignment="1" pivotButton="0" quotePrefix="0" xfId="0">
      <alignment horizontal="center" vertical="center"/>
    </xf>
    <xf numFmtId="0" fontId="21" fillId="0" borderId="8" applyAlignment="1" pivotButton="0" quotePrefix="0" xfId="0">
      <alignment horizontal="center" vertical="center"/>
    </xf>
    <xf numFmtId="0" fontId="21" fillId="0" borderId="9" applyAlignment="1" pivotButton="0" quotePrefix="0" xfId="0">
      <alignment horizontal="center" vertical="center"/>
    </xf>
    <xf numFmtId="0" fontId="21" fillId="0" borderId="10" applyAlignment="1" pivotButton="0" quotePrefix="0" xfId="0">
      <alignment horizontal="center" vertical="center"/>
    </xf>
    <xf numFmtId="0" fontId="21" fillId="0" borderId="12" applyAlignment="1" pivotButton="0" quotePrefix="0" xfId="0">
      <alignment horizontal="left" vertical="center"/>
    </xf>
    <xf numFmtId="0" fontId="7" fillId="0" borderId="8" applyAlignment="1" pivotButton="0" quotePrefix="0" xfId="0">
      <alignment horizontal="center" vertical="center"/>
    </xf>
    <xf numFmtId="0" fontId="7" fillId="0" borderId="9" applyAlignment="1" pivotButton="0" quotePrefix="0" xfId="0">
      <alignment horizontal="center" vertical="center"/>
    </xf>
    <xf numFmtId="0" fontId="7" fillId="0" borderId="10" applyAlignment="1" pivotButton="0" quotePrefix="0" xfId="0">
      <alignment horizontal="center" vertical="center"/>
    </xf>
    <xf numFmtId="0" fontId="12" fillId="0" borderId="11" applyAlignment="1" pivotButton="0" quotePrefix="0" xfId="0">
      <alignment horizontal="left" vertical="top" wrapText="1"/>
    </xf>
    <xf numFmtId="0" fontId="12" fillId="0" borderId="0" applyAlignment="1" pivotButton="0" quotePrefix="0" xfId="0">
      <alignment horizontal="left" vertical="top" wrapText="1"/>
    </xf>
    <xf numFmtId="0" fontId="12" fillId="0" borderId="12" applyAlignment="1" pivotButton="0" quotePrefix="0" xfId="0">
      <alignment horizontal="left" vertical="top" wrapText="1"/>
    </xf>
    <xf numFmtId="0" fontId="11" fillId="0" borderId="11" applyAlignment="1" pivotButton="0" quotePrefix="0" xfId="0">
      <alignment horizontal="left" vertical="center"/>
    </xf>
    <xf numFmtId="0" fontId="11" fillId="0" borderId="0" applyAlignment="1" pivotButton="0" quotePrefix="0" xfId="0">
      <alignment horizontal="left" vertical="center"/>
    </xf>
    <xf numFmtId="14" fontId="11" fillId="0" borderId="0" applyAlignment="1" pivotButton="0" quotePrefix="0" xfId="0">
      <alignment horizontal="left" vertical="center"/>
    </xf>
    <xf numFmtId="0" fontId="11" fillId="0" borderId="12" applyAlignment="1" pivotButton="0" quotePrefix="0" xfId="0">
      <alignment horizontal="left" vertical="center"/>
    </xf>
    <xf numFmtId="0" fontId="11" fillId="0" borderId="8" applyAlignment="1" pivotButton="0" quotePrefix="0" xfId="0">
      <alignment horizontal="left" vertical="center"/>
    </xf>
    <xf numFmtId="0" fontId="11" fillId="0" borderId="9" applyAlignment="1" pivotButton="0" quotePrefix="0" xfId="0">
      <alignment horizontal="left" vertical="center"/>
    </xf>
    <xf numFmtId="0" fontId="12" fillId="0" borderId="2" applyAlignment="1" pivotButton="0" quotePrefix="0" xfId="0">
      <alignment horizontal="center" vertical="center"/>
    </xf>
    <xf numFmtId="0" fontId="12" fillId="0" borderId="3" applyAlignment="1" pivotButton="0" quotePrefix="0" xfId="0">
      <alignment horizontal="center" vertical="center"/>
    </xf>
    <xf numFmtId="0" fontId="9" fillId="0" borderId="3" applyAlignment="1" pivotButton="0" quotePrefix="0" xfId="0">
      <alignment horizontal="left" vertical="top" wrapText="1"/>
    </xf>
    <xf numFmtId="0" fontId="9" fillId="0" borderId="4" applyAlignment="1" pivotButton="0" quotePrefix="0" xfId="0">
      <alignment horizontal="left" vertical="top" wrapText="1"/>
    </xf>
    <xf numFmtId="0" fontId="9" fillId="0" borderId="0" applyAlignment="1" pivotButton="0" quotePrefix="0" xfId="0">
      <alignment horizontal="left" vertical="top" wrapText="1"/>
    </xf>
    <xf numFmtId="0" fontId="9" fillId="0" borderId="12" applyAlignment="1" pivotButton="0" quotePrefix="0" xfId="0">
      <alignment horizontal="left" vertical="top" wrapText="1"/>
    </xf>
    <xf numFmtId="0" fontId="11" fillId="0" borderId="9" applyAlignment="1" pivotButton="0" quotePrefix="0" xfId="0">
      <alignment horizontal="left" vertical="center" wrapText="1"/>
    </xf>
    <xf numFmtId="0" fontId="11" fillId="0" borderId="10" applyAlignment="1" pivotButton="0" quotePrefix="0" xfId="0">
      <alignment horizontal="left" vertical="center" wrapText="1"/>
    </xf>
    <xf numFmtId="0" fontId="11" fillId="0" borderId="2" applyAlignment="1" pivotButton="0" quotePrefix="0" xfId="0">
      <alignment horizontal="left" vertical="center"/>
    </xf>
    <xf numFmtId="0" fontId="11" fillId="0" borderId="3" applyAlignment="1" pivotButton="0" quotePrefix="0" xfId="0">
      <alignment horizontal="left" vertical="center"/>
    </xf>
    <xf numFmtId="0" fontId="11" fillId="0" borderId="3" applyAlignment="1" pivotButton="0" quotePrefix="0" xfId="0">
      <alignment horizontal="left" vertical="center" wrapText="1"/>
    </xf>
    <xf numFmtId="0" fontId="11" fillId="0" borderId="4" applyAlignment="1" pivotButton="0" quotePrefix="0" xfId="0">
      <alignment horizontal="left" vertical="center" wrapText="1"/>
    </xf>
    <xf numFmtId="171" fontId="0" fillId="0" borderId="1" applyAlignment="1" pivotButton="0" quotePrefix="0" xfId="0">
      <alignment horizontal="center" vertical="center"/>
    </xf>
    <xf numFmtId="164" fontId="0" fillId="0" borderId="1" applyAlignment="1" pivotButton="0" quotePrefix="0" xfId="0">
      <alignment horizontal="center" vertical="center"/>
    </xf>
    <xf numFmtId="169" fontId="0" fillId="0" borderId="8" applyAlignment="1" pivotButton="0" quotePrefix="0" xfId="0">
      <alignment horizontal="center" vertical="center"/>
    </xf>
    <xf numFmtId="169" fontId="0" fillId="0" borderId="10" applyAlignment="1" pivotButton="0" quotePrefix="0" xfId="0">
      <alignment horizontal="center" vertical="center"/>
    </xf>
    <xf numFmtId="164" fontId="0" fillId="0" borderId="10" applyAlignment="1" pivotButton="0" quotePrefix="0" xfId="0">
      <alignment horizontal="center" vertical="center"/>
    </xf>
    <xf numFmtId="0" fontId="0" fillId="0" borderId="1" applyAlignment="1" pivotButton="0" quotePrefix="0" xfId="0">
      <alignment horizontal="center" vertical="center"/>
    </xf>
    <xf numFmtId="164" fontId="0" fillId="0" borderId="8" applyAlignment="1" pivotButton="0" quotePrefix="0" xfId="0">
      <alignment horizontal="center" vertical="center"/>
    </xf>
    <xf numFmtId="0" fontId="6" fillId="0" borderId="1" applyAlignment="1" pivotButton="0" quotePrefix="0" xfId="0">
      <alignment horizontal="center" vertical="center"/>
    </xf>
    <xf numFmtId="0" fontId="0" fillId="0" borderId="11" applyAlignment="1" pivotButton="0" quotePrefix="0" xfId="0">
      <alignment horizontal="left" vertical="center"/>
    </xf>
    <xf numFmtId="164" fontId="0" fillId="0" borderId="0" applyAlignment="1" pivotButton="0" quotePrefix="0" xfId="0">
      <alignment horizontal="left" vertical="center"/>
    </xf>
    <xf numFmtId="0" fontId="0" fillId="0" borderId="0" applyAlignment="1" pivotButton="0" quotePrefix="0" xfId="0">
      <alignment horizontal="left" vertical="center"/>
    </xf>
    <xf numFmtId="0" fontId="10" fillId="0" borderId="8" applyAlignment="1" pivotButton="0" quotePrefix="0" xfId="0">
      <alignment horizontal="left" vertical="center"/>
    </xf>
    <xf numFmtId="0" fontId="10" fillId="0" borderId="9" applyAlignment="1" pivotButton="0" quotePrefix="0" xfId="0">
      <alignment horizontal="left" vertical="center"/>
    </xf>
    <xf numFmtId="0" fontId="10" fillId="0" borderId="10" applyAlignment="1" pivotButton="0" quotePrefix="0" xfId="0">
      <alignment horizontal="left" vertical="center"/>
    </xf>
    <xf numFmtId="0" fontId="11" fillId="0" borderId="10" applyAlignment="1" pivotButton="0" quotePrefix="0" xfId="0">
      <alignment horizontal="left" vertical="center"/>
    </xf>
    <xf numFmtId="0" fontId="7" fillId="0" borderId="11" applyAlignment="1" pivotButton="0" quotePrefix="0" xfId="0">
      <alignment horizontal="left" vertical="center"/>
    </xf>
    <xf numFmtId="0" fontId="7" fillId="0" borderId="0" applyAlignment="1" pivotButton="0" quotePrefix="0" xfId="0">
      <alignment horizontal="left" vertical="center"/>
    </xf>
    <xf numFmtId="0" fontId="11" fillId="0" borderId="8" applyAlignment="1" pivotButton="0" quotePrefix="0" xfId="0">
      <alignment horizontal="center" vertical="center"/>
    </xf>
    <xf numFmtId="0" fontId="11" fillId="0" borderId="9" applyAlignment="1" pivotButton="0" quotePrefix="0" xfId="0">
      <alignment horizontal="center" vertical="center"/>
    </xf>
    <xf numFmtId="0" fontId="0" fillId="0" borderId="8" applyAlignment="1" pivotButton="0" quotePrefix="0" xfId="0">
      <alignment horizontal="center" vertical="center"/>
    </xf>
    <xf numFmtId="0" fontId="0" fillId="0" borderId="9" applyAlignment="1" pivotButton="0" quotePrefix="0" xfId="0">
      <alignment horizontal="center" vertical="center"/>
    </xf>
    <xf numFmtId="0" fontId="0" fillId="0" borderId="10" applyAlignment="1" pivotButton="0" quotePrefix="0" xfId="0">
      <alignment horizontal="center" vertical="center"/>
    </xf>
    <xf numFmtId="0" fontId="9" fillId="0" borderId="5" applyAlignment="1" pivotButton="0" quotePrefix="0" xfId="0">
      <alignment horizontal="center" vertical="center"/>
    </xf>
    <xf numFmtId="0" fontId="9" fillId="0" borderId="6" applyAlignment="1" pivotButton="0" quotePrefix="0" xfId="0">
      <alignment horizontal="center" vertical="center"/>
    </xf>
    <xf numFmtId="0" fontId="9" fillId="0" borderId="3" applyAlignment="1" pivotButton="0" quotePrefix="0" xfId="0">
      <alignment horizontal="left" vertical="center" wrapText="1" shrinkToFit="1"/>
    </xf>
    <xf numFmtId="0" fontId="9" fillId="0" borderId="4" applyAlignment="1" pivotButton="0" quotePrefix="0" xfId="0">
      <alignment horizontal="left" vertical="center" wrapText="1" shrinkToFit="1"/>
    </xf>
    <xf numFmtId="0" fontId="9" fillId="0" borderId="6" applyAlignment="1" pivotButton="0" quotePrefix="0" xfId="0">
      <alignment horizontal="left" vertical="center" wrapText="1"/>
    </xf>
    <xf numFmtId="0" fontId="9" fillId="0" borderId="7" applyAlignment="1" pivotButton="0" quotePrefix="0" xfId="0">
      <alignment horizontal="left" vertical="center" wrapText="1"/>
    </xf>
    <xf numFmtId="0" fontId="0" fillId="0" borderId="8" applyAlignment="1" pivotButton="0" quotePrefix="0" xfId="0">
      <alignment horizontal="center" vertical="center"/>
    </xf>
    <xf numFmtId="0" fontId="0" fillId="0" borderId="10" applyAlignment="1" pivotButton="0" quotePrefix="0" xfId="0">
      <alignment horizontal="center" vertical="center"/>
    </xf>
    <xf numFmtId="49" fontId="0" fillId="0" borderId="8" applyAlignment="1" pivotButton="0" quotePrefix="0" xfId="0">
      <alignment horizontal="center" vertical="center"/>
    </xf>
    <xf numFmtId="49" fontId="0" fillId="0" borderId="10" applyAlignment="1" pivotButton="0" quotePrefix="0" xfId="0">
      <alignment horizontal="center" vertical="center"/>
    </xf>
    <xf numFmtId="0" fontId="0" fillId="0" borderId="9" applyAlignment="1" pivotButton="0" quotePrefix="0" xfId="0">
      <alignment horizontal="center" vertical="center"/>
    </xf>
    <xf numFmtId="0" fontId="10" fillId="0" borderId="8" applyAlignment="1" pivotButton="0" quotePrefix="0" xfId="0">
      <alignment horizontal="right" vertical="center"/>
    </xf>
    <xf numFmtId="0" fontId="10" fillId="0" borderId="9" applyAlignment="1" pivotButton="0" quotePrefix="0" xfId="0">
      <alignment horizontal="right" vertical="center"/>
    </xf>
    <xf numFmtId="168" fontId="10" fillId="0" borderId="9" applyAlignment="1" pivotButton="0" quotePrefix="0" xfId="0">
      <alignment horizontal="left" vertical="center"/>
    </xf>
    <xf numFmtId="168" fontId="10" fillId="0" borderId="10" applyAlignment="1" pivotButton="0" quotePrefix="0" xfId="0">
      <alignment horizontal="left" vertical="center"/>
    </xf>
    <xf numFmtId="0" fontId="0" fillId="0" borderId="8" applyAlignment="1" pivotButton="0" quotePrefix="0" xfId="0">
      <alignment horizontal="right" vertical="center"/>
    </xf>
    <xf numFmtId="0" fontId="0" fillId="0" borderId="10" applyAlignment="1" pivotButton="0" quotePrefix="0" xfId="0">
      <alignment horizontal="right" vertical="center"/>
    </xf>
    <xf numFmtId="0" fontId="0" fillId="0" borderId="8" applyAlignment="1" pivotButton="0" quotePrefix="0" xfId="0">
      <alignment horizontal="left" vertical="center"/>
    </xf>
    <xf numFmtId="0" fontId="0" fillId="0" borderId="9" applyAlignment="1" pivotButton="0" quotePrefix="0" xfId="0">
      <alignment horizontal="left" vertical="center"/>
    </xf>
    <xf numFmtId="0" fontId="0" fillId="0" borderId="10" applyAlignment="1" pivotButton="0" quotePrefix="0" xfId="0">
      <alignment horizontal="left" vertical="center"/>
    </xf>
    <xf numFmtId="0" fontId="18" fillId="0" borderId="3" applyAlignment="1" pivotButton="0" quotePrefix="0" xfId="0">
      <alignment horizontal="left" vertical="top" wrapText="1"/>
    </xf>
    <xf numFmtId="0" fontId="18" fillId="0" borderId="4" applyAlignment="1" pivotButton="0" quotePrefix="0" xfId="0">
      <alignment horizontal="left" vertical="top" wrapText="1"/>
    </xf>
    <xf numFmtId="0" fontId="18" fillId="0" borderId="0" applyAlignment="1" pivotButton="0" quotePrefix="0" xfId="0">
      <alignment horizontal="left" vertical="top" wrapText="1"/>
    </xf>
    <xf numFmtId="0" fontId="18" fillId="0" borderId="12" applyAlignment="1" pivotButton="0" quotePrefix="0" xfId="0">
      <alignment horizontal="left" vertical="top" wrapText="1"/>
    </xf>
    <xf numFmtId="165" fontId="0" fillId="0" borderId="1" applyAlignment="1" pivotButton="0" quotePrefix="0" xfId="0">
      <alignment horizontal="center" vertical="center"/>
    </xf>
    <xf numFmtId="170" fontId="0" fillId="0" borderId="1" applyAlignment="1" pivotButton="0" quotePrefix="0" xfId="0">
      <alignment horizontal="center" vertical="center"/>
    </xf>
    <xf numFmtId="165" fontId="0" fillId="0" borderId="0" applyAlignment="1" pivotButton="0" quotePrefix="0" xfId="0">
      <alignment horizontal="left" vertical="center"/>
    </xf>
    <xf numFmtId="49" fontId="0" fillId="0" borderId="1" applyAlignment="1" pivotButton="0" quotePrefix="0" xfId="0">
      <alignment horizontal="center" vertical="center"/>
    </xf>
    <xf numFmtId="0" fontId="11" fillId="0" borderId="1" applyAlignment="1" pivotButton="0" quotePrefix="0" xfId="0">
      <alignment horizontal="left" vertical="center"/>
    </xf>
    <xf numFmtId="0" fontId="10" fillId="0" borderId="1" applyAlignment="1" pivotButton="0" quotePrefix="0" xfId="0">
      <alignment horizontal="left" vertical="center"/>
    </xf>
    <xf numFmtId="0" fontId="0" fillId="0" borderId="1" applyAlignment="1" pivotButton="0" quotePrefix="0" xfId="0">
      <alignment horizontal="right" vertical="center"/>
    </xf>
    <xf numFmtId="0" fontId="0" fillId="0" borderId="1" applyAlignment="1" pivotButton="0" quotePrefix="0" xfId="0">
      <alignment horizontal="left" vertical="center"/>
    </xf>
    <xf numFmtId="164" fontId="0" fillId="0" borderId="0" applyAlignment="1" pivotButton="0" quotePrefix="0" xfId="0">
      <alignment horizontal="center" vertical="center"/>
    </xf>
    <xf numFmtId="165" fontId="0" fillId="0" borderId="0" applyAlignment="1" pivotButton="0" quotePrefix="0" xfId="0">
      <alignment horizontal="center" vertical="center"/>
    </xf>
    <xf numFmtId="0" fontId="7" fillId="2" borderId="1" applyAlignment="1" pivotButton="0" quotePrefix="0" xfId="1">
      <alignment horizontal="center" vertical="center"/>
    </xf>
    <xf numFmtId="0" fontId="0" fillId="0" borderId="2" applyAlignment="1" pivotButton="0" quotePrefix="0" xfId="0">
      <alignment horizontal="center"/>
    </xf>
    <xf numFmtId="0" fontId="0" fillId="0" borderId="3" applyAlignment="1" pivotButton="0" quotePrefix="0" xfId="0">
      <alignment horizontal="center"/>
    </xf>
    <xf numFmtId="0" fontId="0" fillId="0" borderId="4" applyAlignment="1" pivotButton="0" quotePrefix="0" xfId="0">
      <alignment horizontal="center"/>
    </xf>
    <xf numFmtId="0" fontId="0" fillId="0" borderId="5" applyAlignment="1" pivotButton="0" quotePrefix="0" xfId="0">
      <alignment horizontal="center"/>
    </xf>
    <xf numFmtId="0" fontId="0" fillId="0" borderId="6" applyAlignment="1" pivotButton="0" quotePrefix="0" xfId="0">
      <alignment horizontal="center"/>
    </xf>
    <xf numFmtId="0" fontId="0" fillId="0" borderId="7" applyAlignment="1" pivotButton="0" quotePrefix="0" xfId="0">
      <alignment horizontal="center"/>
    </xf>
    <xf numFmtId="0" fontId="12" fillId="0" borderId="1" applyAlignment="1" pivotButton="0" quotePrefix="0" xfId="0">
      <alignment horizontal="center" vertical="center"/>
    </xf>
    <xf numFmtId="0" fontId="9" fillId="0" borderId="6" applyAlignment="1" pivotButton="0" quotePrefix="0" xfId="0">
      <alignment horizontal="left" vertical="top" wrapText="1"/>
    </xf>
    <xf numFmtId="0" fontId="9" fillId="0" borderId="7" applyAlignment="1" pivotButton="0" quotePrefix="0" xfId="0">
      <alignment horizontal="left" vertical="top" wrapText="1"/>
    </xf>
    <xf numFmtId="0" fontId="28" fillId="0" borderId="11" applyAlignment="1" pivotButton="0" quotePrefix="0" xfId="0">
      <alignment horizontal="left" vertical="top" wrapText="1"/>
    </xf>
    <xf numFmtId="0" fontId="28" fillId="0" borderId="0" applyAlignment="1" pivotButton="0" quotePrefix="0" xfId="0">
      <alignment horizontal="left" vertical="top" wrapText="1"/>
    </xf>
    <xf numFmtId="0" fontId="28" fillId="0" borderId="12" applyAlignment="1" pivotButton="0" quotePrefix="0" xfId="0">
      <alignment horizontal="left" vertical="top" wrapText="1"/>
    </xf>
    <xf numFmtId="0" fontId="28" fillId="0" borderId="6" applyAlignment="1" pivotButton="0" quotePrefix="0" xfId="0">
      <alignment horizontal="left" vertical="top" wrapText="1"/>
    </xf>
    <xf numFmtId="0" fontId="28" fillId="0" borderId="7" applyAlignment="1" pivotButton="0" quotePrefix="0" xfId="0">
      <alignment horizontal="left" vertical="top" wrapText="1"/>
    </xf>
    <xf numFmtId="0" fontId="7" fillId="0" borderId="1" applyAlignment="1" pivotButton="0" quotePrefix="0" xfId="0">
      <alignment horizontal="center" vertical="center"/>
    </xf>
    <xf numFmtId="0" fontId="7" fillId="0" borderId="30" applyAlignment="1" pivotButton="0" quotePrefix="0" xfId="0">
      <alignment horizontal="center" vertical="center"/>
    </xf>
    <xf numFmtId="0" fontId="7" fillId="0" borderId="29" applyAlignment="1" pivotButton="0" quotePrefix="0" xfId="0">
      <alignment horizontal="center" vertical="center"/>
    </xf>
    <xf numFmtId="0" fontId="12" fillId="0" borderId="8" applyAlignment="1" pivotButton="0" quotePrefix="0" xfId="0">
      <alignment horizontal="center" vertical="center"/>
    </xf>
    <xf numFmtId="0" fontId="12" fillId="0" borderId="10" applyAlignment="1" pivotButton="0" quotePrefix="0" xfId="0">
      <alignment horizontal="center" vertical="center"/>
    </xf>
    <xf numFmtId="166" fontId="0" fillId="0" borderId="1" applyAlignment="1" pivotButton="0" quotePrefix="0" xfId="0">
      <alignment horizontal="center" vertical="center"/>
    </xf>
    <xf numFmtId="0" fontId="0" fillId="0" borderId="0" applyAlignment="1" pivotButton="0" quotePrefix="0" xfId="0">
      <alignment horizontal="left" vertical="center"/>
    </xf>
    <xf numFmtId="0" fontId="9" fillId="0" borderId="0" applyAlignment="1" pivotButton="0" quotePrefix="0" xfId="0">
      <alignment horizontal="left" vertical="center"/>
    </xf>
    <xf numFmtId="0" fontId="9" fillId="0" borderId="12" applyAlignment="1" pivotButton="0" quotePrefix="0" xfId="0">
      <alignment horizontal="left" vertical="center"/>
    </xf>
    <xf numFmtId="164" fontId="12" fillId="0" borderId="8" applyAlignment="1" pivotButton="0" quotePrefix="0" xfId="0">
      <alignment horizontal="center" vertical="center"/>
    </xf>
    <xf numFmtId="164" fontId="12" fillId="0" borderId="10" applyAlignment="1" pivotButton="0" quotePrefix="0" xfId="0">
      <alignment horizontal="center" vertical="center"/>
    </xf>
    <xf numFmtId="0" fontId="14" fillId="0" borderId="8" applyAlignment="1" pivotButton="0" quotePrefix="0" xfId="0">
      <alignment horizontal="center" vertical="center"/>
    </xf>
    <xf numFmtId="0" fontId="14" fillId="0" borderId="10" applyAlignment="1" pivotButton="0" quotePrefix="0" xfId="0">
      <alignment horizontal="center" vertical="center"/>
    </xf>
    <xf numFmtId="164" fontId="17" fillId="0" borderId="8" applyAlignment="1" pivotButton="0" quotePrefix="0" xfId="0">
      <alignment horizontal="center" vertical="center"/>
    </xf>
    <xf numFmtId="164" fontId="17" fillId="0" borderId="9" applyAlignment="1" pivotButton="0" quotePrefix="0" xfId="0">
      <alignment horizontal="center" vertical="center"/>
    </xf>
    <xf numFmtId="164" fontId="17" fillId="0" borderId="10" applyAlignment="1" pivotButton="0" quotePrefix="0" xfId="0">
      <alignment horizontal="center" vertical="center"/>
    </xf>
    <xf numFmtId="172" fontId="0" fillId="0" borderId="1" applyAlignment="1" pivotButton="0" quotePrefix="0" xfId="0">
      <alignment horizontal="center" vertical="center"/>
    </xf>
    <xf numFmtId="0" fontId="15" fillId="0" borderId="8" applyAlignment="1" pivotButton="0" quotePrefix="0" xfId="0">
      <alignment horizontal="center" vertical="center"/>
    </xf>
    <xf numFmtId="0" fontId="10" fillId="0" borderId="11" applyAlignment="1" pivotButton="0" quotePrefix="0" xfId="0">
      <alignment horizontal="left" vertical="center"/>
    </xf>
    <xf numFmtId="0" fontId="10" fillId="0" borderId="0" applyAlignment="1" pivotButton="0" quotePrefix="0" xfId="0">
      <alignment horizontal="left" vertical="center"/>
    </xf>
    <xf numFmtId="0" fontId="10" fillId="0" borderId="12" applyAlignment="1" pivotButton="0" quotePrefix="0" xfId="0">
      <alignment horizontal="left" vertical="center"/>
    </xf>
    <xf numFmtId="2" fontId="0" fillId="0" borderId="0" applyAlignment="1" pivotButton="0" quotePrefix="0" xfId="0">
      <alignment horizontal="right" vertical="center"/>
    </xf>
    <xf numFmtId="164" fontId="0" fillId="0" borderId="0" applyAlignment="1" pivotButton="0" quotePrefix="0" xfId="0">
      <alignment horizontal="right" vertical="center"/>
    </xf>
    <xf numFmtId="1" fontId="0" fillId="0" borderId="0" applyAlignment="1" pivotButton="0" quotePrefix="0" xfId="0">
      <alignment horizontal="right" vertical="center"/>
    </xf>
    <xf numFmtId="166" fontId="0" fillId="0" borderId="0" applyAlignment="1" pivotButton="0" quotePrefix="0" xfId="0">
      <alignment horizontal="left" vertical="center"/>
    </xf>
    <xf numFmtId="166" fontId="0" fillId="0" borderId="12" applyAlignment="1" pivotButton="0" quotePrefix="0" xfId="0">
      <alignment horizontal="left" vertical="center"/>
    </xf>
    <xf numFmtId="0" fontId="14" fillId="0" borderId="9" applyAlignment="1" pivotButton="0" quotePrefix="0" xfId="0">
      <alignment horizontal="center" vertical="center"/>
    </xf>
    <xf numFmtId="0" fontId="9" fillId="0" borderId="3" applyAlignment="1" pivotButton="0" quotePrefix="0" xfId="0">
      <alignment horizontal="left" vertical="center" wrapText="1" shrinkToFit="1"/>
    </xf>
    <xf numFmtId="0" fontId="9" fillId="0" borderId="4" applyAlignment="1" pivotButton="0" quotePrefix="0" xfId="0">
      <alignment horizontal="left" vertical="center" wrapText="1" shrinkToFit="1"/>
    </xf>
    <xf numFmtId="0" fontId="8" fillId="5" borderId="2" applyAlignment="1" pivotButton="0" quotePrefix="0" xfId="0">
      <alignment horizontal="left" vertical="center"/>
    </xf>
    <xf numFmtId="0" fontId="8" fillId="5" borderId="3" applyAlignment="1" pivotButton="0" quotePrefix="0" xfId="0">
      <alignment horizontal="left" vertical="center"/>
    </xf>
    <xf numFmtId="0" fontId="12" fillId="5" borderId="3" applyAlignment="1" pivotButton="0" quotePrefix="0" xfId="0">
      <alignment horizontal="left" vertical="center"/>
    </xf>
    <xf numFmtId="0" fontId="12" fillId="5" borderId="3" applyAlignment="1" pivotButton="0" quotePrefix="0" xfId="0">
      <alignment horizontal="right" vertical="center"/>
    </xf>
    <xf numFmtId="0" fontId="12" fillId="5" borderId="3" applyAlignment="1" pivotButton="0" quotePrefix="0" xfId="0">
      <alignment horizontal="center" vertical="center"/>
    </xf>
    <xf numFmtId="0" fontId="0" fillId="5" borderId="11" applyAlignment="1" pivotButton="0" quotePrefix="0" xfId="0">
      <alignment horizontal="left" vertical="top" wrapText="1"/>
    </xf>
    <xf numFmtId="0" fontId="0" fillId="5" borderId="0" applyAlignment="1" pivotButton="0" quotePrefix="0" xfId="0">
      <alignment horizontal="left" vertical="top"/>
    </xf>
    <xf numFmtId="0" fontId="0" fillId="5" borderId="12" applyAlignment="1" pivotButton="0" quotePrefix="0" xfId="0">
      <alignment horizontal="left" vertical="top"/>
    </xf>
    <xf numFmtId="0" fontId="0" fillId="5" borderId="11" applyAlignment="1" pivotButton="0" quotePrefix="0" xfId="0">
      <alignment horizontal="left" vertical="top"/>
    </xf>
    <xf numFmtId="0" fontId="7" fillId="5" borderId="11" applyAlignment="1" pivotButton="0" quotePrefix="0" xfId="0">
      <alignment horizontal="center" vertical="top"/>
    </xf>
    <xf numFmtId="0" fontId="7" fillId="5" borderId="0" applyAlignment="1" pivotButton="0" quotePrefix="0" xfId="0">
      <alignment horizontal="center" vertical="top"/>
    </xf>
    <xf numFmtId="0" fontId="7" fillId="5" borderId="12" applyAlignment="1" pivotButton="0" quotePrefix="0" xfId="0">
      <alignment horizontal="center" vertical="top"/>
    </xf>
    <xf numFmtId="0" fontId="22" fillId="0" borderId="1" applyAlignment="1" pivotButton="0" quotePrefix="0" xfId="0">
      <alignment horizontal="center"/>
    </xf>
    <xf numFmtId="0" fontId="0" fillId="0" borderId="10" pivotButton="0" quotePrefix="0" xfId="0"/>
    <xf numFmtId="0" fontId="22" fillId="0" borderId="31" applyAlignment="1" pivotButton="0" quotePrefix="0" xfId="0">
      <alignment horizontal="center"/>
    </xf>
    <xf numFmtId="0" fontId="30" fillId="0" borderId="33" applyAlignment="1" pivotButton="0" quotePrefix="0" xfId="0">
      <alignment horizontal="center" vertical="center" wrapText="1"/>
    </xf>
    <xf numFmtId="0" fontId="10" fillId="0" borderId="1" applyAlignment="1" pivotButton="0" quotePrefix="0" xfId="0">
      <alignment horizontal="center" vertical="center"/>
    </xf>
    <xf numFmtId="0" fontId="0" fillId="0" borderId="24" pivotButton="0" quotePrefix="0" xfId="0"/>
    <xf numFmtId="0" fontId="0" fillId="0" borderId="23" pivotButton="0" quotePrefix="0" xfId="0"/>
    <xf numFmtId="0" fontId="0" fillId="0" borderId="23" applyAlignment="1" pivotButton="0" quotePrefix="1" xfId="0">
      <alignment horizontal="center" vertical="center"/>
    </xf>
    <xf numFmtId="0" fontId="0" fillId="0" borderId="31" applyAlignment="1" pivotButton="0" quotePrefix="0" xfId="0">
      <alignment horizontal="center" vertical="center"/>
    </xf>
    <xf numFmtId="164" fontId="0" fillId="0" borderId="32" applyAlignment="1" pivotButton="0" quotePrefix="0" xfId="0">
      <alignment horizontal="center"/>
    </xf>
    <xf numFmtId="169" fontId="0" fillId="0" borderId="24" applyAlignment="1" pivotButton="0" quotePrefix="0" xfId="0">
      <alignment horizontal="center" vertical="center"/>
    </xf>
    <xf numFmtId="170" fontId="0" fillId="0" borderId="23" applyAlignment="1" pivotButton="0" quotePrefix="0" xfId="0">
      <alignment horizontal="center" vertical="center"/>
    </xf>
    <xf numFmtId="0" fontId="0" fillId="0" borderId="31" applyAlignment="1" pivotButton="0" quotePrefix="0" xfId="0">
      <alignment horizontal="left" vertical="center"/>
    </xf>
    <xf numFmtId="0" fontId="12" fillId="0" borderId="33" applyAlignment="1" pivotButton="0" quotePrefix="0" xfId="0">
      <alignment horizontal="left" vertical="top" wrapText="1"/>
    </xf>
    <xf numFmtId="0" fontId="21" fillId="0" borderId="1" applyAlignment="1" pivotButton="0" quotePrefix="0" xfId="0">
      <alignment horizontal="center" vertical="center"/>
    </xf>
    <xf numFmtId="168" fontId="4" fillId="0" borderId="0" applyAlignment="1" pivotButton="0" quotePrefix="0" xfId="0">
      <alignment vertical="center"/>
    </xf>
    <xf numFmtId="168" fontId="4" fillId="0" borderId="12" applyAlignment="1" pivotButton="0" quotePrefix="0" xfId="0">
      <alignment vertical="center"/>
    </xf>
    <xf numFmtId="14" fontId="2" fillId="0" borderId="12" applyAlignment="1" pivotButton="0" quotePrefix="0" xfId="0">
      <alignment horizontal="left" vertical="center"/>
    </xf>
    <xf numFmtId="168" fontId="10" fillId="0" borderId="10" applyAlignment="1" pivotButton="0" quotePrefix="0" xfId="0">
      <alignment horizontal="left" vertical="center"/>
    </xf>
    <xf numFmtId="167" fontId="0" fillId="0" borderId="0" pivotButton="0" quotePrefix="0" xfId="0"/>
    <xf numFmtId="169" fontId="0" fillId="0" borderId="1" applyAlignment="1" pivotButton="0" quotePrefix="0" xfId="0">
      <alignment horizontal="center" vertical="center"/>
    </xf>
    <xf numFmtId="14" fontId="11" fillId="0" borderId="12" applyAlignment="1" pivotButton="0" quotePrefix="0" xfId="0">
      <alignment horizontal="left" vertical="center"/>
    </xf>
    <xf numFmtId="170" fontId="0" fillId="0" borderId="1" applyAlignment="1" pivotButton="0" quotePrefix="0" xfId="0">
      <alignment horizontal="center" vertical="center"/>
    </xf>
    <xf numFmtId="0" fontId="0" fillId="0" borderId="1" applyAlignment="1" pivotButton="0" quotePrefix="0" xfId="0">
      <alignment horizontal="center"/>
    </xf>
    <xf numFmtId="0" fontId="0" fillId="0" borderId="29" pivotButton="0" quotePrefix="0" xfId="0"/>
    <xf numFmtId="0" fontId="9" fillId="0" borderId="10" applyAlignment="1" pivotButton="0" quotePrefix="0" xfId="0">
      <alignment horizontal="left" vertical="top" wrapText="1"/>
    </xf>
    <xf numFmtId="0" fontId="28" fillId="0" borderId="31" applyAlignment="1" pivotButton="0" quotePrefix="0" xfId="0">
      <alignment horizontal="left" vertical="top" wrapText="1"/>
    </xf>
    <xf numFmtId="0" fontId="10" fillId="0" borderId="33" applyAlignment="1" pivotButton="0" quotePrefix="0" xfId="0">
      <alignment horizontal="left" vertical="center"/>
    </xf>
    <xf numFmtId="0" fontId="14" fillId="0" borderId="1" applyAlignment="1" pivotButton="0" quotePrefix="0" xfId="0">
      <alignment horizontal="center" vertical="center"/>
    </xf>
    <xf numFmtId="0" fontId="15" fillId="0" borderId="1" applyAlignment="1" pivotButton="0" quotePrefix="0" xfId="0">
      <alignment horizontal="center" vertical="center"/>
    </xf>
    <xf numFmtId="172" fontId="0" fillId="0" borderId="1" applyAlignment="1" pivotButton="0" quotePrefix="0" xfId="0">
      <alignment horizontal="center" vertical="center"/>
    </xf>
    <xf numFmtId="164" fontId="12" fillId="0" borderId="1" applyAlignment="1" pivotButton="0" quotePrefix="0" xfId="0">
      <alignment horizontal="center" vertical="center"/>
    </xf>
    <xf numFmtId="164" fontId="17" fillId="0" borderId="1" applyAlignment="1" pivotButton="0" quotePrefix="0" xfId="0">
      <alignment horizontal="center" vertical="center"/>
    </xf>
    <xf numFmtId="0" fontId="8" fillId="0" borderId="8" applyAlignment="1" pivotButton="0" quotePrefix="0" xfId="0">
      <alignment horizontal="left" vertical="center"/>
    </xf>
    <xf numFmtId="2" fontId="0" fillId="0" borderId="1" applyAlignment="1" pivotButton="0" quotePrefix="0" xfId="0">
      <alignment horizontal="center" vertical="center"/>
    </xf>
    <xf numFmtId="2" fontId="34" fillId="0" borderId="1" applyAlignment="1" pivotButton="0" quotePrefix="0" xfId="0">
      <alignment horizontal="center" vertical="center"/>
    </xf>
    <xf numFmtId="0" fontId="34" fillId="0" borderId="10" applyAlignment="1" pivotButton="0" quotePrefix="0" xfId="0">
      <alignment horizontal="center" vertical="center"/>
    </xf>
    <xf numFmtId="2" fontId="0" fillId="0" borderId="2" applyAlignment="1" pivotButton="0" quotePrefix="0" xfId="0">
      <alignment vertical="center"/>
    </xf>
    <xf numFmtId="2" fontId="0" fillId="0" borderId="3" applyAlignment="1" pivotButton="0" quotePrefix="0" xfId="0">
      <alignment vertical="center"/>
    </xf>
    <xf numFmtId="0" fontId="7" fillId="0" borderId="3" applyAlignment="1" pivotButton="0" quotePrefix="0" xfId="0">
      <alignment vertical="center"/>
    </xf>
    <xf numFmtId="2" fontId="0" fillId="0" borderId="11" applyAlignment="1" pivotButton="0" quotePrefix="0" xfId="0">
      <alignment vertical="center"/>
    </xf>
    <xf numFmtId="2" fontId="0" fillId="0" borderId="12" applyAlignment="1" pivotButton="0" quotePrefix="0" xfId="0">
      <alignment vertical="center"/>
    </xf>
    <xf numFmtId="2" fontId="0" fillId="0" borderId="1" applyAlignment="1" pivotButton="0" quotePrefix="0" xfId="0">
      <alignment horizontal="left" vertical="center"/>
    </xf>
    <xf numFmtId="2" fontId="6" fillId="0" borderId="8" applyAlignment="1" pivotButton="0" quotePrefix="0" xfId="0">
      <alignment horizontal="center" vertical="center"/>
    </xf>
    <xf numFmtId="2" fontId="6" fillId="0" borderId="9" applyAlignment="1" pivotButton="0" quotePrefix="0" xfId="0">
      <alignment vertical="center"/>
    </xf>
    <xf numFmtId="2" fontId="34" fillId="0" borderId="8" applyAlignment="1" pivotButton="0" quotePrefix="0" xfId="0">
      <alignment vertical="center"/>
    </xf>
    <xf numFmtId="2" fontId="0" fillId="0" borderId="8" applyAlignment="1" pivotButton="0" quotePrefix="0" xfId="0">
      <alignment horizontal="center" vertical="center"/>
    </xf>
    <xf numFmtId="0" fontId="7" fillId="0" borderId="11" applyAlignment="1" pivotButton="0" quotePrefix="0" xfId="0">
      <alignment horizontal="center" vertical="center"/>
    </xf>
    <xf numFmtId="164" fontId="0" fillId="0" borderId="6" applyAlignment="1" pivotButton="0" quotePrefix="0" xfId="0">
      <alignment vertical="center"/>
    </xf>
    <xf numFmtId="0" fontId="0" fillId="0" borderId="35" applyAlignment="1" pivotButton="0" quotePrefix="0" xfId="0">
      <alignment horizontal="left" vertical="center"/>
    </xf>
    <xf numFmtId="0" fontId="11" fillId="0" borderId="3" applyAlignment="1" pivotButton="0" quotePrefix="0" xfId="0">
      <alignment vertical="center"/>
    </xf>
    <xf numFmtId="0" fontId="11" fillId="0" borderId="10" applyAlignment="1" pivotButton="0" quotePrefix="0" xfId="0">
      <alignment horizontal="center" vertical="center"/>
    </xf>
    <xf numFmtId="14" fontId="11" fillId="0" borderId="4" applyAlignment="1" pivotButton="0" quotePrefix="0" xfId="0">
      <alignment horizontal="left" vertical="center" wrapText="1"/>
    </xf>
    <xf numFmtId="0" fontId="11" fillId="0" borderId="4" applyAlignment="1" pivotButton="0" quotePrefix="0" xfId="0">
      <alignment horizontal="left" vertical="center"/>
    </xf>
    <xf numFmtId="0" fontId="10" fillId="0" borderId="5" applyAlignment="1" pivotButton="0" quotePrefix="0" xfId="0">
      <alignment vertical="center"/>
    </xf>
    <xf numFmtId="0" fontId="9" fillId="0" borderId="4" applyAlignment="1" pivotButton="0" quotePrefix="0" xfId="0">
      <alignment vertical="center"/>
    </xf>
    <xf numFmtId="0" fontId="9" fillId="0" borderId="26" applyAlignment="1" pivotButton="0" quotePrefix="0" xfId="0">
      <alignment horizontal="left" vertical="center" wrapText="1"/>
    </xf>
    <xf numFmtId="0" fontId="9" fillId="0" borderId="12" applyAlignment="1" pivotButton="0" quotePrefix="0" xfId="0">
      <alignment vertical="center"/>
    </xf>
    <xf numFmtId="0" fontId="9" fillId="0" borderId="5" applyAlignment="1" pivotButton="0" quotePrefix="0" xfId="0">
      <alignment horizontal="center" vertical="center" wrapText="1"/>
    </xf>
    <xf numFmtId="0" fontId="9" fillId="0" borderId="6" applyAlignment="1" pivotButton="0" quotePrefix="0" xfId="0">
      <alignment horizontal="center" vertical="center" wrapText="1"/>
    </xf>
    <xf numFmtId="0" fontId="9" fillId="0" borderId="7" applyAlignment="1" pivotButton="0" quotePrefix="0" xfId="0">
      <alignment horizontal="left" vertical="center"/>
    </xf>
    <xf numFmtId="49" fontId="35" fillId="0" borderId="24" applyAlignment="1" pivotButton="0" quotePrefix="0" xfId="0">
      <alignment horizontal="center" vertical="center"/>
    </xf>
    <xf numFmtId="0" fontId="36" fillId="0" borderId="36" applyAlignment="1" pivotButton="0" quotePrefix="0" xfId="0">
      <alignment horizontal="center" vertical="center"/>
    </xf>
    <xf numFmtId="0" fontId="0" fillId="0" borderId="36" pivotButton="0" quotePrefix="0" xfId="0"/>
    <xf numFmtId="0" fontId="35" fillId="0" borderId="0" applyAlignment="1" pivotButton="0" quotePrefix="0" xfId="0">
      <alignment vertical="center"/>
    </xf>
    <xf numFmtId="0" fontId="36" fillId="0" borderId="0" applyAlignment="1" pivotButton="0" quotePrefix="0" xfId="0">
      <alignment vertical="center"/>
    </xf>
    <xf numFmtId="0" fontId="36" fillId="0" borderId="12" applyAlignment="1" pivotButton="0" quotePrefix="0" xfId="0">
      <alignment vertical="center"/>
    </xf>
    <xf numFmtId="0" fontId="35" fillId="0" borderId="24" applyAlignment="1" pivotButton="0" quotePrefix="0" xfId="0">
      <alignment horizontal="center" vertical="center"/>
    </xf>
    <xf numFmtId="0" fontId="0" fillId="0" borderId="24" applyAlignment="1" pivotButton="0" quotePrefix="0" xfId="0">
      <alignment vertical="center"/>
    </xf>
    <xf numFmtId="49" fontId="36" fillId="0" borderId="23" applyAlignment="1" pivotButton="0" quotePrefix="0" xfId="0">
      <alignment horizontal="center" vertical="center"/>
    </xf>
    <xf numFmtId="0" fontId="36" fillId="0" borderId="23" applyAlignment="1" pivotButton="0" quotePrefix="0" xfId="0">
      <alignment horizontal="center" vertical="center"/>
    </xf>
    <xf numFmtId="0" fontId="37" fillId="0" borderId="23" applyAlignment="1" pivotButton="0" quotePrefix="0" xfId="0">
      <alignment horizontal="center" vertical="center"/>
    </xf>
    <xf numFmtId="0" fontId="38" fillId="0" borderId="1" applyAlignment="1" pivotButton="0" quotePrefix="0" xfId="0">
      <alignment horizontal="center" vertical="center"/>
    </xf>
    <xf numFmtId="0" fontId="22" fillId="0" borderId="1" applyAlignment="1" pivotButton="0" quotePrefix="0" xfId="0">
      <alignment horizontal="center" vertical="center"/>
    </xf>
    <xf numFmtId="0" fontId="37" fillId="0" borderId="0" applyAlignment="1" pivotButton="0" quotePrefix="0" xfId="0">
      <alignment vertical="center"/>
    </xf>
    <xf numFmtId="0" fontId="37" fillId="0" borderId="0" applyAlignment="1" pivotButton="0" quotePrefix="0" xfId="0">
      <alignment horizontal="center" vertical="center"/>
    </xf>
    <xf numFmtId="0" fontId="37" fillId="0" borderId="24" applyAlignment="1" pivotButton="0" quotePrefix="0" xfId="0">
      <alignment vertical="center"/>
    </xf>
    <xf numFmtId="0" fontId="22" fillId="0" borderId="8" applyAlignment="1" pivotButton="0" quotePrefix="0" xfId="0">
      <alignment vertical="center"/>
    </xf>
    <xf numFmtId="0" fontId="22" fillId="0" borderId="9" applyAlignment="1" pivotButton="0" quotePrefix="0" xfId="0">
      <alignment vertical="center"/>
    </xf>
    <xf numFmtId="0" fontId="22" fillId="0" borderId="10" applyAlignment="1" pivotButton="0" quotePrefix="0" xfId="0">
      <alignment vertical="center"/>
    </xf>
    <xf numFmtId="0" fontId="6" fillId="0" borderId="8" applyAlignment="1" pivotButton="0" quotePrefix="0" xfId="0">
      <alignment horizontal="center" vertical="center"/>
    </xf>
    <xf numFmtId="0" fontId="6" fillId="0" borderId="9" applyAlignment="1" pivotButton="0" quotePrefix="0" xfId="0">
      <alignment vertical="center"/>
    </xf>
    <xf numFmtId="2" fontId="36" fillId="0" borderId="8" applyAlignment="1" pivotButton="0" quotePrefix="0" xfId="0">
      <alignment horizontal="right" vertical="center"/>
    </xf>
    <xf numFmtId="0" fontId="6" fillId="0" borderId="10" applyAlignment="1" pivotButton="0" quotePrefix="0" xfId="0">
      <alignment vertical="center"/>
    </xf>
    <xf numFmtId="0" fontId="6" fillId="0" borderId="10" applyAlignment="1" pivotButton="0" quotePrefix="0" xfId="0">
      <alignment horizontal="center" vertical="center"/>
    </xf>
    <xf numFmtId="164" fontId="36" fillId="0" borderId="8" applyAlignment="1" pivotButton="0" quotePrefix="0" xfId="0">
      <alignment horizontal="right" vertical="center"/>
    </xf>
    <xf numFmtId="0" fontId="6" fillId="0" borderId="11" applyAlignment="1" pivotButton="0" quotePrefix="0" xfId="0">
      <alignment horizontal="center"/>
    </xf>
    <xf numFmtId="0" fontId="6" fillId="0" borderId="0" pivotButton="0" quotePrefix="0" xfId="0"/>
    <xf numFmtId="2" fontId="36" fillId="0" borderId="0" applyAlignment="1" pivotButton="0" quotePrefix="0" xfId="0">
      <alignment horizontal="right" vertical="center"/>
    </xf>
    <xf numFmtId="164" fontId="36" fillId="0" borderId="0" applyAlignment="1" pivotButton="0" quotePrefix="0" xfId="0">
      <alignment vertical="center"/>
    </xf>
    <xf numFmtId="164" fontId="36" fillId="0" borderId="8" applyAlignment="1" pivotButton="0" quotePrefix="0" xfId="0">
      <alignment horizontal="right"/>
    </xf>
    <xf numFmtId="2" fontId="35" fillId="0" borderId="8" applyAlignment="1" pivotButton="0" quotePrefix="0" xfId="0">
      <alignment horizontal="right"/>
    </xf>
    <xf numFmtId="0" fontId="19" fillId="2" borderId="1" applyAlignment="1" pivotButton="0" quotePrefix="0" xfId="0">
      <alignment horizontal="center"/>
    </xf>
    <xf numFmtId="0" fontId="0" fillId="0" borderId="11" applyAlignment="1" pivotButton="0" quotePrefix="0" xfId="0">
      <alignment horizontal="center"/>
    </xf>
    <xf numFmtId="2" fontId="35" fillId="0" borderId="0" pivotButton="0" quotePrefix="0" xfId="0"/>
    <xf numFmtId="2" fontId="35" fillId="0" borderId="8" applyAlignment="1" pivotButton="0" quotePrefix="0" xfId="0">
      <alignment horizontal="center" vertical="center"/>
    </xf>
    <xf numFmtId="0" fontId="6" fillId="0" borderId="5" applyAlignment="1" pivotButton="0" quotePrefix="0" xfId="0">
      <alignment horizontal="center" vertical="center"/>
    </xf>
    <xf numFmtId="0" fontId="6" fillId="0" borderId="6" applyAlignment="1" pivotButton="0" quotePrefix="0" xfId="0">
      <alignment horizontal="center" vertical="center"/>
    </xf>
    <xf numFmtId="164" fontId="0" fillId="0" borderId="9" applyAlignment="1" pivotButton="0" quotePrefix="0" xfId="0">
      <alignment vertical="center"/>
    </xf>
    <xf numFmtId="0" fontId="12" fillId="0" borderId="2" applyAlignment="1" pivotButton="0" quotePrefix="0" xfId="0">
      <alignment vertical="center"/>
    </xf>
    <xf numFmtId="0" fontId="12" fillId="0" borderId="3" applyAlignment="1" pivotButton="0" quotePrefix="0" xfId="0">
      <alignment vertical="center"/>
    </xf>
    <xf numFmtId="0" fontId="9" fillId="0" borderId="26" applyAlignment="1" pivotButton="0" quotePrefix="0" xfId="0">
      <alignment horizontal="left" vertical="center"/>
    </xf>
    <xf numFmtId="0" fontId="0" fillId="0" borderId="32" applyAlignment="1" pivotButton="0" quotePrefix="0" xfId="0">
      <alignment horizontal="left" vertical="center"/>
    </xf>
    <xf numFmtId="0" fontId="0" fillId="0" borderId="37" applyAlignment="1" pivotButton="0" quotePrefix="0" xfId="0">
      <alignment horizontal="left" vertical="center"/>
    </xf>
    <xf numFmtId="0" fontId="0" fillId="0" borderId="38" pivotButton="0" quotePrefix="0" xfId="0"/>
    <xf numFmtId="0" fontId="0" fillId="0" borderId="39" pivotButton="0" quotePrefix="0" xfId="0"/>
    <xf numFmtId="0" fontId="0" fillId="0" borderId="40" applyAlignment="1" pivotButton="0" quotePrefix="0" xfId="0">
      <alignment vertical="center"/>
    </xf>
    <xf numFmtId="0" fontId="0" fillId="0" borderId="38" applyAlignment="1" pivotButton="0" quotePrefix="0" xfId="0">
      <alignment vertical="center"/>
    </xf>
    <xf numFmtId="0" fontId="0" fillId="0" borderId="39" applyAlignment="1" pivotButton="0" quotePrefix="0" xfId="0">
      <alignment vertical="center"/>
    </xf>
    <xf numFmtId="0" fontId="7" fillId="0" borderId="31" applyAlignment="1" pivotButton="0" quotePrefix="0" xfId="0">
      <alignment horizontal="center"/>
    </xf>
    <xf numFmtId="0" fontId="21" fillId="0" borderId="2" applyAlignment="1" pivotButton="0" quotePrefix="0" xfId="0">
      <alignment horizontal="left" vertical="center"/>
    </xf>
    <xf numFmtId="14" fontId="6" fillId="0" borderId="4" applyAlignment="1" pivotButton="0" quotePrefix="0" xfId="0">
      <alignment horizontal="left" vertical="center"/>
    </xf>
    <xf numFmtId="14" fontId="6" fillId="0" borderId="12" applyAlignment="1" pivotButton="0" quotePrefix="0" xfId="0">
      <alignment horizontal="left" vertical="center"/>
    </xf>
    <xf numFmtId="168" fontId="6" fillId="0" borderId="0" applyAlignment="1" pivotButton="0" quotePrefix="0" xfId="0">
      <alignment vertical="center"/>
    </xf>
    <xf numFmtId="168" fontId="6" fillId="0" borderId="12" applyAlignment="1" pivotButton="0" quotePrefix="0" xfId="0">
      <alignment vertical="center"/>
    </xf>
    <xf numFmtId="0" fontId="6" fillId="0" borderId="12" applyAlignment="1" pivotButton="0" quotePrefix="0" xfId="0">
      <alignment horizontal="left" vertical="center"/>
    </xf>
    <xf numFmtId="0" fontId="6" fillId="0" borderId="12" applyAlignment="1" pivotButton="0" quotePrefix="0" xfId="0">
      <alignment vertical="center"/>
    </xf>
    <xf numFmtId="0" fontId="6" fillId="0" borderId="0" applyAlignment="1" pivotButton="0" quotePrefix="0" xfId="0">
      <alignment horizontal="left" vertical="center"/>
    </xf>
    <xf numFmtId="0" fontId="6" fillId="0" borderId="6" applyAlignment="1" pivotButton="0" quotePrefix="0" xfId="0">
      <alignment vertical="center"/>
    </xf>
    <xf numFmtId="0" fontId="6" fillId="0" borderId="7" applyAlignment="1" pivotButton="0" quotePrefix="0" xfId="0">
      <alignment horizontal="left" vertical="center"/>
    </xf>
    <xf numFmtId="0" fontId="6" fillId="0" borderId="6" applyAlignment="1" pivotButton="0" quotePrefix="0" xfId="0">
      <alignment horizontal="left" vertical="center"/>
    </xf>
    <xf numFmtId="2" fontId="6" fillId="0" borderId="0" applyAlignment="1" pivotButton="0" quotePrefix="0" xfId="0">
      <alignment vertical="center"/>
    </xf>
    <xf numFmtId="2" fontId="0" fillId="0" borderId="0" pivotButton="0" quotePrefix="0" xfId="0"/>
    <xf numFmtId="0" fontId="9" fillId="0" borderId="2" applyAlignment="1" pivotButton="0" quotePrefix="0" xfId="0">
      <alignment horizontal="left" vertical="center" wrapText="1"/>
    </xf>
    <xf numFmtId="0" fontId="9" fillId="0" borderId="5" applyAlignment="1" pivotButton="0" quotePrefix="0" xfId="0">
      <alignment horizontal="left" vertical="center"/>
    </xf>
    <xf numFmtId="0" fontId="0" fillId="0" borderId="10" applyAlignment="1" pivotButton="0" quotePrefix="0" xfId="0">
      <alignment vertical="center"/>
    </xf>
    <xf numFmtId="2" fontId="0" fillId="0" borderId="0" applyAlignment="1" pivotButton="0" quotePrefix="0" xfId="0">
      <alignment horizontal="center" vertical="center"/>
    </xf>
    <xf numFmtId="0" fontId="0" fillId="0" borderId="12" applyAlignment="1" pivotButton="0" quotePrefix="0" xfId="0">
      <alignment horizontal="left"/>
    </xf>
    <xf numFmtId="0" fontId="11" fillId="0" borderId="8" applyAlignment="1" pivotButton="0" quotePrefix="0" xfId="0">
      <alignment vertical="center"/>
    </xf>
    <xf numFmtId="0" fontId="34" fillId="0" borderId="0" applyAlignment="1" pivotButton="0" quotePrefix="0" xfId="0">
      <alignment vertical="center"/>
    </xf>
    <xf numFmtId="165" fontId="0" fillId="0" borderId="0" applyAlignment="1" pivotButton="0" quotePrefix="0" xfId="0">
      <alignment horizontal="right" vertical="center"/>
    </xf>
    <xf numFmtId="0" fontId="34" fillId="0" borderId="12" applyAlignment="1" pivotButton="0" quotePrefix="0" xfId="0">
      <alignment horizontal="left" vertical="center"/>
    </xf>
    <xf numFmtId="0" fontId="6" fillId="0" borderId="0" applyAlignment="1" pivotButton="0" quotePrefix="0" xfId="0">
      <alignment horizontal="center" vertical="center"/>
    </xf>
    <xf numFmtId="0" fontId="20" fillId="0" borderId="4" applyAlignment="1" pivotButton="0" quotePrefix="0" xfId="0">
      <alignment horizontal="left" vertical="top" wrapText="1"/>
    </xf>
    <xf numFmtId="0" fontId="12" fillId="0" borderId="11" applyAlignment="1" pivotButton="0" quotePrefix="0" xfId="0">
      <alignment vertical="center"/>
    </xf>
    <xf numFmtId="0" fontId="12" fillId="0" borderId="0" applyAlignment="1" pivotButton="0" quotePrefix="0" xfId="0">
      <alignment vertical="center"/>
    </xf>
    <xf numFmtId="0" fontId="20" fillId="0" borderId="12" applyAlignment="1" pivotButton="0" quotePrefix="0" xfId="0">
      <alignment horizontal="left" vertical="top" wrapText="1"/>
    </xf>
    <xf numFmtId="0" fontId="12" fillId="0" borderId="5" applyAlignment="1" pivotButton="0" quotePrefix="0" xfId="0">
      <alignment vertical="center"/>
    </xf>
    <xf numFmtId="0" fontId="12" fillId="0" borderId="6" applyAlignment="1" pivotButton="0" quotePrefix="0" xfId="0">
      <alignment vertical="center"/>
    </xf>
    <xf numFmtId="0" fontId="0" fillId="0" borderId="9" applyAlignment="1" pivotButton="0" quotePrefix="0" xfId="0">
      <alignment horizontal="right" vertical="center"/>
    </xf>
    <xf numFmtId="0" fontId="10" fillId="0" borderId="22" applyAlignment="1" pivotButton="0" quotePrefix="0" xfId="0">
      <alignment vertical="center"/>
    </xf>
    <xf numFmtId="0" fontId="0" fillId="0" borderId="22" applyAlignment="1" pivotButton="0" quotePrefix="0" xfId="0">
      <alignment vertical="center"/>
    </xf>
    <xf numFmtId="0" fontId="6" fillId="0" borderId="23" applyAlignment="1" pivotButton="0" quotePrefix="0" xfId="0">
      <alignment horizontal="center" vertical="center"/>
    </xf>
    <xf numFmtId="0" fontId="0" fillId="0" borderId="8" applyAlignment="1" pivotButton="0" quotePrefix="0" xfId="0">
      <alignment horizontal="center" vertical="center" wrapText="1"/>
    </xf>
    <xf numFmtId="2" fontId="0" fillId="0" borderId="2" applyAlignment="1" pivotButton="0" quotePrefix="0" xfId="0">
      <alignment horizontal="center" vertical="center"/>
    </xf>
    <xf numFmtId="2" fontId="0" fillId="0" borderId="9" applyAlignment="1" pivotButton="0" quotePrefix="0" xfId="0">
      <alignment horizontal="right" vertical="center"/>
    </xf>
    <xf numFmtId="0" fontId="7" fillId="0" borderId="1" applyAlignment="1" pivotButton="0" quotePrefix="0" xfId="0">
      <alignment horizontal="center"/>
    </xf>
    <xf numFmtId="2" fontId="7" fillId="0" borderId="8" applyAlignment="1" pivotButton="0" quotePrefix="0" xfId="0">
      <alignment horizontal="center" vertical="center"/>
    </xf>
    <xf numFmtId="164" fontId="7" fillId="0" borderId="10" applyAlignment="1" pivotButton="0" quotePrefix="0" xfId="0">
      <alignment vertical="center"/>
    </xf>
    <xf numFmtId="0" fontId="0" fillId="0" borderId="1" applyAlignment="1" pivotButton="0" quotePrefix="0" xfId="0">
      <alignment horizontal="center" vertical="center" wrapText="1"/>
    </xf>
    <xf numFmtId="0" fontId="7" fillId="0" borderId="8" applyAlignment="1" pivotButton="0" quotePrefix="0" xfId="0">
      <alignment horizontal="center"/>
    </xf>
    <xf numFmtId="0" fontId="39" fillId="0" borderId="33" applyAlignment="1" pivotButton="0" quotePrefix="0" xfId="0">
      <alignment horizontal="center"/>
    </xf>
    <xf numFmtId="0" fontId="40" fillId="0" borderId="33" applyAlignment="1" pivotButton="0" quotePrefix="0" xfId="0">
      <alignment horizontal="center"/>
    </xf>
    <xf numFmtId="0" fontId="9" fillId="0" borderId="35" applyAlignment="1" pivotButton="0" quotePrefix="0" xfId="0">
      <alignment horizontal="left" vertical="top" wrapText="1"/>
    </xf>
    <xf numFmtId="49" fontId="0" fillId="0" borderId="0" applyAlignment="1" pivotButton="0" quotePrefix="0" xfId="0">
      <alignment vertical="center"/>
    </xf>
    <xf numFmtId="0" fontId="12" fillId="0" borderId="10" applyAlignment="1" pivotButton="0" quotePrefix="0" xfId="0">
      <alignment horizontal="left" vertical="center"/>
    </xf>
    <xf numFmtId="0" fontId="12" fillId="0" borderId="1" applyAlignment="1" pivotButton="0" quotePrefix="0" xfId="0">
      <alignment horizontal="right" vertical="center"/>
    </xf>
    <xf numFmtId="0" fontId="0" fillId="0" borderId="35" applyAlignment="1" pivotButton="0" quotePrefix="0" xfId="0">
      <alignment horizontal="center" vertical="center"/>
    </xf>
    <xf numFmtId="49" fontId="0" fillId="0" borderId="1" applyAlignment="1" pivotButton="0" quotePrefix="0" xfId="0">
      <alignment horizontal="right" vertical="center"/>
    </xf>
    <xf numFmtId="2" fontId="0" fillId="0" borderId="0" applyAlignment="1" pivotButton="0" quotePrefix="0" xfId="0">
      <alignment horizontal="left" vertical="center"/>
    </xf>
    <xf numFmtId="166" fontId="0" fillId="0" borderId="0" applyAlignment="1" pivotButton="0" quotePrefix="0" xfId="0">
      <alignment horizontal="center" vertical="center"/>
    </xf>
    <xf numFmtId="2" fontId="0" fillId="0" borderId="10" applyAlignment="1" pivotButton="0" quotePrefix="0" xfId="0">
      <alignment horizontal="left" vertical="center"/>
    </xf>
    <xf numFmtId="0" fontId="7" fillId="0" borderId="44" applyAlignment="1" pivotButton="0" quotePrefix="0" xfId="0">
      <alignment horizontal="center" vertical="center"/>
    </xf>
    <xf numFmtId="0" fontId="0" fillId="0" borderId="45" pivotButton="0" quotePrefix="0" xfId="0"/>
    <xf numFmtId="0" fontId="0" fillId="0" borderId="46" pivotButton="0" quotePrefix="0" xfId="0"/>
    <xf numFmtId="164" fontId="7" fillId="0" borderId="47" applyAlignment="1" pivotButton="0" quotePrefix="0" xfId="0">
      <alignment horizontal="center" vertical="center"/>
    </xf>
    <xf numFmtId="165" fontId="7" fillId="0" borderId="47" applyAlignment="1" pivotButton="0" quotePrefix="0" xfId="0">
      <alignment horizontal="center" vertical="center"/>
    </xf>
    <xf numFmtId="165" fontId="7" fillId="0" borderId="48" applyAlignment="1" pivotButton="0" quotePrefix="0" xfId="0">
      <alignment horizontal="center" vertical="center"/>
    </xf>
    <xf numFmtId="0" fontId="0" fillId="0" borderId="49" pivotButton="0" quotePrefix="0" xfId="0"/>
    <xf numFmtId="164" fontId="7" fillId="0" borderId="0" applyAlignment="1" pivotButton="0" quotePrefix="0" xfId="0">
      <alignment horizontal="center" vertical="center"/>
    </xf>
    <xf numFmtId="165" fontId="7" fillId="0" borderId="0" applyAlignment="1" pivotButton="0" quotePrefix="0" xfId="0">
      <alignment horizontal="center" vertical="center"/>
    </xf>
    <xf numFmtId="165" fontId="7" fillId="0" borderId="12" applyAlignment="1" pivotButton="0" quotePrefix="0" xfId="0">
      <alignment horizontal="center" vertical="center"/>
    </xf>
    <xf numFmtId="164" fontId="6" fillId="0" borderId="1" applyAlignment="1" pivotButton="0" quotePrefix="0" xfId="0">
      <alignment horizontal="center" vertical="center"/>
    </xf>
    <xf numFmtId="164" fontId="6" fillId="0" borderId="0" applyAlignment="1" pivotButton="0" quotePrefix="0" xfId="0">
      <alignment horizontal="center" vertical="center"/>
    </xf>
    <xf numFmtId="164" fontId="6" fillId="0" borderId="12" applyAlignment="1" pivotButton="0" quotePrefix="0" xfId="0">
      <alignment horizontal="center" vertical="center"/>
    </xf>
    <xf numFmtId="0" fontId="6" fillId="0" borderId="1" applyAlignment="1" pivotButton="0" quotePrefix="0" xfId="0">
      <alignment horizontal="left" vertical="center"/>
    </xf>
    <xf numFmtId="164" fontId="0" fillId="0" borderId="1" applyAlignment="1" pivotButton="0" quotePrefix="0" xfId="0">
      <alignment horizontal="center"/>
    </xf>
    <xf numFmtId="0" fontId="6" fillId="0" borderId="11" applyAlignment="1" pivotButton="0" quotePrefix="0" xfId="0">
      <alignment horizontal="left" vertical="center"/>
    </xf>
    <xf numFmtId="164" fontId="0" fillId="0" borderId="12" applyAlignment="1" pivotButton="0" quotePrefix="0" xfId="0">
      <alignment horizontal="center" vertical="center"/>
    </xf>
    <xf numFmtId="164" fontId="41" fillId="0" borderId="1" applyAlignment="1" pivotButton="0" quotePrefix="0" xfId="0">
      <alignment horizontal="left" vertical="center"/>
    </xf>
    <xf numFmtId="0" fontId="12" fillId="0" borderId="33" applyAlignment="1" pivotButton="0" quotePrefix="0" xfId="0">
      <alignment horizontal="center" vertical="center"/>
    </xf>
    <xf numFmtId="164" fontId="0" fillId="0" borderId="6" applyAlignment="1" pivotButton="0" quotePrefix="0" xfId="0">
      <alignment horizontal="center" vertical="center"/>
    </xf>
    <xf numFmtId="0" fontId="12" fillId="0" borderId="35" applyAlignment="1" pivotButton="0" quotePrefix="0" xfId="0">
      <alignment horizontal="left" vertical="top"/>
    </xf>
    <xf numFmtId="0" fontId="0" fillId="0" borderId="7" applyAlignment="1" pivotButton="0" quotePrefix="0" xfId="0">
      <alignment horizontal="left"/>
    </xf>
    <xf numFmtId="0" fontId="7" fillId="5" borderId="33" applyAlignment="1" pivotButton="0" quotePrefix="0" xfId="0">
      <alignment horizontal="center" vertical="top"/>
    </xf>
    <xf numFmtId="0" fontId="0" fillId="5" borderId="33" applyAlignment="1" pivotButton="0" quotePrefix="0" xfId="0">
      <alignment horizontal="left" vertical="top" wrapText="1"/>
    </xf>
  </cellXfs>
  <cellStyles count="4">
    <cellStyle name="Normal" xfId="0" builtinId="0"/>
    <cellStyle name="İyi" xfId="1" builtinId="26"/>
    <cellStyle name="Çıkış" xfId="2" builtinId="21"/>
    <cellStyle name="Köprü" xfId="3" builtinId="8"/>
  </cellStyles>
  <dxfs count="3">
    <dxf>
      <fill>
        <patternFill>
          <bgColor theme="5"/>
        </patternFill>
      </fill>
    </dxf>
    <dxf>
      <fill>
        <patternFill>
          <bgColor theme="5"/>
        </patternFill>
      </fill>
    </dxf>
    <dxf>
      <fill>
        <patternFill>
          <bgColor theme="5"/>
        </patternFill>
      </fill>
    </dxf>
  </dxfs>
  <tableStyles count="0" defaultTableStyle="TableStyleMedium2" defaultPivotStyle="PivotStyleMedium9"/>
  <colors/>
</styleSheet>
</file>

<file path=xl/_rels/workbook.xml.rels><?xml version='1.0' encoding='utf-8'?>
<ns0:Relationships xmlns:ns0="http://schemas.openxmlformats.org/package/2006/relationships"><ns0:Relationship Type="http://schemas.openxmlformats.org/officeDocument/2006/relationships/worksheet" Target="worksheets/sheet1.xml" Id="rId1" /><ns0:Relationship Type="http://schemas.openxmlformats.org/officeDocument/2006/relationships/worksheet" Target="worksheets/sheet2.xml" Id="rId2" /><ns0:Relationship Type="http://schemas.openxmlformats.org/officeDocument/2006/relationships/worksheet" Target="worksheets/sheet3.xml" Id="rId3" /><ns0:Relationship Type="http://schemas.openxmlformats.org/officeDocument/2006/relationships/worksheet" Target="worksheets/sheet4.xml" Id="rId4" /><ns0:Relationship Type="http://schemas.openxmlformats.org/officeDocument/2006/relationships/worksheet" Target="worksheets/sheet5.xml" Id="rId5" /><ns0:Relationship Type="http://schemas.openxmlformats.org/officeDocument/2006/relationships/worksheet" Target="worksheets/sheet6.xml" Id="rId6" /><ns0:Relationship Type="http://schemas.openxmlformats.org/officeDocument/2006/relationships/worksheet" Target="worksheets/sheet7.xml" Id="rId7" /><ns0:Relationship Type="http://schemas.openxmlformats.org/officeDocument/2006/relationships/worksheet" Target="worksheets/sheet8.xml" Id="rId8" /><ns0:Relationship Type="http://schemas.openxmlformats.org/officeDocument/2006/relationships/worksheet" Target="worksheets/sheet9.xml" Id="rId9" /><ns0:Relationship Type="http://schemas.openxmlformats.org/officeDocument/2006/relationships/worksheet" Target="worksheets/sheet10.xml" Id="rId10" /><ns0:Relationship Type="http://schemas.openxmlformats.org/officeDocument/2006/relationships/worksheet" Target="worksheets/sheet11.xml" Id="rId11" /><ns0:Relationship Type="http://schemas.openxmlformats.org/officeDocument/2006/relationships/worksheet" Target="worksheets/sheet12.xml" Id="rId12" /><ns0:Relationship Type="http://schemas.openxmlformats.org/officeDocument/2006/relationships/worksheet" Target="worksheets/sheet13.xml" Id="rId13" /><ns0:Relationship Type="http://schemas.openxmlformats.org/officeDocument/2006/relationships/styles" Target="styles.xml" Id="rId14" /><ns0:Relationship Type="http://schemas.openxmlformats.org/officeDocument/2006/relationships/theme" Target="theme/theme1.xml" Id="rId15" /></ns0: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O.G. SARGI DİRENCİ YÜZDE</a:t>
            </a:r>
            <a:r>
              <a:rPr lang="tr-TR" baseline="0"/>
              <a:t xml:space="preserve"> HATA ORANLARI</a:t>
            </a:r>
          </a:p>
        </rich>
      </tx>
      <layout/>
      <overlay val="0"/>
      <spPr>
        <a:noFill xmlns:a="http://schemas.openxmlformats.org/drawingml/2006/main"/>
        <a:ln xmlns:a="http://schemas.openxmlformats.org/drawingml/2006/main">
          <a:noFill/>
          <a:prstDash val="solid"/>
        </a:ln>
      </spPr>
    </title>
    <plotArea>
      <layout/>
      <scatterChart>
        <scatterStyle val="lineMarker"/>
        <varyColors val="0"/>
        <ser>
          <idx val="0"/>
          <order val="0"/>
          <tx>
            <strRef>
              <f>'OG SARGI MEVCUT KADEME'!$T$21:$T$24</f>
              <strCache>
                <ptCount val="4"/>
                <pt idx="0">
                  <v>A</v>
                </pt>
                <pt idx="1">
                  <v>B</v>
                </pt>
                <pt idx="2">
                  <v>C</v>
                </pt>
                <pt idx="3">
                  <v>SINIR DEĞER</v>
                </pt>
              </strCache>
            </strRef>
          </tx>
          <spPr>
            <a:ln xmlns:a="http://schemas.openxmlformats.org/drawingml/2006/main" w="28575" cap="rnd">
              <a:noFill/>
              <a:prstDash val="solid"/>
              <a:round/>
            </a:ln>
          </spPr>
          <marker>
            <symbol val="circle"/>
            <size val="5"/>
            <spPr>
              <a:solidFill xmlns:a="http://schemas.openxmlformats.org/drawingml/2006/main">
                <a:schemeClr val="accent1"/>
              </a:solidFill>
              <a:ln xmlns:a="http://schemas.openxmlformats.org/drawingml/2006/main" w="9525">
                <a:solidFill>
                  <a:schemeClr val="accent1"/>
                </a:solidFill>
                <a:prstDash val="solid"/>
              </a:ln>
            </spPr>
          </marker>
          <dPt>
            <idx val="0"/>
            <marker>
              <symbol val="circle"/>
              <size val="7"/>
              <spPr>
                <a:ln xmlns:a="http://schemas.openxmlformats.org/drawingml/2006/main">
                  <a:prstDash val="solid"/>
                </a:ln>
              </spPr>
            </marker>
            <bubble3D val="0"/>
            <spPr>
              <a:ln xmlns:a="http://schemas.openxmlformats.org/drawingml/2006/main">
                <a:prstDash val="solid"/>
              </a:ln>
            </spPr>
          </dPt>
          <dPt>
            <idx val="1"/>
            <marker>
              <symbol val="circle"/>
              <size val="7"/>
              <spPr>
                <a:solidFill xmlns:a="http://schemas.openxmlformats.org/drawingml/2006/main">
                  <a:srgbClr val="00B050"/>
                </a:solidFill>
                <a:ln xmlns:a="http://schemas.openxmlformats.org/drawingml/2006/main" w="9525">
                  <a:solidFill>
                    <a:srgbClr val="00B050"/>
                  </a:solidFill>
                  <a:prstDash val="solid"/>
                </a:ln>
              </spPr>
            </marker>
            <bubble3D val="0"/>
            <spPr>
              <a:ln xmlns:a="http://schemas.openxmlformats.org/drawingml/2006/main">
                <a:prstDash val="solid"/>
              </a:ln>
            </spPr>
          </dPt>
          <dPt>
            <idx val="2"/>
            <marker>
              <symbol val="circle"/>
              <size val="7"/>
              <spPr>
                <a:solidFill xmlns:a="http://schemas.openxmlformats.org/drawingml/2006/main">
                  <a:schemeClr val="accent6">
                    <a:lumMod val="75000"/>
                  </a:schemeClr>
                </a:solidFill>
                <a:ln xmlns:a="http://schemas.openxmlformats.org/drawingml/2006/main" w="9525">
                  <a:solidFill>
                    <a:schemeClr val="accent6">
                      <a:lumMod val="75000"/>
                    </a:schemeClr>
                  </a:solidFill>
                  <a:prstDash val="solid"/>
                </a:ln>
              </spPr>
            </marker>
            <bubble3D val="0"/>
            <spPr>
              <a:ln xmlns:a="http://schemas.openxmlformats.org/drawingml/2006/main">
                <a:prstDash val="solid"/>
              </a:ln>
            </spPr>
          </dPt>
          <dPt>
            <idx val="3"/>
            <marker>
              <symbol val="triangle"/>
              <size val="10"/>
              <spPr>
                <a:solidFill xmlns:a="http://schemas.openxmlformats.org/drawingml/2006/main">
                  <a:schemeClr val="accent2"/>
                </a:solidFill>
                <a:ln xmlns:a="http://schemas.openxmlformats.org/drawingml/2006/main" w="9525">
                  <a:solidFill>
                    <a:schemeClr val="accent2"/>
                  </a:solidFill>
                  <a:prstDash val="solid"/>
                </a:ln>
              </spPr>
            </marker>
            <bubble3D val="0"/>
            <spPr>
              <a:ln xmlns:a="http://schemas.openxmlformats.org/drawingml/2006/main">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tr-TR"/>
              </a:p>
            </txPr>
            <dLblPos val="t"/>
            <showLegendKey val="0"/>
            <showVal val="1"/>
            <showCatName val="0"/>
            <showSerName val="0"/>
            <showPercent val="0"/>
            <showBubbleSize val="0"/>
            <showLeaderLines val="0"/>
          </dLbls>
          <xVal>
            <strRef>
              <f>'OG SARGI MEVCUT KADEME'!$T$21:$T$24</f>
              <strCache>
                <ptCount val="4"/>
                <pt idx="0">
                  <v>A</v>
                </pt>
                <pt idx="1">
                  <v>B</v>
                </pt>
                <pt idx="2">
                  <v>C</v>
                </pt>
                <pt idx="3">
                  <v>SINIR DEĞER</v>
                </pt>
              </strCache>
            </strRef>
          </xVal>
          <yVal>
            <numRef>
              <f>'OG SARGI MEVCUT KADEME'!$U$21:$U$24</f>
              <numCache>
                <formatCode>0.000%</formatCode>
                <ptCount val="4"/>
                <pt idx="0">
                  <v>0.00301760446989324</v>
                </pt>
                <pt idx="1">
                  <v>0.001657754010695313</v>
                </pt>
                <pt idx="2">
                  <v>0.003026737967914414</v>
                </pt>
                <pt idx="3">
                  <v>0.05</v>
                </pt>
              </numCache>
            </numRef>
          </yVal>
          <smooth val="0"/>
        </ser>
        <dLbls>
          <dLblPos val="t"/>
          <showLegendKey val="0"/>
          <showVal val="1"/>
          <showCatName val="0"/>
          <showSerName val="0"/>
          <showPercent val="0"/>
          <showBubbleSize val="0"/>
        </dLbls>
        <axId val="1359827376"/>
        <axId val="1359826832"/>
      </scatterChart>
      <valAx>
        <axId val="1359827376"/>
        <scaling>
          <orientation val="minMax"/>
        </scaling>
        <delete val="1"/>
        <axPos val="b"/>
        <majorGridlines>
          <spPr>
            <a:ln xmlns:a="http://schemas.openxmlformats.org/drawingml/2006/main" w="9525" cap="flat" cmpd="sng" algn="ctr">
              <a:solidFill>
                <a:schemeClr val="tx1">
                  <a:lumMod val="15000"/>
                  <a:lumOff val="85000"/>
                </a:schemeClr>
              </a:solidFill>
              <a:prstDash val="solid"/>
              <a:round/>
            </a:ln>
          </spPr>
        </majorGridlines>
        <majorTickMark val="none"/>
        <minorTickMark val="none"/>
        <tickLblPos val="nextTo"/>
        <crossAx val="1359826832"/>
        <crosses val="autoZero"/>
        <crossBetween val="midCat"/>
      </valAx>
      <valAx>
        <axId val="1359826832"/>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0%" sourceLinked="0"/>
        <majorTickMark val="none"/>
        <minorTickMark val="none"/>
        <tickLblPos val="nextTo"/>
        <spPr>
          <a:noFill xmlns:a="http://schemas.openxmlformats.org/drawingml/2006/main"/>
          <a:ln xmlns:a="http://schemas.openxmlformats.org/drawingml/2006/main" w="9525" cap="flat" cmpd="sng" algn="ctr">
            <a:solidFill>
              <a:schemeClr val="tx1">
                <a:lumMod val="25000"/>
                <a:lumOff val="7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tr-TR"/>
          </a:p>
        </txPr>
        <crossAx val="1359827376"/>
        <crosses val="autoZero"/>
        <crossBetween val="midCat"/>
      </valAx>
    </plotArea>
    <legend>
      <legendPos val="r"/>
      <layout/>
      <overlay val="0"/>
      <spPr>
        <a:noFill xmlns:a="http://schemas.openxmlformats.org/drawingml/2006/main"/>
        <a:ln xmlns:a="http://schemas.openxmlformats.org/drawingml/2006/main">
          <a:solidFill>
            <a:schemeClr val="accent3"/>
          </a:solid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ln>
                <a:noFill/>
                <a:prstDash val="solid"/>
              </a:ln>
              <a:solidFill>
                <a:schemeClr val="tx1">
                  <a:lumMod val="65000"/>
                  <a:lumOff val="35000"/>
                </a:schemeClr>
              </a:solidFill>
              <a:latin typeface="+mn-lt"/>
              <a:ea typeface="+mn-ea"/>
              <a:cs typeface="+mn-cs"/>
            </a:defRPr>
          </a:pPr>
          <a:r>
            <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accent3"/>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A.G. SARGI DİRENCİ YÜZDE</a:t>
            </a:r>
            <a:r>
              <a:rPr lang="tr-TR" baseline="0"/>
              <a:t xml:space="preserve"> HATA ORANLARI</a:t>
            </a:r>
          </a:p>
        </rich>
      </tx>
      <layout/>
      <overlay val="0"/>
      <spPr>
        <a:noFill xmlns:a="http://schemas.openxmlformats.org/drawingml/2006/main"/>
        <a:ln xmlns:a="http://schemas.openxmlformats.org/drawingml/2006/main">
          <a:noFill/>
          <a:prstDash val="solid"/>
        </a:ln>
      </spPr>
    </title>
    <plotArea>
      <layout/>
      <scatterChart>
        <scatterStyle val="lineMarker"/>
        <varyColors val="0"/>
        <ser>
          <idx val="0"/>
          <order val="0"/>
          <tx>
            <strRef>
              <f>'AG SARGI'!$T$21:$T$24</f>
              <strCache>
                <ptCount val="4"/>
                <pt idx="0">
                  <v>A</v>
                </pt>
                <pt idx="1">
                  <v>B</v>
                </pt>
                <pt idx="2">
                  <v>C</v>
                </pt>
                <pt idx="3">
                  <v>SINIR DEĞER</v>
                </pt>
              </strCache>
            </strRef>
          </tx>
          <spPr>
            <a:ln xmlns:a="http://schemas.openxmlformats.org/drawingml/2006/main" w="28575" cap="rnd">
              <a:noFill/>
              <a:prstDash val="solid"/>
              <a:round/>
            </a:ln>
          </spPr>
          <marker>
            <symbol val="circle"/>
            <size val="5"/>
            <spPr>
              <a:solidFill xmlns:a="http://schemas.openxmlformats.org/drawingml/2006/main">
                <a:schemeClr val="accent1"/>
              </a:solidFill>
              <a:ln xmlns:a="http://schemas.openxmlformats.org/drawingml/2006/main" w="9525">
                <a:solidFill>
                  <a:schemeClr val="accent1"/>
                </a:solidFill>
                <a:prstDash val="solid"/>
              </a:ln>
            </spPr>
          </marker>
          <dPt>
            <idx val="0"/>
            <marker>
              <symbol val="circle"/>
              <size val="7"/>
              <spPr>
                <a:ln xmlns:a="http://schemas.openxmlformats.org/drawingml/2006/main">
                  <a:prstDash val="solid"/>
                </a:ln>
              </spPr>
            </marker>
            <bubble3D val="0"/>
            <spPr>
              <a:ln xmlns:a="http://schemas.openxmlformats.org/drawingml/2006/main">
                <a:prstDash val="solid"/>
              </a:ln>
            </spPr>
          </dPt>
          <dPt>
            <idx val="1"/>
            <marker>
              <symbol val="circle"/>
              <size val="7"/>
              <spPr>
                <a:solidFill xmlns:a="http://schemas.openxmlformats.org/drawingml/2006/main">
                  <a:srgbClr val="00B050"/>
                </a:solidFill>
                <a:ln xmlns:a="http://schemas.openxmlformats.org/drawingml/2006/main" w="9525">
                  <a:solidFill>
                    <a:srgbClr val="00B050"/>
                  </a:solidFill>
                  <a:prstDash val="solid"/>
                </a:ln>
              </spPr>
            </marker>
            <bubble3D val="0"/>
            <spPr>
              <a:ln xmlns:a="http://schemas.openxmlformats.org/drawingml/2006/main">
                <a:prstDash val="solid"/>
              </a:ln>
            </spPr>
          </dPt>
          <dPt>
            <idx val="2"/>
            <marker>
              <symbol val="circle"/>
              <size val="7"/>
              <spPr>
                <a:solidFill xmlns:a="http://schemas.openxmlformats.org/drawingml/2006/main">
                  <a:schemeClr val="accent6">
                    <a:lumMod val="75000"/>
                  </a:schemeClr>
                </a:solidFill>
                <a:ln xmlns:a="http://schemas.openxmlformats.org/drawingml/2006/main" w="9525">
                  <a:solidFill>
                    <a:schemeClr val="accent6">
                      <a:lumMod val="75000"/>
                    </a:schemeClr>
                  </a:solidFill>
                  <a:prstDash val="solid"/>
                </a:ln>
              </spPr>
            </marker>
            <bubble3D val="0"/>
            <spPr>
              <a:ln xmlns:a="http://schemas.openxmlformats.org/drawingml/2006/main">
                <a:prstDash val="solid"/>
              </a:ln>
            </spPr>
          </dPt>
          <dPt>
            <idx val="3"/>
            <marker>
              <symbol val="triangle"/>
              <size val="10"/>
              <spPr>
                <a:solidFill xmlns:a="http://schemas.openxmlformats.org/drawingml/2006/main">
                  <a:schemeClr val="accent2"/>
                </a:solidFill>
                <a:ln xmlns:a="http://schemas.openxmlformats.org/drawingml/2006/main" w="9525">
                  <a:solidFill>
                    <a:schemeClr val="accent2"/>
                  </a:solidFill>
                  <a:prstDash val="solid"/>
                </a:ln>
              </spPr>
            </marker>
            <bubble3D val="0"/>
            <spPr>
              <a:ln xmlns:a="http://schemas.openxmlformats.org/drawingml/2006/main">
                <a:prstDash val="solid"/>
              </a:ln>
            </spPr>
          </dPt>
          <dLbls>
            <numFmt formatCode="0.0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tr-TR"/>
              </a:p>
            </txPr>
            <dLblPos val="t"/>
            <showLegendKey val="0"/>
            <showVal val="1"/>
            <showCatName val="0"/>
            <showSerName val="0"/>
            <showPercent val="0"/>
            <showBubbleSize val="0"/>
            <showLeaderLines val="0"/>
          </dLbls>
          <xVal>
            <strRef>
              <f>'AG SARGI'!$T$21:$T$24</f>
              <strCache>
                <ptCount val="4"/>
                <pt idx="0">
                  <v>A</v>
                </pt>
                <pt idx="1">
                  <v>B</v>
                </pt>
                <pt idx="2">
                  <v>C</v>
                </pt>
                <pt idx="3">
                  <v>SINIR DEĞER</v>
                </pt>
              </strCache>
            </strRef>
          </xVal>
          <yVal>
            <numRef>
              <f>'AG SARGI'!$U$21:$U$24</f>
              <numCache>
                <formatCode>0.000%</formatCode>
                <ptCount val="4"/>
                <pt idx="0">
                  <v>0.03347457627118645</v>
                </pt>
                <pt idx="1">
                  <v>0.004449152542372875</v>
                </pt>
                <pt idx="2">
                  <v>0.004469035965098951</v>
                </pt>
                <pt idx="3">
                  <v>0.05</v>
                </pt>
              </numCache>
            </numRef>
          </yVal>
          <smooth val="0"/>
        </ser>
        <dLbls>
          <dLblPos val="t"/>
          <showLegendKey val="0"/>
          <showVal val="1"/>
          <showCatName val="0"/>
          <showSerName val="0"/>
          <showPercent val="0"/>
          <showBubbleSize val="0"/>
        </dLbls>
        <axId val="1359820304"/>
        <axId val="1359831728"/>
      </scatterChart>
      <valAx>
        <axId val="1359820304"/>
        <scaling>
          <orientation val="minMax"/>
        </scaling>
        <delete val="1"/>
        <axPos val="b"/>
        <majorGridlines>
          <spPr>
            <a:ln xmlns:a="http://schemas.openxmlformats.org/drawingml/2006/main" w="9525" cap="flat" cmpd="sng" algn="ctr">
              <a:solidFill>
                <a:schemeClr val="tx1">
                  <a:lumMod val="15000"/>
                  <a:lumOff val="85000"/>
                </a:schemeClr>
              </a:solidFill>
              <a:prstDash val="solid"/>
              <a:round/>
            </a:ln>
          </spPr>
        </majorGridlines>
        <majorTickMark val="none"/>
        <minorTickMark val="none"/>
        <tickLblPos val="nextTo"/>
        <crossAx val="1359831728"/>
        <crosses val="autoZero"/>
        <crossBetween val="midCat"/>
      </valAx>
      <valAx>
        <axId val="1359831728"/>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0%" sourceLinked="0"/>
        <majorTickMark val="none"/>
        <minorTickMark val="none"/>
        <tickLblPos val="nextTo"/>
        <spPr>
          <a:noFill xmlns:a="http://schemas.openxmlformats.org/drawingml/2006/main"/>
          <a:ln xmlns:a="http://schemas.openxmlformats.org/drawingml/2006/main" w="9525" cap="flat" cmpd="sng" algn="ctr">
            <a:solidFill>
              <a:schemeClr val="tx1">
                <a:lumMod val="25000"/>
                <a:lumOff val="7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tr-TR"/>
          </a:p>
        </txPr>
        <crossAx val="1359820304"/>
        <crosses val="autoZero"/>
        <crossBetween val="midCat"/>
      </valAx>
    </plotArea>
    <legend>
      <legendPos val="r"/>
      <layout/>
      <overlay val="0"/>
      <spPr>
        <a:noFill xmlns:a="http://schemas.openxmlformats.org/drawingml/2006/main"/>
        <a:ln xmlns:a="http://schemas.openxmlformats.org/drawingml/2006/main">
          <a:solidFill>
            <a:schemeClr val="accent3"/>
          </a:solid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ln>
                <a:noFill/>
                <a:prstDash val="solid"/>
              </a:ln>
              <a:solidFill>
                <a:schemeClr val="tx1">
                  <a:lumMod val="65000"/>
                  <a:lumOff val="35000"/>
                </a:schemeClr>
              </a:solidFill>
              <a:latin typeface="+mn-lt"/>
              <a:ea typeface="+mn-ea"/>
              <a:cs typeface="+mn-cs"/>
            </a:defRPr>
          </a:pPr>
          <a:r>
            <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accent3"/>
      </a:solidFill>
      <a:prstDash val="solid"/>
      <a:round/>
    </a:ln>
  </spPr>
</chartSpace>
</file>

<file path=xl/charts/chart3.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O.G.-TANK</a:t>
            </a:r>
          </a:p>
        </rich>
      </tx>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
          </a:r>
          <a:endParaRPr lang="tr-TR"/>
        </a:p>
      </txPr>
    </title>
    <plotArea>
      <layout/>
      <lineChart>
        <grouping val="standard"/>
        <varyColors val="0"/>
        <ser>
          <idx val="0"/>
          <order val="0"/>
          <tx>
            <v>DAR EĞRİSİ</v>
          </tx>
          <spPr>
            <a:ln xmlns:a="http://schemas.openxmlformats.org/drawingml/2006/main" w="28575" cap="rnd">
              <a:solidFill>
                <a:schemeClr val="accent1"/>
              </a:solidFill>
              <a:prstDash val="solid"/>
              <a:round/>
            </a:ln>
          </spPr>
          <marker>
            <symbol val="circle"/>
            <size val="5"/>
            <spPr>
              <a:solidFill xmlns:a="http://schemas.openxmlformats.org/drawingml/2006/main">
                <a:schemeClr val="tx1"/>
              </a:solidFill>
              <a:ln xmlns:a="http://schemas.openxmlformats.org/drawingml/2006/main" w="9525">
                <a:solidFill>
                  <a:schemeClr val="accent1"/>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tr-TR"/>
              </a:p>
            </txPr>
            <dLblPos val="t"/>
            <showLegendKey val="0"/>
            <showVal val="1"/>
            <showCatName val="0"/>
            <showSerName val="0"/>
            <showPercent val="0"/>
            <showBubbleSize val="0"/>
            <showLeaderLines val="0"/>
          </dLbls>
          <val>
            <numRef>
              <f>'İZOLASYON '!$Y$10:$Y$12</f>
              <numCache>
                <formatCode>0.0</formatCode>
                <ptCount val="3"/>
                <pt idx="0">
                  <v>108.108</v>
                </pt>
                <pt idx="1">
                  <v>119.394</v>
                </pt>
                <pt idx="2">
                  <v>128.106</v>
                </pt>
              </numCache>
            </numRef>
          </val>
          <smooth val="0"/>
        </ser>
        <ser>
          <idx val="1"/>
          <order val="1"/>
          <tx>
            <v>LİMİT DEĞER</v>
          </tx>
          <spPr>
            <a:ln xmlns:a="http://schemas.openxmlformats.org/drawingml/2006/main" w="28575" cap="rnd">
              <a:solidFill>
                <a:schemeClr val="accent2"/>
              </a:solidFill>
              <a:prstDash val="solid"/>
              <a:round/>
            </a:ln>
          </spPr>
          <marker>
            <symbol val="circle"/>
            <size val="5"/>
            <spPr>
              <a:solidFill xmlns:a="http://schemas.openxmlformats.org/drawingml/2006/main">
                <a:schemeClr val="accent2"/>
              </a:solidFill>
              <a:ln xmlns:a="http://schemas.openxmlformats.org/drawingml/2006/main" w="9525">
                <a:solidFill>
                  <a:schemeClr val="accent2"/>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tr-TR"/>
              </a:p>
            </txPr>
            <dLblPos val="t"/>
            <showLegendKey val="0"/>
            <showVal val="1"/>
            <showCatName val="0"/>
            <showSerName val="0"/>
            <showPercent val="0"/>
            <showBubbleSize val="0"/>
            <showLeaderLines val="0"/>
          </dLbls>
          <val>
            <numRef>
              <f>'İZOLASYON '!$Y$9</f>
              <numCache>
                <formatCode>General</formatCode>
                <ptCount val="1"/>
                <pt idx="0">
                  <v>1.1</v>
                </pt>
              </numCache>
            </numRef>
          </val>
          <smooth val="0"/>
        </ser>
        <dLbls>
          <dLblPos val="t"/>
          <showLegendKey val="0"/>
          <showVal val="1"/>
          <showCatName val="0"/>
          <showSerName val="0"/>
          <showPercent val="0"/>
          <showBubbleSize val="0"/>
        </dLbls>
        <marker val="1"/>
        <smooth val="0"/>
        <axId val="1359829008"/>
        <axId val="1359824656"/>
      </lineChart>
      <catAx>
        <axId val="1359829008"/>
        <scaling>
          <orientation val="minMax"/>
        </scaling>
        <delete val="1"/>
        <axPos val="b"/>
        <majorTickMark val="none"/>
        <minorTickMark val="none"/>
        <tickLblPos val="nextTo"/>
        <crossAx val="1359824656"/>
        <crosses val="autoZero"/>
        <auto val="1"/>
        <lblAlgn val="ctr"/>
        <lblOffset val="100"/>
        <noMultiLvlLbl val="0"/>
      </catAx>
      <valAx>
        <axId val="1359824656"/>
        <scaling>
          <orientation val="minMax"/>
        </scaling>
        <delete val="1"/>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crossAx val="1359829008"/>
        <crosses val="autoZero"/>
        <crossBetween val="between"/>
      </valAx>
    </plotArea>
    <legend>
      <legendPos val="t"/>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4.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A.G.-TANK</a:t>
            </a:r>
          </a:p>
        </rich>
      </tx>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
          </a:r>
          <a:endParaRPr lang="tr-TR"/>
        </a:p>
      </txPr>
    </title>
    <plotArea>
      <layout/>
      <lineChart>
        <grouping val="standard"/>
        <varyColors val="0"/>
        <ser>
          <idx val="0"/>
          <order val="0"/>
          <tx>
            <v>DAR EĞRİSİ</v>
          </tx>
          <spPr>
            <a:ln xmlns:a="http://schemas.openxmlformats.org/drawingml/2006/main" w="28575" cap="rnd">
              <a:solidFill>
                <a:srgbClr val="00B050"/>
              </a:solidFill>
              <a:prstDash val="solid"/>
              <a:round/>
            </a:ln>
          </spPr>
          <marker>
            <symbol val="circle"/>
            <size val="5"/>
            <spPr>
              <a:solidFill xmlns:a="http://schemas.openxmlformats.org/drawingml/2006/main">
                <a:schemeClr val="tx1"/>
              </a:solidFill>
              <a:ln xmlns:a="http://schemas.openxmlformats.org/drawingml/2006/main" w="9525">
                <a:solidFill>
                  <a:srgbClr val="00B050"/>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tr-TR"/>
              </a:p>
            </txPr>
            <dLblPos val="t"/>
            <showLegendKey val="0"/>
            <showVal val="1"/>
            <showCatName val="0"/>
            <showSerName val="0"/>
            <showPercent val="0"/>
            <showBubbleSize val="0"/>
            <showLeaderLines val="0"/>
          </dLbls>
          <val>
            <numRef>
              <f>'İZOLASYON '!$Z$10:$Z$12</f>
              <numCache>
                <formatCode>0.0</formatCode>
                <ptCount val="3"/>
                <pt idx="0">
                  <v>74.646</v>
                </pt>
                <pt idx="1">
                  <v>87.91199999999999</v>
                </pt>
                <pt idx="2">
                  <v>96.624</v>
                </pt>
              </numCache>
            </numRef>
          </val>
          <smooth val="0"/>
        </ser>
        <ser>
          <idx val="1"/>
          <order val="1"/>
          <tx>
            <v>LİMİT DEĞER</v>
          </tx>
          <spPr>
            <a:ln xmlns:a="http://schemas.openxmlformats.org/drawingml/2006/main" w="28575" cap="rnd">
              <a:solidFill>
                <a:schemeClr val="accent2"/>
              </a:solidFill>
              <a:prstDash val="solid"/>
              <a:round/>
            </a:ln>
          </spPr>
          <marker>
            <symbol val="circle"/>
            <size val="5"/>
            <spPr>
              <a:solidFill xmlns:a="http://schemas.openxmlformats.org/drawingml/2006/main">
                <a:schemeClr val="accent2"/>
              </a:solidFill>
              <a:ln xmlns:a="http://schemas.openxmlformats.org/drawingml/2006/main" w="9525">
                <a:solidFill>
                  <a:schemeClr val="accent2"/>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tr-TR"/>
              </a:p>
            </txPr>
            <dLblPos val="t"/>
            <showLegendKey val="0"/>
            <showVal val="1"/>
            <showCatName val="0"/>
            <showSerName val="0"/>
            <showPercent val="0"/>
            <showBubbleSize val="0"/>
            <showLeaderLines val="0"/>
          </dLbls>
          <val>
            <numRef>
              <f>'İZOLASYON '!$Z$9</f>
              <numCache>
                <formatCode>General</formatCode>
                <ptCount val="1"/>
                <pt idx="0">
                  <v>0.2</v>
                </pt>
              </numCache>
            </numRef>
          </val>
          <smooth val="0"/>
        </ser>
        <dLbls>
          <dLblPos val="t"/>
          <showLegendKey val="0"/>
          <showVal val="1"/>
          <showCatName val="0"/>
          <showSerName val="0"/>
          <showPercent val="0"/>
          <showBubbleSize val="0"/>
        </dLbls>
        <marker val="1"/>
        <smooth val="0"/>
        <axId val="1359828464"/>
        <axId val="1359819760"/>
      </lineChart>
      <catAx>
        <axId val="1359828464"/>
        <scaling>
          <orientation val="minMax"/>
        </scaling>
        <delete val="1"/>
        <axPos val="b"/>
        <majorTickMark val="none"/>
        <minorTickMark val="none"/>
        <tickLblPos val="nextTo"/>
        <crossAx val="1359819760"/>
        <crosses val="autoZero"/>
        <auto val="1"/>
        <lblAlgn val="ctr"/>
        <lblOffset val="100"/>
        <noMultiLvlLbl val="0"/>
      </catAx>
      <valAx>
        <axId val="1359819760"/>
        <scaling>
          <orientation val="minMax"/>
        </scaling>
        <delete val="1"/>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crossAx val="1359828464"/>
        <crosses val="autoZero"/>
        <crossBetween val="between"/>
      </valAx>
    </plotArea>
    <legend>
      <legendPos val="t"/>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5.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O.G.-</a:t>
            </a:r>
            <a:r>
              <a:rPr lang="tr-TR" sz="1400" b="0" i="0" strike="noStrike" baseline="0">
                <effectLst/>
              </a:rPr>
              <a:t>A.G.</a:t>
            </a:r>
            <a:endParaRPr lang="tr-TR"/>
          </a:p>
        </rich>
      </tx>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
          </a:r>
          <a:endParaRPr lang="tr-TR"/>
        </a:p>
      </txPr>
    </title>
    <plotArea>
      <layout/>
      <lineChart>
        <grouping val="standard"/>
        <varyColors val="0"/>
        <ser>
          <idx val="0"/>
          <order val="0"/>
          <tx>
            <v>DAR EĞRİSİ</v>
          </tx>
          <spPr>
            <a:ln xmlns:a="http://schemas.openxmlformats.org/drawingml/2006/main" w="28575" cap="rnd">
              <a:solidFill>
                <a:schemeClr val="accent6">
                  <a:lumMod val="75000"/>
                </a:schemeClr>
              </a:solidFill>
              <a:prstDash val="solid"/>
              <a:round/>
            </a:ln>
          </spPr>
          <marker>
            <symbol val="circle"/>
            <size val="5"/>
            <spPr>
              <a:solidFill xmlns:a="http://schemas.openxmlformats.org/drawingml/2006/main">
                <a:schemeClr val="tx1"/>
              </a:solidFill>
              <a:ln xmlns:a="http://schemas.openxmlformats.org/drawingml/2006/main" w="9525">
                <a:solidFill>
                  <a:schemeClr val="accent6">
                    <a:lumMod val="75000"/>
                  </a:schemeClr>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tr-TR"/>
              </a:p>
            </txPr>
            <dLblPos val="t"/>
            <showLegendKey val="0"/>
            <showVal val="1"/>
            <showCatName val="0"/>
            <showSerName val="0"/>
            <showPercent val="0"/>
            <showBubbleSize val="0"/>
            <showLeaderLines val="0"/>
          </dLbls>
          <val>
            <numRef>
              <f>'İZOLASYON '!$AA$10:$AA$12</f>
              <numCache>
                <formatCode>0.0</formatCode>
                <ptCount val="3"/>
                <pt idx="0">
                  <v>114.444</v>
                </pt>
                <pt idx="1">
                  <v>125.334</v>
                </pt>
                <pt idx="2">
                  <v>136.224</v>
                </pt>
              </numCache>
            </numRef>
          </val>
          <smooth val="0"/>
        </ser>
        <ser>
          <idx val="1"/>
          <order val="1"/>
          <tx>
            <v>LİMİT DEĞER</v>
          </tx>
          <spPr>
            <a:ln xmlns:a="http://schemas.openxmlformats.org/drawingml/2006/main" w="28575" cap="rnd">
              <a:solidFill>
                <a:schemeClr val="accent2"/>
              </a:solidFill>
              <a:prstDash val="solid"/>
              <a:round/>
            </a:ln>
          </spPr>
          <marker>
            <symbol val="circle"/>
            <size val="5"/>
            <spPr>
              <a:solidFill xmlns:a="http://schemas.openxmlformats.org/drawingml/2006/main">
                <a:schemeClr val="accent2"/>
              </a:solidFill>
              <a:ln xmlns:a="http://schemas.openxmlformats.org/drawingml/2006/main" w="9525">
                <a:solidFill>
                  <a:schemeClr val="accent2"/>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tr-TR"/>
              </a:p>
            </txPr>
            <dLblPos val="t"/>
            <showLegendKey val="0"/>
            <showVal val="1"/>
            <showCatName val="0"/>
            <showSerName val="0"/>
            <showPercent val="0"/>
            <showBubbleSize val="0"/>
            <showLeaderLines val="0"/>
          </dLbls>
          <val>
            <numRef>
              <f>'İZOLASYON '!$AA$9</f>
              <numCache>
                <formatCode>General</formatCode>
                <ptCount val="1"/>
                <pt idx="0">
                  <v>1.1</v>
                </pt>
              </numCache>
            </numRef>
          </val>
          <smooth val="0"/>
        </ser>
        <dLbls>
          <dLblPos val="t"/>
          <showLegendKey val="0"/>
          <showVal val="1"/>
          <showCatName val="0"/>
          <showSerName val="0"/>
          <showPercent val="0"/>
          <showBubbleSize val="0"/>
        </dLbls>
        <marker val="1"/>
        <smooth val="0"/>
        <axId val="1359821392"/>
        <axId val="1359818672"/>
      </lineChart>
      <catAx>
        <axId val="1359821392"/>
        <scaling>
          <orientation val="minMax"/>
        </scaling>
        <delete val="1"/>
        <axPos val="b"/>
        <majorTickMark val="none"/>
        <minorTickMark val="none"/>
        <tickLblPos val="nextTo"/>
        <crossAx val="1359818672"/>
        <crosses val="autoZero"/>
        <auto val="1"/>
        <lblAlgn val="ctr"/>
        <lblOffset val="100"/>
        <noMultiLvlLbl val="0"/>
      </catAx>
      <valAx>
        <axId val="1359818672"/>
        <scaling>
          <orientation val="minMax"/>
        </scaling>
        <delete val="1"/>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crossAx val="1359821392"/>
        <crosses val="autoZero"/>
        <crossBetween val="between"/>
      </valAx>
    </plotArea>
    <legend>
      <legendPos val="t"/>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6.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ÇEVİRME ORANI HATA YÜZDESİ</a:t>
            </a:r>
          </a:p>
        </rich>
      </tx>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
          </a:r>
          <a:endParaRPr lang="tr-TR"/>
        </a:p>
      </txPr>
    </title>
    <plotArea>
      <layout/>
      <barChart>
        <barDir val="bar"/>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1"/>
            <invertIfNegative val="0"/>
            <bubble3D val="0"/>
            <spPr>
              <a:solidFill xmlns:a="http://schemas.openxmlformats.org/drawingml/2006/main">
                <a:schemeClr val="accent6">
                  <a:lumMod val="75000"/>
                </a:schemeClr>
              </a:solidFill>
              <a:ln xmlns:a="http://schemas.openxmlformats.org/drawingml/2006/main">
                <a:noFill/>
                <a:prstDash val="solid"/>
              </a:ln>
            </spPr>
          </dPt>
          <dPt>
            <idx val="2"/>
            <invertIfNegative val="0"/>
            <bubble3D val="0"/>
            <spPr>
              <a:solidFill xmlns:a="http://schemas.openxmlformats.org/drawingml/2006/main">
                <a:srgbClr val="00B0F0"/>
              </a:solidFill>
              <a:ln xmlns:a="http://schemas.openxmlformats.org/drawingml/2006/main">
                <a:noFill/>
                <a:prstDash val="solid"/>
              </a:ln>
            </spPr>
          </dPt>
          <dPt>
            <idx val="3"/>
            <invertIfNegative val="0"/>
            <bubble3D val="0"/>
            <spPr>
              <a:solidFill xmlns:a="http://schemas.openxmlformats.org/drawingml/2006/main">
                <a:srgbClr val="FF2D2D"/>
              </a:solidFill>
              <a:ln xmlns:a="http://schemas.openxmlformats.org/drawingml/2006/main">
                <a:noFill/>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tr-TR"/>
              </a:p>
            </txPr>
            <dLblPos val="outEnd"/>
            <showLegendKey val="0"/>
            <showVal val="1"/>
            <showCatName val="0"/>
            <showSerName val="0"/>
            <showPercent val="0"/>
            <showBubbleSize val="0"/>
            <showLeaderLines val="0"/>
          </dLbls>
          <cat>
            <strRef>
              <f>'Ç.O 34500'!$U$15:$U$18</f>
              <strCache>
                <ptCount val="4"/>
                <pt idx="0">
                  <v>A</v>
                </pt>
                <pt idx="1">
                  <v>B</v>
                </pt>
                <pt idx="2">
                  <v>C</v>
                </pt>
                <pt idx="3">
                  <v>SINIR DEĞER</v>
                </pt>
              </strCache>
            </strRef>
          </cat>
          <val>
            <numRef>
              <f>'Ç.O 34500'!$V$15:$V$18</f>
              <numCache>
                <formatCode>0.000</formatCode>
                <ptCount val="4"/>
                <pt idx="0">
                  <v>0.127610306086971</v>
                </pt>
                <pt idx="1">
                  <v>0.1262714689855154</v>
                </pt>
                <pt idx="2">
                  <v>0.1409986771014516</v>
                </pt>
                <pt idx="3">
                  <formatCode>General</formatCode>
                  <v>0.5</v>
                </pt>
              </numCache>
            </numRef>
          </val>
        </ser>
        <dLbls>
          <dLblPos val="outEnd"/>
          <showLegendKey val="0"/>
          <showVal val="1"/>
          <showCatName val="0"/>
          <showSerName val="0"/>
          <showPercent val="0"/>
          <showBubbleSize val="0"/>
        </dLbls>
        <gapWidth val="182"/>
        <axId val="1359830640"/>
        <axId val="1359822480"/>
      </barChart>
      <catAx>
        <axId val="1359830640"/>
        <scaling>
          <orientation val="minMax"/>
        </scaling>
        <delete val="0"/>
        <axPos val="l"/>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tr-TR"/>
          </a:p>
        </txPr>
        <crossAx val="1359822480"/>
        <crosses val="autoZero"/>
        <auto val="1"/>
        <lblAlgn val="ctr"/>
        <lblOffset val="100"/>
        <noMultiLvlLbl val="0"/>
      </catAx>
      <valAx>
        <axId val="1359822480"/>
        <scaling>
          <orientation val="minMax"/>
        </scaling>
        <delete val="0"/>
        <axPos val="b"/>
        <majorGridlines>
          <spPr>
            <a:ln xmlns:a="http://schemas.openxmlformats.org/drawingml/2006/main" w="9525" cap="flat" cmpd="sng" algn="ctr">
              <a:solidFill>
                <a:schemeClr val="tx1">
                  <a:lumMod val="15000"/>
                  <a:lumOff val="85000"/>
                </a:schemeClr>
              </a:solidFill>
              <a:prstDash val="solid"/>
              <a:round/>
            </a:ln>
          </spPr>
        </majorGridlines>
        <numFmt formatCode="0.0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tr-TR"/>
          </a:p>
        </txPr>
        <crossAx val="1359830640"/>
        <crosses val="autoZero"/>
        <crossBetween val="between"/>
      </valAx>
    </plotArea>
    <legend>
      <legendPos val="r"/>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drawings/_rels/drawing1.xml.rels><?xml version='1.0' encoding='utf-8'?>
<ns0:Relationships xmlns:ns0="http://schemas.openxmlformats.org/package/2006/relationships"><ns0:Relationship Type="http://schemas.openxmlformats.org/officeDocument/2006/relationships/image" Target="../media/image1.png" Id="rId1" /><ns0:Relationship Type="http://schemas.openxmlformats.org/officeDocument/2006/relationships/image" Target="../media/image2.png" Id="rId2" /><ns0:Relationship Type="http://schemas.openxmlformats.org/officeDocument/2006/relationships/image" Target="../media/image3.png" Id="rId3" /><ns0:Relationship Type="http://schemas.openxmlformats.org/officeDocument/2006/relationships/image" Target="../media/image4.png" Id="rId4" /></ns0:Relationships>
</file>

<file path=xl/drawings/_rels/drawing2.xml.rels><?xml version='1.0' encoding='utf-8'?>
<ns0:Relationships xmlns:ns0="http://schemas.openxmlformats.org/package/2006/relationships"><ns0:Relationship Type="http://schemas.openxmlformats.org/officeDocument/2006/relationships/image" Target="../media/image5.png" Id="rId1" /></ns0:Relationships>
</file>

<file path=xl/drawings/_rels/drawing3.xml.rels><?xml version='1.0' encoding='utf-8'?>
<ns0:Relationships xmlns:ns0="http://schemas.openxmlformats.org/package/2006/relationships"><ns0:Relationship Type="http://schemas.openxmlformats.org/officeDocument/2006/relationships/chart" Target="../charts/chart1.xml" Id="rId1" /><ns0:Relationship Type="http://schemas.openxmlformats.org/officeDocument/2006/relationships/image" Target="../media/image6.png" Id="rId2" /></ns0:Relationships>
</file>

<file path=xl/drawings/_rels/drawing4.xml.rels><?xml version='1.0' encoding='utf-8'?>
<ns0:Relationships xmlns:ns0="http://schemas.openxmlformats.org/package/2006/relationships"><ns0:Relationship Type="http://schemas.openxmlformats.org/officeDocument/2006/relationships/chart" Target="../charts/chart2.xml" Id="rId1" /><ns0:Relationship Type="http://schemas.openxmlformats.org/officeDocument/2006/relationships/image" Target="../media/image7.png" Id="rId2" /></ns0:Relationships>
</file>

<file path=xl/drawings/_rels/drawing5.xml.rels><?xml version='1.0' encoding='utf-8'?>
<ns0:Relationships xmlns:ns0="http://schemas.openxmlformats.org/package/2006/relationships"><ns0:Relationship Type="http://schemas.openxmlformats.org/officeDocument/2006/relationships/chart" Target="../charts/chart3.xml" Id="rId1" /><ns0:Relationship Type="http://schemas.openxmlformats.org/officeDocument/2006/relationships/chart" Target="../charts/chart4.xml" Id="rId2" /><ns0:Relationship Type="http://schemas.openxmlformats.org/officeDocument/2006/relationships/chart" Target="../charts/chart5.xml" Id="rId3" /><ns0:Relationship Type="http://schemas.openxmlformats.org/officeDocument/2006/relationships/image" Target="../media/image8.png" Id="rId4" /></ns0:Relationships>
</file>

<file path=xl/drawings/_rels/drawing6.xml.rels><?xml version='1.0' encoding='utf-8'?>
<ns0:Relationships xmlns:ns0="http://schemas.openxmlformats.org/package/2006/relationships"><ns0:Relationship Type="http://schemas.openxmlformats.org/officeDocument/2006/relationships/chart" Target="../charts/chart6.xml" Id="rId1" /><ns0:Relationship Type="http://schemas.openxmlformats.org/officeDocument/2006/relationships/image" Target="../media/image9.png" Id="rId2" /></ns0:Relationships>
</file>

<file path=xl/drawings/_rels/drawing7.xml.rels><?xml version='1.0' encoding='utf-8'?>
<ns0:Relationships xmlns:ns0="http://schemas.openxmlformats.org/package/2006/relationships"><ns0:Relationship Type="http://schemas.openxmlformats.org/officeDocument/2006/relationships/image" Target="../media/image10.png" Id="rId1" /></ns0:Relationships>
</file>

<file path=xl/drawings/_rels/drawing8.xml.rels><?xml version='1.0' encoding='utf-8'?>
<ns0:Relationships xmlns:ns0="http://schemas.openxmlformats.org/package/2006/relationships"><ns0:Relationship Type="http://schemas.openxmlformats.org/officeDocument/2006/relationships/image" Target="../media/image11.png" Id="rId1" /></ns0:Relationships>
</file>

<file path=xl/drawings/_rels/drawing9.xml.rels><?xml version='1.0' encoding='utf-8'?>
<ns0:Relationships xmlns:ns0="http://schemas.openxmlformats.org/package/2006/relationships"><ns0:Relationship Type="http://schemas.openxmlformats.org/officeDocument/2006/relationships/image" Target="../media/image12.png" Id="rId1" /></ns0:Relationships>
</file>

<file path=xl/drawings/_rels/drawing10.xml.rels><?xml version='1.0' encoding='utf-8'?>
<ns0:Relationships xmlns:ns0="http://schemas.openxmlformats.org/package/2006/relationships"><ns0:Relationship Type="http://schemas.openxmlformats.org/officeDocument/2006/relationships/image" Target="../media/image13.png" Id="rId1" /></ns0:Relationships>
</file>

<file path=xl/drawings/_rels/drawing11.xml.rels><?xml version='1.0' encoding='utf-8'?>
<ns0:Relationships xmlns:ns0="http://schemas.openxmlformats.org/package/2006/relationships"><ns0:Relationship Type="http://schemas.openxmlformats.org/officeDocument/2006/relationships/image" Target="../media/image14.png" Id="rId1" /></ns0:Relationships>
</file>

<file path=xl/drawings/_rels/drawing12.xml.rels><?xml version='1.0' encoding='utf-8'?>
<ns0:Relationships xmlns:ns0="http://schemas.openxmlformats.org/package/2006/relationships"><ns0:Relationship Type="http://schemas.openxmlformats.org/officeDocument/2006/relationships/image" Target="../media/image15.png" Id="rId1" /></ns0:Relationships>
</file>

<file path=xl/drawings/_rels/drawing13.xml.rels><?xml version='1.0' encoding='utf-8'?>
<ns0:Relationships xmlns:ns0="http://schemas.openxmlformats.org/package/2006/relationships"><ns0:Relationship Type="http://schemas.openxmlformats.org/officeDocument/2006/relationships/image" Target="../media/image16.png" Id="rId1" /></ns0:Relationships>
</file>

<file path=xl/drawings/drawing1.xml><?xml version="1.0" encoding="utf-8"?>
<wsDr xmlns="http://schemas.openxmlformats.org/drawingml/2006/spreadsheetDrawing">
  <twoCellAnchor editAs="oneCell">
    <from>
      <col>0</col>
      <colOff>9525</colOff>
      <row>0</row>
      <rowOff>66675</rowOff>
    </from>
    <to>
      <col>3</col>
      <colOff>529258</colOff>
      <row>3</row>
      <rowOff>128774</rowOff>
    </to>
    <pic>
      <nvPicPr>
        <cNvPr id="9" name="Resim 8"/>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9525" y="66675"/>
          <a:ext cx="1714500" cy="633599"/>
        </a:xfrm>
        <a:prstGeom xmlns:a="http://schemas.openxmlformats.org/drawingml/2006/main" prst="rect">
          <avLst/>
        </a:prstGeom>
        <a:ln xmlns:a="http://schemas.openxmlformats.org/drawingml/2006/main">
          <a:prstDash val="solid"/>
        </a:ln>
      </spPr>
    </pic>
    <clientData/>
  </twoCellAnchor>
  <twoCellAnchor editAs="oneCell">
    <from>
      <col>10</col>
      <colOff>0</colOff>
      <row>1</row>
      <rowOff>0</rowOff>
    </from>
    <to>
      <col>11</col>
      <colOff>7106</colOff>
      <row>3</row>
      <rowOff>45479</rowOff>
    </to>
    <pic>
      <nvPicPr>
        <cNvPr id="10" name="Resim 9"/>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4750288" y="195385"/>
          <a:ext cx="617683" cy="436248"/>
        </a:xfrm>
        <a:prstGeom xmlns:a="http://schemas.openxmlformats.org/drawingml/2006/main" prst="rect">
          <avLst/>
        </a:prstGeom>
        <a:ln xmlns:a="http://schemas.openxmlformats.org/drawingml/2006/main">
          <a:prstDash val="solid"/>
        </a:ln>
      </spPr>
    </pic>
    <clientData/>
  </twoCellAnchor>
  <twoCellAnchor editAs="oneCell">
    <from>
      <col>11</col>
      <colOff>2954</colOff>
      <row>1</row>
      <rowOff>0</rowOff>
    </from>
    <to>
      <col>11</col>
      <colOff>594209</colOff>
      <row>3</row>
      <rowOff>44893</rowOff>
    </to>
    <pic>
      <nvPicPr>
        <cNvPr id="11" name="Resim 10"/>
        <cNvPicPr>
          <a:picLocks xmlns:a="http://schemas.openxmlformats.org/drawingml/2006/main" noChangeAspect="1"/>
        </cNvPicPr>
      </nvPicPr>
      <blipFill rotWithShape="1">
        <a:blip xmlns:a="http://schemas.openxmlformats.org/drawingml/2006/main" xmlns:r="http://schemas.openxmlformats.org/officeDocument/2006/relationships" r:embed="rId3"/>
        <a:srcRect xmlns:a="http://schemas.openxmlformats.org/drawingml/2006/main" b="4827"/>
        <a:stretch xmlns:a="http://schemas.openxmlformats.org/drawingml/2006/main">
          <a:fillRect/>
        </a:stretch>
      </blipFill>
      <spPr>
        <a:xfrm xmlns:a="http://schemas.openxmlformats.org/drawingml/2006/main">
          <a:off x="5363819" y="195385"/>
          <a:ext cx="591255" cy="435662"/>
        </a:xfrm>
        <a:prstGeom xmlns:a="http://schemas.openxmlformats.org/drawingml/2006/main" prst="rect">
          <avLst/>
        </a:prstGeom>
        <a:ln xmlns:a="http://schemas.openxmlformats.org/drawingml/2006/main">
          <a:prstDash val="solid"/>
        </a:ln>
      </spPr>
    </pic>
    <clientData/>
  </twoCellAnchor>
  <twoCellAnchor editAs="oneCell">
    <from>
      <col>11</col>
      <colOff>609005</colOff>
      <row>1</row>
      <rowOff>12369</rowOff>
    </from>
    <to>
      <col>12</col>
      <colOff>580405</colOff>
      <row>3</row>
      <rowOff>53693</rowOff>
    </to>
    <pic>
      <nvPicPr>
        <cNvPr id="14" name="Resim 13"/>
        <cNvPicPr>
          <a:picLocks xmlns:a="http://schemas.openxmlformats.org/drawingml/2006/main" noChangeAspect="1"/>
        </cNvPicPr>
      </nvPicPr>
      <blipFill rotWithShape="1">
        <a:blip xmlns:a="http://schemas.openxmlformats.org/drawingml/2006/main" xmlns:r="http://schemas.openxmlformats.org/officeDocument/2006/relationships" r:embed="rId4"/>
        <a:srcRect xmlns:a="http://schemas.openxmlformats.org/drawingml/2006/main" b="8860"/>
        <a:stretch xmlns:a="http://schemas.openxmlformats.org/drawingml/2006/main">
          <a:fillRect/>
        </a:stretch>
      </blipFill>
      <spPr>
        <a:xfrm xmlns:a="http://schemas.openxmlformats.org/drawingml/2006/main">
          <a:off x="5969870" y="207754"/>
          <a:ext cx="581977" cy="432093"/>
        </a:xfrm>
        <a:prstGeom xmlns:a="http://schemas.openxmlformats.org/drawingml/2006/main" prst="rect">
          <avLst/>
        </a:prstGeom>
        <a:ln xmlns:a="http://schemas.openxmlformats.org/drawingml/2006/main">
          <a:prstDash val="solid"/>
        </a:ln>
      </spPr>
    </pic>
    <clientData/>
  </twoCellAnchor>
</wsDr>
</file>

<file path=xl/drawings/drawing2.xml><?xml version="1.0" encoding="utf-8"?>
<wsDr xmlns="http://schemas.openxmlformats.org/drawingml/2006/spreadsheetDrawing">
  <twoCellAnchor editAs="oneCell">
    <from>
      <col>1</col>
      <colOff>0</colOff>
      <row>1</row>
      <rowOff>0</rowOff>
    </from>
    <to>
      <col>7</col>
      <colOff>29299</colOff>
      <row>4</row>
      <rowOff>173935</rowOff>
    </to>
    <pic>
      <nvPicPr>
        <cNvPr id="10" name="Resim 9"/>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107674" y="66261"/>
          <a:ext cx="2017125" cy="745435"/>
        </a:xfrm>
        <a:prstGeom xmlns:a="http://schemas.openxmlformats.org/drawingml/2006/main" prst="rect">
          <avLst/>
        </a:prstGeom>
        <a:ln xmlns:a="http://schemas.openxmlformats.org/drawingml/2006/main">
          <a:prstDash val="solid"/>
        </a:ln>
      </spPr>
    </pic>
    <clientData/>
  </twoCellAnchor>
</wsDr>
</file>

<file path=xl/drawings/drawing3.xml><?xml version="1.0" encoding="utf-8"?>
<wsDr xmlns="http://schemas.openxmlformats.org/drawingml/2006/spreadsheetDrawing">
  <twoCellAnchor>
    <from>
      <col>1</col>
      <colOff>361950</colOff>
      <row>26</row>
      <rowOff>38101</rowOff>
    </from>
    <to>
      <col>15</col>
      <colOff>361950</colOff>
      <row>36</row>
      <rowOff>180976</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1</col>
      <colOff>1</colOff>
      <row>1</row>
      <rowOff>0</rowOff>
    </from>
    <to>
      <col>6</col>
      <colOff>28576</colOff>
      <row>3</row>
      <rowOff>2485</rowOff>
    </to>
    <pic>
      <nvPicPr>
        <cNvPr id="7" name="Resim 6"/>
        <cNvPicPr>
          <a:picLocks xmlns:a="http://schemas.openxmlformats.org/drawingml/2006/main" noChangeAspect="1"/>
        </cNvPicPr>
      </nvPicPr>
      <blipFill rotWithShape="1">
        <a:blip xmlns:a="http://schemas.openxmlformats.org/drawingml/2006/main" xmlns:r="http://schemas.openxmlformats.org/officeDocument/2006/relationships" cstate="print" r:embed="rId2"/>
        <a:srcRect xmlns:a="http://schemas.openxmlformats.org/drawingml/2006/main" l="15283" t="16707" r="16943" b="17577"/>
        <a:stretch xmlns:a="http://schemas.openxmlformats.org/drawingml/2006/main">
          <a:fillRect/>
        </a:stretch>
      </blipFill>
      <spPr>
        <a:xfrm xmlns:a="http://schemas.openxmlformats.org/drawingml/2006/main">
          <a:off x="238126" y="190500"/>
          <a:ext cx="1885950" cy="745435"/>
        </a:xfrm>
        <a:prstGeom xmlns:a="http://schemas.openxmlformats.org/drawingml/2006/main" prst="rect">
          <avLst/>
        </a:prstGeom>
        <a:ln xmlns:a="http://schemas.openxmlformats.org/drawingml/2006/main">
          <a:prstDash val="solid"/>
        </a:ln>
      </spPr>
    </pic>
    <clientData/>
  </twoCellAnchor>
</wsDr>
</file>

<file path=xl/drawings/drawing4.xml><?xml version="1.0" encoding="utf-8"?>
<wsDr xmlns="http://schemas.openxmlformats.org/drawingml/2006/spreadsheetDrawing">
  <twoCellAnchor>
    <from>
      <col>1</col>
      <colOff>361950</colOff>
      <row>26</row>
      <rowOff>38100</rowOff>
    </from>
    <to>
      <col>15</col>
      <colOff>361950</colOff>
      <row>36</row>
      <rowOff>180975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1</col>
      <colOff>0</colOff>
      <row>1</row>
      <rowOff>0</rowOff>
    </from>
    <to>
      <col>6</col>
      <colOff>28575</colOff>
      <row>3</row>
      <rowOff>2485</rowOff>
    </to>
    <pic>
      <nvPicPr>
        <cNvPr id="10" name="Resim 9"/>
        <cNvPicPr>
          <a:picLocks xmlns:a="http://schemas.openxmlformats.org/drawingml/2006/main" noChangeAspect="1"/>
        </cNvPicPr>
      </nvPicPr>
      <blipFill rotWithShape="1">
        <a:blip xmlns:a="http://schemas.openxmlformats.org/drawingml/2006/main" xmlns:r="http://schemas.openxmlformats.org/officeDocument/2006/relationships" cstate="print" r:embed="rId2"/>
        <a:srcRect xmlns:a="http://schemas.openxmlformats.org/drawingml/2006/main" l="15283" t="16707" r="16943" b="17577"/>
        <a:stretch xmlns:a="http://schemas.openxmlformats.org/drawingml/2006/main">
          <a:fillRect/>
        </a:stretch>
      </blipFill>
      <spPr>
        <a:xfrm xmlns:a="http://schemas.openxmlformats.org/drawingml/2006/main">
          <a:off x="238125" y="190500"/>
          <a:ext cx="1885950" cy="745435"/>
        </a:xfrm>
        <a:prstGeom xmlns:a="http://schemas.openxmlformats.org/drawingml/2006/main" prst="rect">
          <avLst/>
        </a:prstGeom>
        <a:ln xmlns:a="http://schemas.openxmlformats.org/drawingml/2006/main">
          <a:prstDash val="solid"/>
        </a:ln>
      </spPr>
    </pic>
    <clientData/>
  </twoCellAnchor>
</wsDr>
</file>

<file path=xl/drawings/drawing5.xml><?xml version="1.0" encoding="utf-8"?>
<wsDr xmlns="http://schemas.openxmlformats.org/drawingml/2006/spreadsheetDrawing">
  <twoCellAnchor>
    <from>
      <col>1</col>
      <colOff>18317</colOff>
      <row>28</row>
      <rowOff>91586</rowOff>
    </from>
    <to>
      <col>6</col>
      <colOff>8792</colOff>
      <row>39</row>
      <rowOff>139211</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6</col>
      <colOff>40298</colOff>
      <row>28</row>
      <rowOff>91587</rowOff>
    </from>
    <to>
      <col>11</col>
      <colOff>278423</colOff>
      <row>39</row>
      <rowOff>139212</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from>
      <col>11</col>
      <colOff>309196</colOff>
      <row>28</row>
      <rowOff>91586</rowOff>
    </from>
    <to>
      <col>16</col>
      <colOff>413971</colOff>
      <row>39</row>
      <rowOff>139211</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twoCellAnchor editAs="oneCell">
    <from>
      <col>1</col>
      <colOff>0</colOff>
      <row>1</row>
      <rowOff>0</rowOff>
    </from>
    <to>
      <col>5</col>
      <colOff>272303</colOff>
      <row>3</row>
      <rowOff>5847</rowOff>
    </to>
    <pic>
      <nvPicPr>
        <cNvPr id="12" name="Resim 11"/>
        <cNvPicPr>
          <a:picLocks xmlns:a="http://schemas.openxmlformats.org/drawingml/2006/main" noChangeAspect="1"/>
        </cNvPicPr>
      </nvPicPr>
      <blipFill rotWithShape="1">
        <a:blip xmlns:a="http://schemas.openxmlformats.org/drawingml/2006/main" xmlns:r="http://schemas.openxmlformats.org/officeDocument/2006/relationships" cstate="print" r:embed="rId4"/>
        <a:srcRect xmlns:a="http://schemas.openxmlformats.org/drawingml/2006/main" l="15283" t="16707" r="16943" b="17577"/>
        <a:stretch xmlns:a="http://schemas.openxmlformats.org/drawingml/2006/main">
          <a:fillRect/>
        </a:stretch>
      </blipFill>
      <spPr>
        <a:xfrm xmlns:a="http://schemas.openxmlformats.org/drawingml/2006/main">
          <a:off x="235324" y="190500"/>
          <a:ext cx="1885950" cy="745435"/>
        </a:xfrm>
        <a:prstGeom xmlns:a="http://schemas.openxmlformats.org/drawingml/2006/main" prst="rect">
          <avLst/>
        </a:prstGeom>
        <a:ln xmlns:a="http://schemas.openxmlformats.org/drawingml/2006/main">
          <a:prstDash val="solid"/>
        </a:ln>
      </spPr>
    </pic>
    <clientData/>
  </twoCellAnchor>
</wsDr>
</file>

<file path=xl/drawings/drawing6.xml><?xml version="1.0" encoding="utf-8"?>
<wsDr xmlns="http://schemas.openxmlformats.org/drawingml/2006/spreadsheetDrawing">
  <twoCellAnchor>
    <from>
      <col>1</col>
      <colOff>134471</colOff>
      <row>28</row>
      <rowOff>163606</rowOff>
    </from>
    <to>
      <col>16</col>
      <colOff>224118</colOff>
      <row>42</row>
      <rowOff>56029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1</col>
      <colOff>0</colOff>
      <row>1</row>
      <rowOff>0</rowOff>
    </from>
    <to>
      <col>6</col>
      <colOff>14568</colOff>
      <row>3</row>
      <rowOff>5847</rowOff>
    </to>
    <pic>
      <nvPicPr>
        <cNvPr id="7" name="Resim 6"/>
        <cNvPicPr>
          <a:picLocks xmlns:a="http://schemas.openxmlformats.org/drawingml/2006/main" noChangeAspect="1"/>
        </cNvPicPr>
      </nvPicPr>
      <blipFill rotWithShape="1">
        <a:blip xmlns:a="http://schemas.openxmlformats.org/drawingml/2006/main" xmlns:r="http://schemas.openxmlformats.org/officeDocument/2006/relationships" cstate="print" r:embed="rId2"/>
        <a:srcRect xmlns:a="http://schemas.openxmlformats.org/drawingml/2006/main" l="15283" t="16707" r="16943" b="17577"/>
        <a:stretch xmlns:a="http://schemas.openxmlformats.org/drawingml/2006/main">
          <a:fillRect/>
        </a:stretch>
      </blipFill>
      <spPr>
        <a:xfrm xmlns:a="http://schemas.openxmlformats.org/drawingml/2006/main">
          <a:off x="235324" y="190500"/>
          <a:ext cx="1885950" cy="745435"/>
        </a:xfrm>
        <a:prstGeom xmlns:a="http://schemas.openxmlformats.org/drawingml/2006/main" prst="rect">
          <avLst/>
        </a:prstGeom>
        <a:ln xmlns:a="http://schemas.openxmlformats.org/drawingml/2006/main">
          <a:prstDash val="solid"/>
        </a:ln>
      </spPr>
    </pic>
    <clientData/>
  </twoCellAnchor>
</wsDr>
</file>

<file path=xl/drawings/drawing7.xml><?xml version="1.0" encoding="utf-8"?>
<wsDr xmlns="http://schemas.openxmlformats.org/drawingml/2006/spreadsheetDrawing">
  <twoCellAnchor editAs="oneCell">
    <from>
      <col>1</col>
      <colOff>-1</colOff>
      <row>1</row>
      <rowOff>0</rowOff>
    </from>
    <to>
      <col>5</col>
      <colOff>336175</colOff>
      <row>3</row>
      <rowOff>5847</rowOff>
    </to>
    <pic>
      <nvPicPr>
        <cNvPr id="9" name="Resim 8"/>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5323" y="190500"/>
          <a:ext cx="1748117" cy="745435"/>
        </a:xfrm>
        <a:prstGeom xmlns:a="http://schemas.openxmlformats.org/drawingml/2006/main" prst="rect">
          <avLst/>
        </a:prstGeom>
        <a:ln xmlns:a="http://schemas.openxmlformats.org/drawingml/2006/main">
          <a:prstDash val="solid"/>
        </a:ln>
      </spPr>
    </pic>
    <clientData/>
  </twoCellAnchor>
</wsDr>
</file>

<file path=xl/drawings/drawing8.xml><?xml version="1.0" encoding="utf-8"?>
<wsDr xmlns="http://schemas.openxmlformats.org/drawingml/2006/spreadsheetDrawing">
  <twoCellAnchor editAs="oneCell">
    <from>
      <col>1</col>
      <colOff>123825</colOff>
      <row>1</row>
      <rowOff>152400</rowOff>
    </from>
    <to>
      <col>6</col>
      <colOff>171450</colOff>
      <row>5</row>
      <rowOff>62099</rowOff>
    </to>
    <pic>
      <nvPicPr>
        <cNvPr id="7" name="Resim 6"/>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28600" y="219075"/>
          <a:ext cx="1714500" cy="633599"/>
        </a:xfrm>
        <a:prstGeom xmlns:a="http://schemas.openxmlformats.org/drawingml/2006/main" prst="rect">
          <avLst/>
        </a:prstGeom>
        <a:ln xmlns:a="http://schemas.openxmlformats.org/drawingml/2006/main">
          <a:prstDash val="solid"/>
        </a:ln>
      </spPr>
    </pic>
    <clientData/>
  </twoCellAnchor>
</wsDr>
</file>

<file path=xl/drawings/drawing9.xml><?xml version="1.0" encoding="utf-8"?>
<wsDr xmlns="http://schemas.openxmlformats.org/drawingml/2006/spreadsheetDrawing">
  <twoCellAnchor editAs="oneCell">
    <from>
      <col>1</col>
      <colOff>0</colOff>
      <row>1</row>
      <rowOff>0</rowOff>
    </from>
    <to>
      <col>6</col>
      <colOff>9525</colOff>
      <row>3</row>
      <rowOff>2485</rowOff>
    </to>
    <pic>
      <nvPicPr>
        <cNvPr id="8" name="Resim 7"/>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8125" y="190500"/>
          <a:ext cx="1819275" cy="745435"/>
        </a:xfrm>
        <a:prstGeom xmlns:a="http://schemas.openxmlformats.org/drawingml/2006/main" prst="rect">
          <avLst/>
        </a:prstGeom>
        <a:ln xmlns:a="http://schemas.openxmlformats.org/drawingml/2006/main">
          <a:prstDash val="solid"/>
        </a:ln>
      </spPr>
    </pic>
    <clientData/>
  </twoCellAnchor>
</wsDr>
</file>

<file path=xl/drawings/drawing10.xml><?xml version="1.0" encoding="utf-8"?>
<wsDr xmlns="http://schemas.openxmlformats.org/drawingml/2006/spreadsheetDrawing">
  <twoCellAnchor editAs="oneCell">
    <from>
      <col>1</col>
      <colOff>0</colOff>
      <row>1</row>
      <rowOff>0</rowOff>
    </from>
    <to>
      <col>6</col>
      <colOff>9525</colOff>
      <row>3</row>
      <rowOff>2485</rowOff>
    </to>
    <pic>
      <nvPicPr>
        <cNvPr id="7" name="Resim 6"/>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8125" y="190500"/>
          <a:ext cx="1819275" cy="745435"/>
        </a:xfrm>
        <a:prstGeom xmlns:a="http://schemas.openxmlformats.org/drawingml/2006/main" prst="rect">
          <avLst/>
        </a:prstGeom>
        <a:ln xmlns:a="http://schemas.openxmlformats.org/drawingml/2006/main">
          <a:prstDash val="solid"/>
        </a:ln>
      </spPr>
    </pic>
    <clientData/>
  </twoCellAnchor>
</wsDr>
</file>

<file path=xl/drawings/drawing11.xml><?xml version="1.0" encoding="utf-8"?>
<wsDr xmlns="http://schemas.openxmlformats.org/drawingml/2006/spreadsheetDrawing">
  <twoCellAnchor editAs="oneCell">
    <from>
      <col>1</col>
      <colOff>0</colOff>
      <row>1</row>
      <rowOff>0</rowOff>
    </from>
    <to>
      <col>6</col>
      <colOff>26334</colOff>
      <row>3</row>
      <rowOff>5847</rowOff>
    </to>
    <pic>
      <nvPicPr>
        <cNvPr id="8" name="Resim 7"/>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5324" y="190500"/>
          <a:ext cx="1819275" cy="745435"/>
        </a:xfrm>
        <a:prstGeom xmlns:a="http://schemas.openxmlformats.org/drawingml/2006/main" prst="rect">
          <avLst/>
        </a:prstGeom>
        <a:ln xmlns:a="http://schemas.openxmlformats.org/drawingml/2006/main">
          <a:prstDash val="solid"/>
        </a:ln>
      </spPr>
    </pic>
    <clientData/>
  </twoCellAnchor>
</wsDr>
</file>

<file path=xl/drawings/drawing12.xml><?xml version="1.0" encoding="utf-8"?>
<wsDr xmlns="http://schemas.openxmlformats.org/drawingml/2006/spreadsheetDrawing">
  <twoCellAnchor editAs="oneCell">
    <from>
      <col>1</col>
      <colOff>0</colOff>
      <row>1</row>
      <rowOff>0</rowOff>
    </from>
    <to>
      <col>6</col>
      <colOff>9525</colOff>
      <row>3</row>
      <rowOff>2485</rowOff>
    </to>
    <pic>
      <nvPicPr>
        <cNvPr id="7" name="Resim 6"/>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190500" y="142875"/>
          <a:ext cx="1819275" cy="745435"/>
        </a:xfrm>
        <a:prstGeom xmlns:a="http://schemas.openxmlformats.org/drawingml/2006/main" prst="rect">
          <avLst/>
        </a:prstGeom>
        <a:ln xmlns:a="http://schemas.openxmlformats.org/drawingml/2006/main">
          <a:prstDash val="solid"/>
        </a:ln>
      </spPr>
    </pic>
    <clientData/>
  </twoCellAnchor>
</wsDr>
</file>

<file path=xl/drawings/drawing13.xml><?xml version="1.0" encoding="utf-8"?>
<wsDr xmlns="http://schemas.openxmlformats.org/drawingml/2006/spreadsheetDrawing">
  <twoCellAnchor editAs="oneCell">
    <from>
      <col>1</col>
      <colOff>0</colOff>
      <row>1</row>
      <rowOff>0</rowOff>
    </from>
    <to>
      <col>6</col>
      <colOff>9525</colOff>
      <row>3</row>
      <rowOff>2485</rowOff>
    </to>
    <pic>
      <nvPicPr>
        <cNvPr id="5" name="Resim 4"/>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190500" y="142875"/>
          <a:ext cx="1819275" cy="745435"/>
        </a:xfrm>
        <a:prstGeom xmlns:a="http://schemas.openxmlformats.org/drawingml/2006/main" prst="rect">
          <avLst/>
        </a:prstGeom>
        <a:ln xmlns:a="http://schemas.openxmlformats.org/drawingml/2006/mai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ns0:Relationships xmlns:ns0="http://schemas.openxmlformats.org/package/2006/relationships"><ns0:Relationship Type="http://schemas.openxmlformats.org/officeDocument/2006/relationships/drawing" Target="../drawings/drawing1.xml" Id="rId1" /></ns0:Relationships>
</file>

<file path=xl/worksheets/_rels/sheet2.xml.rels><?xml version='1.0' encoding='utf-8'?>
<ns0:Relationships xmlns:ns0="http://schemas.openxmlformats.org/package/2006/relationships"><ns0:Relationship Type="http://schemas.openxmlformats.org/officeDocument/2006/relationships/drawing" Target="../drawings/drawing2.xml" Id="rId1" /></ns0:Relationships>
</file>

<file path=xl/worksheets/_rels/sheet3.xml.rels><?xml version='1.0' encoding='utf-8'?>
<ns0:Relationships xmlns:ns0="http://schemas.openxmlformats.org/package/2006/relationships"><ns0:Relationship Type="http://schemas.openxmlformats.org/officeDocument/2006/relationships/drawing" Target="../drawings/drawing3.xml" Id="rId1" /></ns0:Relationships>
</file>

<file path=xl/worksheets/_rels/sheet4.xml.rels><?xml version='1.0' encoding='utf-8'?>
<ns0:Relationships xmlns:ns0="http://schemas.openxmlformats.org/package/2006/relationships"><ns0:Relationship Type="http://schemas.openxmlformats.org/officeDocument/2006/relationships/drawing" Target="../drawings/drawing4.xml" Id="rId1" /></ns0:Relationships>
</file>

<file path=xl/worksheets/_rels/sheet5.xml.rels><?xml version='1.0' encoding='utf-8'?>
<ns0:Relationships xmlns:ns0="http://schemas.openxmlformats.org/package/2006/relationships"><ns0:Relationship Type="http://schemas.openxmlformats.org/officeDocument/2006/relationships/drawing" Target="../drawings/drawing5.xml" Id="rId1" /></ns0:Relationships>
</file>

<file path=xl/worksheets/_rels/sheet6.xml.rels><?xml version='1.0' encoding='utf-8'?>
<ns0:Relationships xmlns:ns0="http://schemas.openxmlformats.org/package/2006/relationships"><ns0:Relationship Type="http://schemas.openxmlformats.org/officeDocument/2006/relationships/drawing" Target="../drawings/drawing6.xml" Id="rId1" /></ns0:Relationships>
</file>

<file path=xl/worksheets/_rels/sheet7.xml.rels><?xml version='1.0' encoding='utf-8'?>
<ns0:Relationships xmlns:ns0="http://schemas.openxmlformats.org/package/2006/relationships"><ns0:Relationship Type="http://schemas.openxmlformats.org/officeDocument/2006/relationships/drawing" Target="../drawings/drawing7.xml" Id="rId1" /></ns0:Relationships>
</file>

<file path=xl/worksheets/_rels/sheet8.xml.rels><?xml version='1.0' encoding='utf-8'?>
<ns0:Relationships xmlns:ns0="http://schemas.openxmlformats.org/package/2006/relationships"><ns0:Relationship Type="http://schemas.openxmlformats.org/officeDocument/2006/relationships/drawing" Target="../drawings/drawing8.xml" Id="rId1" /></ns0:Relationships>
</file>

<file path=xl/worksheets/_rels/sheet9.xml.rels><?xml version='1.0' encoding='utf-8'?>
<ns0:Relationships xmlns:ns0="http://schemas.openxmlformats.org/package/2006/relationships"><ns0:Relationship Type="http://schemas.openxmlformats.org/officeDocument/2006/relationships/drawing" Target="../drawings/drawing9.xml" Id="rId1" /></ns0:Relationships>
</file>

<file path=xl/worksheets/_rels/sheet10.xml.rels><?xml version='1.0' encoding='utf-8'?>
<ns0:Relationships xmlns:ns0="http://schemas.openxmlformats.org/package/2006/relationships"><ns0:Relationship Type="http://schemas.openxmlformats.org/officeDocument/2006/relationships/drawing" Target="../drawings/drawing10.xml" Id="rId1" /></ns0:Relationships>
</file>

<file path=xl/worksheets/_rels/sheet11.xml.rels><?xml version='1.0' encoding='utf-8'?>
<ns0:Relationships xmlns:ns0="http://schemas.openxmlformats.org/package/2006/relationships"><ns0:Relationship Type="http://schemas.openxmlformats.org/officeDocument/2006/relationships/drawing" Target="../drawings/drawing11.xml" Id="rId1" /></ns0:Relationships>
</file>

<file path=xl/worksheets/_rels/sheet12.xml.rels><?xml version='1.0' encoding='utf-8'?>
<ns0:Relationships xmlns:ns0="http://schemas.openxmlformats.org/package/2006/relationships"><ns0:Relationship Type="http://schemas.openxmlformats.org/officeDocument/2006/relationships/drawing" Target="../drawings/drawing12.xml" Id="rId1" /></ns0:Relationships>
</file>

<file path=xl/worksheets/_rels/sheet13.xml.rels><?xml version='1.0' encoding='utf-8'?>
<ns0:Relationships xmlns:ns0="http://schemas.openxmlformats.org/package/2006/relationships"><ns0:Relationship Type="http://schemas.openxmlformats.org/officeDocument/2006/relationships/drawing" Target="../drawings/drawing13.xml" Id="rId1" /></ns0:Relationships>
</file>

<file path=xl/worksheets/sheet1.xml><?xml version="1.0" encoding="utf-8"?>
<worksheet xmlns="http://schemas.openxmlformats.org/spreadsheetml/2006/main">
  <sheetPr>
    <outlinePr summaryBelow="1" summaryRight="1"/>
    <pageSetUpPr/>
  </sheetPr>
  <dimension ref="A1:N62"/>
  <sheetViews>
    <sheetView topLeftCell="A28" zoomScale="78" zoomScaleNormal="78" workbookViewId="0">
      <selection activeCell="P16" sqref="P16"/>
    </sheetView>
  </sheetViews>
  <sheetFormatPr baseColWidth="8" defaultRowHeight="15"/>
  <cols>
    <col width="3.140625" customWidth="1" style="227" min="1" max="1"/>
    <col width="13.28515625" customWidth="1" style="227" min="2" max="2"/>
    <col width="1.42578125" customWidth="1" style="227" min="3" max="3"/>
    <col width="10.140625" bestFit="1" customWidth="1" style="227" min="4" max="4"/>
    <col width="8.5703125" customWidth="1" style="227" min="5" max="8"/>
    <col width="4.42578125" customWidth="1" style="227" min="9" max="10"/>
    <col width="9.140625" customWidth="1" style="227" min="11" max="16384"/>
  </cols>
  <sheetData>
    <row r="1" ht="15" customHeight="1" s="227">
      <c r="A1" s="303" t="n"/>
      <c r="E1" s="240" t="inlineStr">
        <is>
          <t xml:space="preserve">B.T.S. ELEKTRİK TRAFO BAKIM </t>
        </is>
      </c>
      <c r="K1" s="221" t="n"/>
    </row>
    <row r="2" ht="15" customHeight="1" s="227">
      <c r="K2" s="221" t="n"/>
      <c r="L2" s="209" t="n"/>
      <c r="M2" s="209" t="n"/>
    </row>
    <row r="3" ht="15" customHeight="1" s="227">
      <c r="E3" s="241" t="inlineStr">
        <is>
          <t>MÜH. İNŞ. MAK. LAB. SAN. VE TİC. LTD. ŞTİ.</t>
        </is>
      </c>
      <c r="K3" s="222" t="n"/>
      <c r="L3" s="209" t="n"/>
      <c r="M3" s="209" t="n"/>
    </row>
    <row r="4" ht="15" customHeight="1" s="227">
      <c r="K4" s="222" t="n"/>
      <c r="L4" s="210" t="n"/>
      <c r="M4" s="210" t="n"/>
    </row>
    <row r="5" ht="1.5" customHeight="1" s="227">
      <c r="A5" s="242" t="n"/>
    </row>
    <row r="6" ht="7.5" customHeight="1" s="227"/>
    <row r="7" ht="18.75" customHeight="1" s="227">
      <c r="A7" s="249" t="inlineStr">
        <is>
          <t>TRAFO TEST RAPORU</t>
        </is>
      </c>
    </row>
    <row r="8" ht="9" customHeight="1" s="227"/>
    <row r="9">
      <c r="A9" s="256" t="inlineStr">
        <is>
          <t xml:space="preserve">Müşterinin Adı      </t>
        </is>
      </c>
      <c r="C9" s="256" t="n"/>
      <c r="D9" s="256" t="inlineStr">
        <is>
          <t>OK AMBALAJ</t>
        </is>
      </c>
    </row>
    <row r="10" s="227">
      <c r="A10" s="256" t="inlineStr">
        <is>
          <t>Trafo Etiketi</t>
        </is>
      </c>
      <c r="C10" s="256" t="n"/>
      <c r="D10" s="256" t="inlineStr">
        <is>
          <t>TR-1</t>
        </is>
      </c>
    </row>
    <row r="11">
      <c r="A11" s="256" t="inlineStr">
        <is>
          <t xml:space="preserve">ADRESİ                     </t>
        </is>
      </c>
      <c r="C11" s="256" t="n"/>
      <c r="D11" s="256" t="inlineStr">
        <is>
          <t>KAYAPA/BURSA</t>
        </is>
      </c>
    </row>
    <row r="12">
      <c r="A12" s="256" t="inlineStr">
        <is>
          <t>RAPOR TARİHİ</t>
        </is>
      </c>
      <c r="C12" s="256" t="n"/>
      <c r="D12" s="232" t="inlineStr">
        <is>
          <t>05.08.2026</t>
        </is>
      </c>
    </row>
    <row r="13">
      <c r="A13" s="256" t="inlineStr">
        <is>
          <t>REFERANS</t>
        </is>
      </c>
      <c r="C13" s="256" t="n"/>
      <c r="D13" s="256" t="inlineStr">
        <is>
          <t>International Electrical Testing Association</t>
        </is>
      </c>
    </row>
    <row r="14">
      <c r="A14" s="256" t="inlineStr">
        <is>
          <t>RAPOR KONUSU</t>
        </is>
      </c>
      <c r="C14" s="256" t="n"/>
      <c r="D14" s="232" t="inlineStr">
        <is>
          <t>05.08.2026</t>
        </is>
      </c>
      <c r="E14" s="256" t="inlineStr">
        <is>
          <t xml:space="preserve">Tarihinde yapılan Trafo test raporu. </t>
        </is>
      </c>
    </row>
    <row r="15" ht="9" customHeight="1" s="227"/>
    <row r="16">
      <c r="B16" s="209" t="inlineStr">
        <is>
          <t>TRAFO BAKIMI VE KONTROLLERİ</t>
        </is>
      </c>
      <c r="C16" s="209" t="n"/>
    </row>
    <row r="17" ht="9" customHeight="1" s="227"/>
    <row r="18" s="227">
      <c r="A18" s="187" t="inlineStr">
        <is>
          <t>-</t>
        </is>
      </c>
      <c r="B18" s="189" t="inlineStr">
        <is>
          <t>Trafonun D.C. İzolasyon test değerleri uygun bulunmuştur.</t>
        </is>
      </c>
      <c r="C18" s="189" t="n"/>
      <c r="D18" s="188" t="n"/>
      <c r="E18" s="188" t="n"/>
      <c r="F18" s="188" t="n"/>
      <c r="G18" s="188" t="n"/>
      <c r="H18" s="188" t="n"/>
      <c r="I18" s="188" t="n"/>
      <c r="J18" s="188" t="n"/>
      <c r="K18" s="188" t="n"/>
      <c r="L18" s="188" t="n"/>
      <c r="M18" s="188" t="n"/>
    </row>
    <row r="19" ht="9" customHeight="1" s="227">
      <c r="A19" s="187" t="n"/>
      <c r="B19" s="189" t="n"/>
      <c r="C19" s="189" t="n"/>
      <c r="D19" s="188" t="n"/>
      <c r="E19" s="188" t="n"/>
      <c r="F19" s="188" t="n"/>
      <c r="G19" s="188" t="n"/>
      <c r="H19" s="188" t="n"/>
      <c r="I19" s="188" t="n"/>
      <c r="J19" s="188" t="n"/>
      <c r="K19" s="188" t="n"/>
      <c r="L19" s="188" t="n"/>
      <c r="M19" s="188" t="n"/>
    </row>
    <row r="20" s="227">
      <c r="A20" s="187" t="inlineStr">
        <is>
          <t>-</t>
        </is>
      </c>
      <c r="B20" s="250" t="inlineStr">
        <is>
          <t>Trafoda yapılan çevirme oranı (TTR) test sonuçları uygun bulmuştur, buna bağlı olarak kademe değiştirici ile sargılar arasındaki bağlantılarda herhangi bir sorun olmadığı gözlemlenmiştir.</t>
        </is>
      </c>
    </row>
    <row r="21" s="227">
      <c r="A21" s="184" t="n"/>
    </row>
    <row r="22" ht="9" customHeight="1" s="227">
      <c r="A22" s="184" t="n"/>
      <c r="B22" s="250" t="n"/>
      <c r="C22" s="250" t="n"/>
      <c r="D22" s="250" t="n"/>
      <c r="E22" s="250" t="n"/>
      <c r="F22" s="250" t="n"/>
      <c r="G22" s="250" t="n"/>
      <c r="H22" s="250" t="n"/>
      <c r="I22" s="250" t="n"/>
      <c r="J22" s="250" t="n"/>
      <c r="K22" s="250" t="n"/>
      <c r="L22" s="250" t="n"/>
      <c r="M22" s="250" t="n"/>
    </row>
    <row r="23" s="227">
      <c r="A23" t="inlineStr">
        <is>
          <t>-</t>
        </is>
      </c>
      <c r="B23" s="251" t="inlineStr">
        <is>
          <t>Trafoda yapılan D.C. Sargı direnci test sonuçlarının uygun olduğu tespit edilmiştir, sargılar arasındaki direnç farklılıkları max. değerin (%5) altındadır. Bu sonuçlara göre; sargı bağlantı uçları, kademe değiştirici kontakları, tij bağlantılarında gevşeklik olmadığı gözlemlenmiştir.</t>
        </is>
      </c>
    </row>
    <row r="24" s="227"/>
    <row r="25" s="227">
      <c r="A25" s="184" t="n"/>
    </row>
    <row r="26" ht="9" customHeight="1" s="227">
      <c r="A26" s="184" t="n"/>
      <c r="B26" s="251" t="n"/>
      <c r="C26" s="251" t="n"/>
      <c r="D26" s="251" t="n"/>
      <c r="E26" s="251" t="n"/>
      <c r="F26" s="251" t="n"/>
      <c r="G26" s="251" t="n"/>
      <c r="H26" s="251" t="n"/>
      <c r="I26" s="251" t="n"/>
      <c r="J26" s="251" t="n"/>
      <c r="K26" s="251" t="n"/>
      <c r="L26" s="251" t="n"/>
      <c r="M26" s="251" t="n"/>
    </row>
    <row r="27" s="227">
      <c r="A27" s="252" t="inlineStr">
        <is>
          <t>SONUÇ</t>
        </is>
      </c>
      <c r="C27" s="252" t="n"/>
      <c r="D27" s="191" t="n"/>
      <c r="E27" s="191" t="n"/>
      <c r="F27" s="191" t="n"/>
      <c r="G27" s="191" t="n"/>
      <c r="H27" s="191" t="n"/>
      <c r="I27" s="191" t="n"/>
      <c r="J27" s="191" t="n"/>
      <c r="K27" s="191" t="n"/>
      <c r="L27" s="191" t="n"/>
      <c r="M27" s="191" t="n"/>
    </row>
    <row r="28" ht="9" customHeight="1" s="227"/>
    <row r="29" ht="15" customHeight="1" s="227">
      <c r="A29" s="250" t="inlineStr">
        <is>
          <t xml:space="preserve">Mevcut şartlar korunması halinde  trafonun kullanımı UYGUNDUR. </t>
        </is>
      </c>
    </row>
    <row r="30" s="227"/>
    <row r="31"/>
    <row r="32" ht="11.25" customHeight="1" s="227"/>
    <row r="33"/>
    <row r="34"/>
    <row r="35"/>
    <row r="36"/>
    <row r="37"/>
    <row r="38"/>
    <row r="39"/>
    <row r="40" s="227"/>
    <row r="41" s="227"/>
    <row r="42" s="227"/>
    <row r="43"/>
    <row r="44" s="227"/>
    <row r="45"/>
    <row r="46"/>
    <row r="47"/>
    <row r="48" ht="7.5" customHeight="1" s="227"/>
    <row r="49"/>
    <row r="50"/>
    <row r="51"/>
    <row r="52">
      <c r="A52" s="481" t="n"/>
      <c r="B52" s="99" t="n"/>
      <c r="C52" s="99" t="n"/>
      <c r="D52" s="99" t="n"/>
      <c r="E52" s="99" t="n"/>
      <c r="F52" s="482" t="n"/>
      <c r="G52" s="253" t="inlineStr">
        <is>
          <t>ONAYLAYAN</t>
        </is>
      </c>
      <c r="H52" s="99" t="n"/>
      <c r="I52" s="99" t="n"/>
      <c r="J52" s="99" t="n"/>
      <c r="K52" s="99" t="n"/>
      <c r="L52" s="99" t="n"/>
      <c r="M52" s="482" t="n"/>
    </row>
    <row r="53">
      <c r="A53" s="247" t="inlineStr">
        <is>
          <t xml:space="preserve">Test Tarihi                </t>
        </is>
      </c>
      <c r="C53" s="248" t="inlineStr">
        <is>
          <t>:</t>
        </is>
      </c>
      <c r="D53" s="255">
        <f>D14</f>
        <v/>
      </c>
      <c r="G53" s="254" t="n"/>
      <c r="H53" s="47" t="n"/>
      <c r="I53" s="47" t="n"/>
      <c r="J53" s="47" t="n"/>
      <c r="K53" s="47" t="n"/>
      <c r="L53" s="47" t="n"/>
      <c r="M53" s="211" t="n"/>
    </row>
    <row r="54">
      <c r="A54" s="247" t="inlineStr">
        <is>
          <t xml:space="preserve">Rapor Tarihi           </t>
        </is>
      </c>
      <c r="C54" s="248" t="inlineStr">
        <is>
          <t>:</t>
        </is>
      </c>
      <c r="D54" s="255">
        <f>D12</f>
        <v/>
      </c>
      <c r="G54" s="62" t="n"/>
      <c r="M54" s="212" t="n"/>
    </row>
    <row r="55">
      <c r="A55" s="247" t="inlineStr">
        <is>
          <t>Unvan</t>
        </is>
      </c>
      <c r="C55" s="239" t="inlineStr">
        <is>
          <t>:</t>
        </is>
      </c>
      <c r="D55" s="257" t="inlineStr">
        <is>
          <t>Elektrik Mühendisi</t>
        </is>
      </c>
      <c r="F55" s="212" t="n"/>
      <c r="G55" s="62" t="n"/>
      <c r="M55" s="212" t="n"/>
    </row>
    <row r="56">
      <c r="A56" s="483" t="n"/>
      <c r="B56" s="50" t="n"/>
      <c r="C56" s="50" t="n"/>
      <c r="D56" s="50" t="n"/>
      <c r="E56" s="50" t="n"/>
      <c r="F56" s="213" t="n"/>
      <c r="G56" s="49" t="n"/>
      <c r="H56" s="50" t="n"/>
      <c r="I56" s="50" t="n"/>
      <c r="J56" s="50" t="n"/>
      <c r="K56" s="50" t="n"/>
      <c r="L56" s="50" t="n"/>
      <c r="M56" s="213" t="n"/>
    </row>
    <row r="57" ht="3.75" customHeight="1" s="227"/>
    <row r="58" ht="11.25" customHeight="1" s="227">
      <c r="A58" s="243" t="inlineStr">
        <is>
          <t>Bu belge 5070 sayılı elektronik imza kanununa göre güvenli elektronik imza ile imzalanmıştır.</t>
        </is>
      </c>
      <c r="N58" s="224" t="n"/>
    </row>
    <row r="59" ht="1.5" customHeight="1" s="227">
      <c r="A59" s="242" t="n"/>
    </row>
    <row r="60" ht="11.25" customHeight="1" s="227">
      <c r="A60" s="246" t="inlineStr">
        <is>
          <t>Üçevler Mahallesi Ak-Va Sanayi Sitesi 80. Sokak No:2/P Nilüfer-BURSA</t>
        </is>
      </c>
      <c r="N60" s="226" t="n"/>
    </row>
    <row r="61" ht="11.25" customHeight="1" s="227">
      <c r="A61" s="246" t="inlineStr">
        <is>
          <t>Telefon : 444 0 287 - 0224 441 94 33                  Mail:     www.btselektrik.com.tr</t>
        </is>
      </c>
      <c r="N61" s="226" t="n"/>
    </row>
    <row r="62" ht="11.25" customHeight="1" s="227">
      <c r="A62" s="246" t="inlineStr">
        <is>
          <t>Gsm      : 0532 206 58 32 - 0538 035 35 94</t>
        </is>
      </c>
      <c r="N62" s="226" t="n"/>
    </row>
  </sheetData>
  <mergeCells count="34">
    <mergeCell ref="B20:M21"/>
    <mergeCell ref="A5:M5"/>
    <mergeCell ref="A11:B11"/>
    <mergeCell ref="D9:M9"/>
    <mergeCell ref="A62:M62"/>
    <mergeCell ref="B23:M25"/>
    <mergeCell ref="A56:F56"/>
    <mergeCell ref="D53:F53"/>
    <mergeCell ref="A1:D4"/>
    <mergeCell ref="A29:M31"/>
    <mergeCell ref="E3:J4"/>
    <mergeCell ref="A54:B54"/>
    <mergeCell ref="A58:M58"/>
    <mergeCell ref="G52:M52"/>
    <mergeCell ref="A59:M59"/>
    <mergeCell ref="D10:M10"/>
    <mergeCell ref="A27:B27"/>
    <mergeCell ref="G53:M56"/>
    <mergeCell ref="A55:B55"/>
    <mergeCell ref="D55:F55"/>
    <mergeCell ref="A12:B12"/>
    <mergeCell ref="A60:M60"/>
    <mergeCell ref="A52:F52"/>
    <mergeCell ref="E1:J2"/>
    <mergeCell ref="A61:M61"/>
    <mergeCell ref="D54:F54"/>
    <mergeCell ref="A14:B14"/>
    <mergeCell ref="A7:M7"/>
    <mergeCell ref="A53:B53"/>
    <mergeCell ref="D11:M11"/>
    <mergeCell ref="A10:B10"/>
    <mergeCell ref="E14:M14"/>
    <mergeCell ref="A13:B13"/>
    <mergeCell ref="A9:B9"/>
  </mergeCells>
  <printOptions horizontalCentered="1" verticalCentered="1"/>
  <pageMargins left="0.1968503937007874" right="0.1968503937007874" top="0" bottom="0" header="0" footer="0"/>
  <pageSetup orientation="portrait" paperSize="9"/>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N83"/>
  <sheetViews>
    <sheetView topLeftCell="A11" zoomScale="82" zoomScaleNormal="82" workbookViewId="0">
      <selection activeCell="L71" sqref="L71"/>
    </sheetView>
  </sheetViews>
  <sheetFormatPr baseColWidth="8" defaultRowHeight="15"/>
  <cols>
    <col width="1.5703125" customWidth="1" style="227" min="1" max="1"/>
    <col width="5" customWidth="1" style="227" min="2" max="19"/>
    <col width="1.5703125" customWidth="1" style="227" min="20" max="20"/>
    <col width="5" customWidth="1" style="227" min="22" max="49"/>
  </cols>
  <sheetData>
    <row r="1" ht="5.25" customHeight="1" s="227">
      <c r="A1" s="12" t="n"/>
      <c r="B1" s="13" t="n"/>
      <c r="C1" s="13" t="n"/>
      <c r="D1" s="13" t="n"/>
      <c r="E1" s="13" t="n"/>
      <c r="F1" s="13" t="n"/>
      <c r="G1" s="13" t="n"/>
      <c r="H1" s="13" t="n"/>
      <c r="I1" s="13" t="n"/>
      <c r="J1" s="13" t="n"/>
      <c r="K1" s="13" t="n"/>
      <c r="L1" s="13" t="n"/>
      <c r="M1" s="13" t="n"/>
      <c r="N1" s="13" t="n"/>
      <c r="O1" s="13" t="n"/>
      <c r="P1" s="13" t="n"/>
      <c r="Q1" s="13" t="n"/>
      <c r="R1" s="13" t="n"/>
      <c r="S1" s="13" t="n"/>
      <c r="T1" s="14" t="n"/>
    </row>
    <row r="2" ht="18.75" customHeight="1" s="227">
      <c r="A2" s="10" t="n"/>
      <c r="B2" s="46" t="n"/>
      <c r="C2" s="47" t="n"/>
      <c r="D2" s="47" t="n"/>
      <c r="E2" s="47" t="n"/>
      <c r="F2" s="47" t="n"/>
      <c r="G2" s="211" t="n"/>
      <c r="H2" s="298" t="inlineStr">
        <is>
          <t xml:space="preserve">  ŞALT SAHASI        </t>
        </is>
      </c>
      <c r="I2" s="47" t="n"/>
      <c r="J2" s="47" t="n"/>
      <c r="K2" s="297">
        <f>'KAPAK SAYFASI'!D9</f>
        <v/>
      </c>
      <c r="L2" s="47" t="n"/>
      <c r="M2" s="47" t="n"/>
      <c r="N2" s="47" t="n"/>
      <c r="O2" s="47" t="n"/>
      <c r="P2" s="47" t="n"/>
      <c r="Q2" s="47" t="n"/>
      <c r="R2" s="47" t="n"/>
      <c r="S2" s="211" t="n"/>
      <c r="T2" s="11" t="n"/>
    </row>
    <row r="3" ht="22.5" customHeight="1" s="227">
      <c r="A3" s="10" t="n"/>
      <c r="B3" s="62" t="n"/>
      <c r="G3" s="212" t="n"/>
      <c r="H3" s="62" t="n"/>
      <c r="S3" s="212" t="n"/>
      <c r="T3" s="11" t="n"/>
    </row>
    <row r="4" ht="3" customHeight="1" s="227">
      <c r="A4" s="10" t="n"/>
      <c r="B4" s="62" t="n"/>
      <c r="G4" s="212" t="n"/>
      <c r="H4" s="178" t="n"/>
      <c r="I4" s="179" t="n"/>
      <c r="J4" s="179" t="n"/>
      <c r="K4" s="179" t="n"/>
      <c r="L4" s="179" t="n"/>
      <c r="M4" s="179" t="n"/>
      <c r="N4" s="179" t="n"/>
      <c r="O4" s="179" t="n"/>
      <c r="P4" s="179" t="n"/>
      <c r="Q4" s="179" t="n"/>
      <c r="R4" s="179" t="n"/>
      <c r="S4" s="180" t="n"/>
      <c r="T4" s="11" t="n"/>
    </row>
    <row r="5" ht="15" customHeight="1" s="227">
      <c r="A5" s="10" t="n"/>
      <c r="B5" s="62" t="n"/>
      <c r="G5" s="212" t="n"/>
      <c r="H5" s="292" t="inlineStr">
        <is>
          <t>TRAFO ETİKETİ</t>
        </is>
      </c>
      <c r="K5" s="295">
        <f>'KAPAK SAYFASI'!D10</f>
        <v/>
      </c>
      <c r="S5" s="212" t="n"/>
      <c r="T5" s="11" t="n"/>
    </row>
    <row r="6" ht="22.5" customHeight="1" s="227">
      <c r="A6" s="10" t="n"/>
      <c r="B6" s="484" t="inlineStr">
        <is>
          <t>Üçevler Mh.  AK-VA Sanayi Sitesi  80. Sk.  No:2/P  Nilüfer  /  BURSA  /  TÜRKİYE</t>
        </is>
      </c>
      <c r="G6" s="212" t="n"/>
      <c r="H6" s="62" t="n"/>
      <c r="S6" s="212" t="n"/>
      <c r="T6" s="11" t="n"/>
    </row>
    <row r="7" ht="3" customHeight="1" s="227">
      <c r="A7" s="10" t="n"/>
      <c r="B7" s="49" t="n"/>
      <c r="C7" s="50" t="n"/>
      <c r="D7" s="50" t="n"/>
      <c r="E7" s="50" t="n"/>
      <c r="F7" s="50" t="n"/>
      <c r="G7" s="64" t="n"/>
      <c r="H7" s="124" t="n"/>
      <c r="I7" s="51" t="n"/>
      <c r="J7" s="51" t="n"/>
      <c r="K7" s="51" t="n"/>
      <c r="L7" s="51" t="n"/>
      <c r="M7" s="51" t="n"/>
      <c r="N7" s="51" t="n"/>
      <c r="O7" s="51" t="n"/>
      <c r="P7" s="51" t="n"/>
      <c r="Q7" s="51" t="n"/>
      <c r="R7" s="51" t="n"/>
      <c r="S7" s="64" t="n"/>
      <c r="T7" s="11" t="n"/>
    </row>
    <row r="8" ht="3" customHeight="1" s="227">
      <c r="A8" s="10" t="n"/>
      <c r="B8" s="3" t="n"/>
      <c r="C8" s="127" t="n"/>
      <c r="D8" s="127" t="n"/>
      <c r="E8" s="127" t="n"/>
      <c r="F8" s="127" t="n"/>
      <c r="G8" s="43" t="n"/>
      <c r="H8" s="43" t="n"/>
      <c r="I8" s="127" t="n"/>
      <c r="J8" s="127" t="n"/>
      <c r="K8" s="43" t="n"/>
      <c r="L8" s="127" t="n"/>
      <c r="M8" s="127" t="n"/>
      <c r="N8" s="127" t="n"/>
      <c r="O8" s="127" t="n"/>
      <c r="P8" s="127" t="n"/>
      <c r="Q8" s="127" t="n"/>
      <c r="R8" s="127" t="n"/>
      <c r="S8" s="143" t="n"/>
      <c r="T8" s="11" t="n"/>
    </row>
    <row r="9" ht="15.75" customHeight="1" s="227">
      <c r="A9" s="10" t="n"/>
      <c r="B9" s="485" t="inlineStr">
        <is>
          <t xml:space="preserve">TRAFO BİLGİLERİ </t>
        </is>
      </c>
      <c r="C9" s="99" t="n"/>
      <c r="D9" s="99" t="n"/>
      <c r="E9" s="99" t="n"/>
      <c r="F9" s="99" t="n"/>
      <c r="G9" s="99" t="n"/>
      <c r="H9" s="99" t="n"/>
      <c r="I9" s="99" t="n"/>
      <c r="J9" s="99" t="n"/>
      <c r="K9" s="99" t="n"/>
      <c r="L9" s="99" t="n"/>
      <c r="M9" s="99" t="n"/>
      <c r="N9" s="99" t="n"/>
      <c r="O9" s="99" t="n"/>
      <c r="P9" s="99" t="n"/>
      <c r="Q9" s="99" t="n"/>
      <c r="R9" s="99" t="n"/>
      <c r="S9" s="482" t="n"/>
      <c r="T9" s="11" t="n"/>
      <c r="Y9" s="98" t="n"/>
    </row>
    <row r="10" ht="3" customHeight="1" s="227">
      <c r="A10" s="10" t="n"/>
      <c r="B10" s="39" t="n"/>
      <c r="C10" s="40" t="n"/>
      <c r="D10" s="40" t="n"/>
      <c r="E10" s="40" t="n"/>
      <c r="F10" s="40" t="n"/>
      <c r="G10" s="40" t="n"/>
      <c r="H10" s="40" t="n"/>
      <c r="I10" s="40" t="n"/>
      <c r="J10" s="40" t="n"/>
      <c r="K10" s="80" t="n"/>
      <c r="L10" s="80" t="n"/>
      <c r="M10" s="81" t="n"/>
      <c r="N10" s="40" t="n"/>
      <c r="O10" s="40" t="n"/>
      <c r="P10" s="40" t="n"/>
      <c r="Q10" s="40" t="n"/>
      <c r="R10" s="40" t="n"/>
      <c r="S10" s="41" t="n"/>
      <c r="T10" s="11" t="n"/>
    </row>
    <row r="11">
      <c r="A11" s="10" t="n"/>
      <c r="B11" s="280" t="inlineStr">
        <is>
          <t>Trafo Markası</t>
        </is>
      </c>
      <c r="F11" s="89" t="inlineStr">
        <is>
          <t>:</t>
        </is>
      </c>
      <c r="G11" s="284" t="inlineStr">
        <is>
          <t>ASTOR</t>
        </is>
      </c>
      <c r="H11" s="486" t="n"/>
      <c r="I11" s="486" t="n"/>
      <c r="J11" s="486" t="n"/>
      <c r="K11" s="291" t="inlineStr">
        <is>
          <t>Kademe Bilgisi</t>
        </is>
      </c>
      <c r="N11" s="91" t="inlineStr">
        <is>
          <t xml:space="preserve">: </t>
        </is>
      </c>
      <c r="O11" s="92" t="n">
        <v>6</v>
      </c>
      <c r="P11" s="92" t="inlineStr">
        <is>
          <t>/</t>
        </is>
      </c>
      <c r="Q11" s="92" t="n">
        <v>4</v>
      </c>
      <c r="R11" s="92" t="inlineStr">
        <is>
          <t>/</t>
        </is>
      </c>
      <c r="S11" s="100" t="n">
        <v>5</v>
      </c>
      <c r="T11" s="11" t="n"/>
    </row>
    <row r="12" ht="3" customHeight="1" s="227">
      <c r="A12" s="10" t="n"/>
      <c r="B12" s="280" t="n"/>
      <c r="C12" s="291" t="n"/>
      <c r="D12" s="291" t="n"/>
      <c r="E12" s="291" t="n"/>
      <c r="F12" s="67" t="n"/>
      <c r="G12" s="127" t="n"/>
      <c r="H12" s="127" t="n"/>
      <c r="I12" s="127" t="n"/>
      <c r="J12" s="127" t="n"/>
      <c r="K12" s="277" t="n"/>
      <c r="L12" s="277" t="n"/>
      <c r="M12" s="317" t="n"/>
      <c r="N12" s="127" t="n"/>
      <c r="O12" s="127" t="n"/>
      <c r="P12" s="127" t="n"/>
      <c r="Q12" s="127" t="n"/>
      <c r="R12" s="127" t="n"/>
      <c r="S12" s="143" t="n"/>
      <c r="T12" s="11" t="n"/>
    </row>
    <row r="13">
      <c r="A13" s="10" t="n"/>
      <c r="B13" s="247" t="inlineStr">
        <is>
          <t>Trafo Gücü (kVA)</t>
        </is>
      </c>
      <c r="F13" s="89" t="inlineStr">
        <is>
          <t>:</t>
        </is>
      </c>
      <c r="G13" s="284" t="n">
        <v>1000</v>
      </c>
      <c r="H13" s="486" t="n"/>
      <c r="I13" s="486" t="n"/>
      <c r="J13" s="486" t="n"/>
      <c r="K13" s="277" t="inlineStr">
        <is>
          <t>İmal Yılı</t>
        </is>
      </c>
      <c r="N13" s="89" t="inlineStr">
        <is>
          <t>:</t>
        </is>
      </c>
      <c r="O13" s="279" t="inlineStr">
        <is>
          <t>2017</t>
        </is>
      </c>
      <c r="P13" s="486" t="n"/>
      <c r="Q13" s="486" t="n"/>
      <c r="R13" s="486" t="n"/>
      <c r="S13" s="487" t="n"/>
      <c r="T13" s="11" t="n"/>
    </row>
    <row r="14" ht="3" customHeight="1" s="227">
      <c r="A14" s="10" t="n"/>
      <c r="B14" s="280" t="n"/>
      <c r="C14" s="291" t="n"/>
      <c r="D14" s="291" t="n"/>
      <c r="E14" s="291" t="n"/>
      <c r="F14" s="67" t="n"/>
      <c r="G14" s="127" t="n"/>
      <c r="H14" s="127" t="n"/>
      <c r="I14" s="127" t="n"/>
      <c r="J14" s="127" t="n"/>
      <c r="K14" s="277" t="n"/>
      <c r="L14" s="277" t="n"/>
      <c r="M14" s="317" t="n"/>
      <c r="N14" s="127" t="n"/>
      <c r="O14" s="127" t="n"/>
      <c r="P14" s="127" t="n"/>
      <c r="Q14" s="127" t="n"/>
      <c r="R14" s="127" t="n"/>
      <c r="S14" s="143" t="n"/>
      <c r="T14" s="11" t="n"/>
    </row>
    <row r="15">
      <c r="A15" s="10" t="n"/>
      <c r="B15" s="280" t="inlineStr">
        <is>
          <t>Gerilim Seviyesi (V)</t>
        </is>
      </c>
      <c r="F15" s="89" t="inlineStr">
        <is>
          <t xml:space="preserve">:  </t>
        </is>
      </c>
      <c r="G15" s="284" t="n">
        <v>34500</v>
      </c>
      <c r="H15" s="486" t="n"/>
      <c r="I15" s="486" t="n"/>
      <c r="J15" s="486" t="n"/>
      <c r="K15" s="277" t="inlineStr">
        <is>
          <t>Seri Numarası</t>
        </is>
      </c>
      <c r="N15" s="89" t="inlineStr">
        <is>
          <t>:</t>
        </is>
      </c>
      <c r="O15" s="488" t="inlineStr">
        <is>
          <t>27-07840</t>
        </is>
      </c>
      <c r="P15" s="486" t="n"/>
      <c r="Q15" s="486" t="n"/>
      <c r="R15" s="486" t="n"/>
      <c r="S15" s="487" t="n"/>
      <c r="T15" s="11" t="n"/>
    </row>
    <row r="16" ht="3" customHeight="1" s="227">
      <c r="A16" s="10" t="n"/>
      <c r="B16" s="280" t="n"/>
      <c r="C16" s="291" t="n"/>
      <c r="D16" s="291" t="n"/>
      <c r="E16" s="291" t="n"/>
      <c r="F16" s="67" t="n"/>
      <c r="G16" s="127" t="n"/>
      <c r="H16" s="127" t="n"/>
      <c r="I16" s="127" t="n"/>
      <c r="J16" s="127" t="n"/>
      <c r="K16" s="277" t="n"/>
      <c r="L16" s="277" t="n"/>
      <c r="M16" s="317" t="n"/>
      <c r="N16" s="127" t="n"/>
      <c r="O16" s="127" t="n"/>
      <c r="P16" s="127" t="n"/>
      <c r="Q16" s="127" t="n"/>
      <c r="R16" s="127" t="n"/>
      <c r="S16" s="143" t="n"/>
      <c r="T16" s="11" t="n"/>
    </row>
    <row r="17" ht="15" customHeight="1" s="227">
      <c r="A17" s="10" t="n"/>
      <c r="B17" s="267" t="inlineStr">
        <is>
          <t>Yağ Markası</t>
        </is>
      </c>
      <c r="F17" s="89" t="inlineStr">
        <is>
          <t xml:space="preserve">:  </t>
        </is>
      </c>
      <c r="G17" s="284" t="inlineStr">
        <is>
          <t>NYNAS</t>
        </is>
      </c>
      <c r="H17" s="486" t="n"/>
      <c r="I17" s="486" t="n"/>
      <c r="J17" s="486" t="n"/>
      <c r="K17" s="277" t="inlineStr">
        <is>
          <t>Yağ Ağırlığı (kg)</t>
        </is>
      </c>
      <c r="N17" s="89" t="inlineStr">
        <is>
          <t>:</t>
        </is>
      </c>
      <c r="O17" s="283" t="n">
        <v>510</v>
      </c>
      <c r="P17" s="486" t="n"/>
      <c r="Q17" s="486" t="n"/>
      <c r="R17" s="486" t="n"/>
      <c r="S17" s="487" t="n"/>
      <c r="T17" s="11" t="n"/>
    </row>
    <row r="18" ht="3" customHeight="1" s="227">
      <c r="A18" s="10" t="n"/>
      <c r="B18" s="280" t="n"/>
      <c r="C18" s="291" t="n"/>
      <c r="D18" s="291" t="n"/>
      <c r="E18" s="291" t="n"/>
      <c r="F18" s="67" t="n"/>
      <c r="G18" s="127" t="n"/>
      <c r="H18" s="127" t="n"/>
      <c r="I18" s="127" t="n"/>
      <c r="J18" s="127" t="n"/>
      <c r="K18" s="277" t="n"/>
      <c r="L18" s="277" t="n"/>
      <c r="M18" s="317" t="n"/>
      <c r="N18" s="127" t="n"/>
      <c r="O18" s="127" t="n"/>
      <c r="P18" s="127" t="n"/>
      <c r="Q18" s="127" t="n"/>
      <c r="R18" s="127" t="n"/>
      <c r="S18" s="143" t="n"/>
      <c r="T18" s="11" t="n"/>
    </row>
    <row r="19" ht="15" customHeight="1" s="227">
      <c r="A19" s="10" t="n"/>
      <c r="B19" s="280" t="inlineStr">
        <is>
          <t>Bağlantı Grubu</t>
        </is>
      </c>
      <c r="F19" s="89" t="inlineStr">
        <is>
          <t>:</t>
        </is>
      </c>
      <c r="G19" s="284" t="inlineStr">
        <is>
          <t>Dyn11</t>
        </is>
      </c>
      <c r="H19" s="486" t="n"/>
      <c r="I19" s="486" t="n"/>
      <c r="J19" s="486" t="n"/>
      <c r="K19" s="277" t="inlineStr">
        <is>
          <t>Kısa Devre Emp.%</t>
        </is>
      </c>
      <c r="N19" s="89" t="inlineStr">
        <is>
          <t>:</t>
        </is>
      </c>
      <c r="O19" s="308" t="n">
        <v>5.61</v>
      </c>
      <c r="P19" s="486" t="n"/>
      <c r="Q19" s="486" t="n"/>
      <c r="R19" s="486" t="n"/>
      <c r="S19" s="487" t="n"/>
      <c r="T19" s="11" t="n"/>
    </row>
    <row r="20" ht="3.75" customHeight="1" s="227">
      <c r="A20" s="10" t="n"/>
      <c r="B20" s="280" t="n"/>
      <c r="C20" s="291" t="n"/>
      <c r="D20" s="291" t="n"/>
      <c r="E20" s="291" t="n"/>
      <c r="F20" s="67" t="n"/>
      <c r="G20" s="127" t="n"/>
      <c r="H20" s="127" t="n"/>
      <c r="I20" s="127" t="n"/>
      <c r="J20" s="127" t="n"/>
      <c r="K20" s="277" t="n"/>
      <c r="L20" s="277" t="n"/>
      <c r="M20" s="317" t="n"/>
      <c r="N20" s="127" t="n"/>
      <c r="O20" s="127" t="n"/>
      <c r="P20" s="127" t="n"/>
      <c r="Q20" s="127" t="n"/>
      <c r="R20" s="127" t="n"/>
      <c r="S20" s="143" t="n"/>
      <c r="T20" s="11" t="n"/>
    </row>
    <row r="21">
      <c r="A21" s="10" t="n"/>
      <c r="B21" s="302" t="inlineStr">
        <is>
          <t>Kazan Tipi</t>
        </is>
      </c>
      <c r="F21" s="67" t="inlineStr">
        <is>
          <t xml:space="preserve">:  </t>
        </is>
      </c>
      <c r="G21" t="inlineStr">
        <is>
          <t>Hermetik</t>
        </is>
      </c>
      <c r="H21" s="212" t="n"/>
      <c r="I21" s="93" t="inlineStr">
        <is>
          <t>ü</t>
        </is>
      </c>
      <c r="K21" s="304" t="inlineStr">
        <is>
          <t>Genleşme Tanklı</t>
        </is>
      </c>
      <c r="M21" s="212" t="n"/>
      <c r="N21" s="93" t="n"/>
      <c r="P21" t="inlineStr">
        <is>
          <t>Kuru Tip</t>
        </is>
      </c>
      <c r="Q21" s="212" t="n"/>
      <c r="R21" s="93" t="n"/>
      <c r="S21" s="212" t="n"/>
      <c r="T21" s="11" t="n"/>
    </row>
    <row r="22" ht="3" customHeight="1" s="227">
      <c r="A22" s="10" t="n"/>
      <c r="B22" s="82" t="n"/>
      <c r="C22" s="83" t="n"/>
      <c r="D22" s="83" t="n"/>
      <c r="E22" s="83" t="n"/>
      <c r="F22" s="50" t="n"/>
      <c r="G22" s="50" t="n"/>
      <c r="H22" s="50" t="n"/>
      <c r="I22" s="50" t="n"/>
      <c r="J22" s="50" t="n"/>
      <c r="K22" s="430" t="n"/>
      <c r="L22" s="430" t="n"/>
      <c r="M22" s="430" t="n"/>
      <c r="N22" s="50" t="n"/>
      <c r="O22" s="50" t="n"/>
      <c r="P22" s="50" t="n"/>
      <c r="Q22" s="50" t="n"/>
      <c r="R22" s="50" t="n"/>
      <c r="S22" s="213" t="n"/>
      <c r="T22" s="11" t="n"/>
    </row>
    <row r="23" ht="3" customHeight="1" s="227">
      <c r="A23" s="10" t="n"/>
      <c r="B23" s="280" t="n"/>
      <c r="C23" s="291" t="n"/>
      <c r="D23" s="291" t="n"/>
      <c r="E23" s="291" t="n"/>
      <c r="F23" s="67" t="n"/>
      <c r="G23" s="127" t="n"/>
      <c r="H23" s="127" t="n"/>
      <c r="I23" s="127" t="n"/>
      <c r="J23" s="127" t="n"/>
      <c r="K23" s="277" t="n"/>
      <c r="L23" s="277" t="n"/>
      <c r="M23" s="317" t="n"/>
      <c r="N23" s="127" t="n"/>
      <c r="O23" s="127" t="n"/>
      <c r="P23" s="127" t="n"/>
      <c r="Q23" s="127" t="n"/>
      <c r="R23" s="127" t="n"/>
      <c r="S23" s="143" t="n"/>
      <c r="T23" s="11" t="n"/>
    </row>
    <row r="24" ht="15.75" customHeight="1" s="227">
      <c r="A24" s="10" t="n"/>
      <c r="B24" s="485" t="inlineStr">
        <is>
          <t>KONTROLLER</t>
        </is>
      </c>
      <c r="C24" s="99" t="n"/>
      <c r="D24" s="99" t="n"/>
      <c r="E24" s="99" t="n"/>
      <c r="F24" s="99" t="n"/>
      <c r="G24" s="99" t="n"/>
      <c r="H24" s="99" t="n"/>
      <c r="I24" s="99" t="n"/>
      <c r="J24" s="99" t="n"/>
      <c r="K24" s="99" t="n"/>
      <c r="L24" s="99" t="n"/>
      <c r="M24" s="99" t="n"/>
      <c r="N24" s="99" t="n"/>
      <c r="O24" s="99" t="n"/>
      <c r="P24" s="99" t="n"/>
      <c r="Q24" s="99" t="n"/>
      <c r="R24" s="99" t="n"/>
      <c r="S24" s="482" t="n"/>
      <c r="T24" s="11" t="n"/>
    </row>
    <row r="25" ht="15" customHeight="1" s="227">
      <c r="A25" s="10" t="n"/>
      <c r="B25" s="3" t="n"/>
      <c r="C25" s="127" t="n"/>
      <c r="D25" s="127" t="n"/>
      <c r="E25" s="127" t="n"/>
      <c r="F25" s="127" t="n"/>
      <c r="G25" s="127" t="n"/>
      <c r="H25" s="127" t="n"/>
      <c r="I25" s="44" t="inlineStr">
        <is>
          <t>Evet</t>
        </is>
      </c>
      <c r="J25" s="44" t="inlineStr">
        <is>
          <t>Hayır</t>
        </is>
      </c>
      <c r="K25" s="127" t="n"/>
      <c r="L25" s="127" t="n"/>
      <c r="M25" s="127" t="n"/>
      <c r="N25" s="127" t="n"/>
      <c r="O25" s="127" t="n"/>
      <c r="P25" s="127" t="n"/>
      <c r="Q25" s="127" t="n"/>
      <c r="R25" s="44" t="inlineStr">
        <is>
          <t>Evet</t>
        </is>
      </c>
      <c r="S25" s="44" t="inlineStr">
        <is>
          <t>Hayır</t>
        </is>
      </c>
      <c r="T25" s="11" t="n"/>
    </row>
    <row r="26" ht="3.75" customHeight="1" s="227">
      <c r="A26" s="10" t="n"/>
      <c r="B26" s="3" t="n"/>
      <c r="C26" s="127" t="n"/>
      <c r="D26" s="127" t="n"/>
      <c r="E26" s="127" t="n"/>
      <c r="F26" s="127" t="n"/>
      <c r="G26" s="127" t="n"/>
      <c r="H26" s="127" t="n"/>
      <c r="I26" s="127" t="n"/>
      <c r="J26" s="127" t="n"/>
      <c r="K26" s="127" t="n"/>
      <c r="L26" s="127" t="n"/>
      <c r="M26" s="127" t="n"/>
      <c r="N26" s="127" t="n"/>
      <c r="O26" s="127" t="n"/>
      <c r="P26" s="127" t="n"/>
      <c r="Q26" s="127" t="n"/>
      <c r="R26" s="127" t="n"/>
      <c r="S26" s="143" t="n"/>
      <c r="T26" s="11" t="n"/>
    </row>
    <row r="27">
      <c r="A27" s="10" t="n"/>
      <c r="B27" s="280" t="inlineStr">
        <is>
          <t xml:space="preserve">Trafo Sıcaklık Kontrolü </t>
        </is>
      </c>
      <c r="F27" s="89" t="inlineStr">
        <is>
          <t>:</t>
        </is>
      </c>
      <c r="G27" s="89" t="n">
        <v>30</v>
      </c>
      <c r="H27" s="306" t="inlineStr">
        <is>
          <t>°C</t>
        </is>
      </c>
      <c r="I27" s="93" t="inlineStr">
        <is>
          <t>ü</t>
        </is>
      </c>
      <c r="J27" s="93" t="n"/>
      <c r="K27" s="291" t="inlineStr">
        <is>
          <t>Trafo Temizliği</t>
        </is>
      </c>
      <c r="O27" s="89" t="inlineStr">
        <is>
          <t>:</t>
        </is>
      </c>
      <c r="P27" s="306" t="inlineStr">
        <is>
          <t>-</t>
        </is>
      </c>
      <c r="Q27" s="487" t="n"/>
      <c r="R27" s="93" t="n"/>
      <c r="S27" s="93" t="n"/>
      <c r="T27" s="11" t="n"/>
    </row>
    <row r="28" ht="3.75" customHeight="1" s="227">
      <c r="A28" s="10" t="n"/>
      <c r="B28" s="70" t="n"/>
      <c r="C28" s="67" t="n"/>
      <c r="D28" s="67" t="n"/>
      <c r="E28" s="67" t="n"/>
      <c r="F28" s="67" t="n"/>
      <c r="G28" s="67" t="n"/>
      <c r="H28" s="67" t="n"/>
      <c r="I28" s="94" t="n"/>
      <c r="J28" s="94" t="n"/>
      <c r="K28" s="67" t="n"/>
      <c r="L28" s="67" t="n"/>
      <c r="M28" s="67" t="n"/>
      <c r="N28" s="67" t="n"/>
      <c r="O28" s="67" t="n"/>
      <c r="P28" s="94" t="n"/>
      <c r="Q28" s="94" t="n"/>
      <c r="R28" s="94" t="n"/>
      <c r="S28" s="120" t="n"/>
      <c r="T28" s="11" t="n"/>
    </row>
    <row r="29">
      <c r="A29" s="10" t="n"/>
      <c r="B29" s="280" t="inlineStr">
        <is>
          <t>Yağ Seviyesi Kontrolü</t>
        </is>
      </c>
      <c r="F29" s="89" t="inlineStr">
        <is>
          <t>:</t>
        </is>
      </c>
      <c r="G29" s="306" t="inlineStr">
        <is>
          <t>UYGUN</t>
        </is>
      </c>
      <c r="H29" s="487" t="n"/>
      <c r="I29" s="93" t="inlineStr">
        <is>
          <t>ü</t>
        </is>
      </c>
      <c r="J29" s="93" t="n"/>
      <c r="K29" s="291" t="inlineStr">
        <is>
          <t>Bina Temizliği</t>
        </is>
      </c>
      <c r="O29" s="89" t="inlineStr">
        <is>
          <t>:</t>
        </is>
      </c>
      <c r="P29" s="306" t="inlineStr">
        <is>
          <t>-</t>
        </is>
      </c>
      <c r="Q29" s="487" t="n"/>
      <c r="R29" s="93" t="n"/>
      <c r="S29" s="93" t="n"/>
      <c r="T29" s="11" t="n"/>
    </row>
    <row r="30" ht="3.75" customHeight="1" s="227">
      <c r="A30" s="10" t="n"/>
      <c r="B30" s="70" t="n"/>
      <c r="C30" s="67" t="n"/>
      <c r="D30" s="67" t="n"/>
      <c r="E30" s="67" t="n"/>
      <c r="F30" s="67" t="n"/>
      <c r="G30" s="67" t="n"/>
      <c r="H30" s="67" t="n"/>
      <c r="I30" s="94" t="n"/>
      <c r="J30" s="94" t="n"/>
      <c r="K30" s="67" t="n"/>
      <c r="L30" s="67" t="n"/>
      <c r="M30" s="67" t="n"/>
      <c r="N30" s="67" t="n"/>
      <c r="O30" s="67" t="n"/>
      <c r="P30" s="67" t="n"/>
      <c r="Q30" s="67" t="n"/>
      <c r="R30" s="94" t="n"/>
      <c r="S30" s="120" t="n"/>
      <c r="T30" s="11" t="n"/>
    </row>
    <row r="31">
      <c r="A31" s="10" t="n"/>
      <c r="B31" s="280" t="inlineStr">
        <is>
          <t>DC Redresör Kontrolü</t>
        </is>
      </c>
      <c r="F31" s="89" t="inlineStr">
        <is>
          <t>:</t>
        </is>
      </c>
      <c r="G31" s="306" t="inlineStr">
        <is>
          <t>24 VDC</t>
        </is>
      </c>
      <c r="H31" s="487" t="n"/>
      <c r="I31" s="93" t="inlineStr">
        <is>
          <t>ü</t>
        </is>
      </c>
      <c r="J31" s="93" t="n"/>
      <c r="K31" s="291" t="inlineStr">
        <is>
          <t>Kablo Sıkılık Kontrolü</t>
        </is>
      </c>
      <c r="O31" s="89" t="inlineStr">
        <is>
          <t>:</t>
        </is>
      </c>
      <c r="P31" s="306" t="inlineStr">
        <is>
          <t>UYGUN</t>
        </is>
      </c>
      <c r="Q31" s="487" t="n"/>
      <c r="R31" s="93" t="inlineStr">
        <is>
          <t>ü</t>
        </is>
      </c>
      <c r="S31" s="93" t="n"/>
      <c r="T31" s="11" t="n"/>
    </row>
    <row r="32" ht="3.75" customHeight="1" s="227">
      <c r="A32" s="10" t="n"/>
      <c r="B32" s="70" t="n"/>
      <c r="C32" s="67" t="n"/>
      <c r="D32" s="67" t="n"/>
      <c r="E32" s="67" t="n"/>
      <c r="F32" s="67" t="n"/>
      <c r="G32" s="67" t="n"/>
      <c r="H32" s="67" t="n"/>
      <c r="I32" s="94" t="n"/>
      <c r="J32" s="94" t="n"/>
      <c r="K32" s="67" t="n"/>
      <c r="L32" s="67" t="n"/>
      <c r="M32" s="67" t="n"/>
      <c r="N32" s="67" t="n"/>
      <c r="O32" s="67" t="n"/>
      <c r="P32" s="67" t="n"/>
      <c r="Q32" s="67" t="n"/>
      <c r="R32" s="94" t="n"/>
      <c r="S32" s="120" t="n"/>
      <c r="T32" s="11" t="n"/>
    </row>
    <row r="33">
      <c r="A33" s="10" t="n"/>
      <c r="B33" s="280" t="inlineStr">
        <is>
          <t>Basınç Açma</t>
        </is>
      </c>
      <c r="F33" s="89" t="inlineStr">
        <is>
          <t>:</t>
        </is>
      </c>
      <c r="G33" s="306" t="inlineStr">
        <is>
          <t>UYGUN</t>
        </is>
      </c>
      <c r="H33" s="487" t="n"/>
      <c r="I33" s="93" t="inlineStr">
        <is>
          <t>ü</t>
        </is>
      </c>
      <c r="J33" s="93" t="n"/>
      <c r="K33" s="280" t="inlineStr">
        <is>
          <t>Yağ Kaçağı Kontrolü</t>
        </is>
      </c>
      <c r="O33" s="116" t="inlineStr">
        <is>
          <t xml:space="preserve">: </t>
        </is>
      </c>
      <c r="P33" s="306" t="inlineStr">
        <is>
          <t>UYGUN</t>
        </is>
      </c>
      <c r="Q33" s="487" t="n"/>
      <c r="R33" s="93" t="inlineStr">
        <is>
          <t>ü</t>
        </is>
      </c>
      <c r="S33" s="93" t="n"/>
      <c r="T33" s="11" t="n"/>
    </row>
    <row r="34" ht="3.75" customHeight="1" s="227">
      <c r="A34" s="10" t="n"/>
      <c r="B34" s="70" t="n"/>
      <c r="C34" s="67" t="n"/>
      <c r="D34" s="67" t="n"/>
      <c r="E34" s="67" t="n"/>
      <c r="F34" s="67" t="n"/>
      <c r="G34" s="67" t="n"/>
      <c r="H34" s="67" t="n"/>
      <c r="I34" s="94" t="n"/>
      <c r="J34" s="94" t="n"/>
      <c r="K34" s="70" t="n"/>
      <c r="L34" s="67" t="n"/>
      <c r="M34" s="67" t="n"/>
      <c r="N34" s="67" t="n"/>
      <c r="O34" s="67" t="n"/>
      <c r="P34" s="67" t="n"/>
      <c r="Q34" s="67" t="n"/>
      <c r="R34" s="94" t="n"/>
      <c r="S34" s="120" t="n"/>
      <c r="T34" s="11" t="n"/>
    </row>
    <row r="35">
      <c r="A35" s="10" t="n"/>
      <c r="B35" s="280" t="inlineStr">
        <is>
          <t>Gaz Açma</t>
        </is>
      </c>
      <c r="F35" s="89" t="inlineStr">
        <is>
          <t>:</t>
        </is>
      </c>
      <c r="G35" s="306" t="inlineStr">
        <is>
          <t>UYGUN</t>
        </is>
      </c>
      <c r="H35" s="487" t="n"/>
      <c r="I35" s="93" t="inlineStr">
        <is>
          <t>ü</t>
        </is>
      </c>
      <c r="J35" s="93" t="n"/>
      <c r="K35" s="280" t="inlineStr">
        <is>
          <t>Kademe Conta Kontrolü</t>
        </is>
      </c>
      <c r="O35" s="89" t="inlineStr">
        <is>
          <t>:</t>
        </is>
      </c>
      <c r="P35" s="306" t="inlineStr">
        <is>
          <t>UYGUN</t>
        </is>
      </c>
      <c r="Q35" s="487" t="n"/>
      <c r="R35" s="93" t="inlineStr">
        <is>
          <t>ü</t>
        </is>
      </c>
      <c r="S35" s="93" t="n"/>
      <c r="T35" s="11" t="n"/>
    </row>
    <row r="36" ht="3.75" customHeight="1" s="227">
      <c r="A36" s="10" t="n"/>
      <c r="B36" s="70" t="n"/>
      <c r="C36" s="67" t="n"/>
      <c r="D36" s="67" t="n"/>
      <c r="E36" s="67" t="n"/>
      <c r="F36" s="67" t="n"/>
      <c r="G36" s="67" t="n"/>
      <c r="H36" s="67" t="n"/>
      <c r="I36" s="94" t="n"/>
      <c r="J36" s="94" t="n"/>
      <c r="K36" s="70" t="n"/>
      <c r="L36" s="67" t="n"/>
      <c r="M36" s="67" t="n"/>
      <c r="N36" s="67" t="n"/>
      <c r="O36" s="67" t="n"/>
      <c r="P36" s="67" t="n"/>
      <c r="Q36" s="67" t="n"/>
      <c r="R36" s="94" t="n"/>
      <c r="S36" s="120" t="n"/>
      <c r="T36" s="11" t="n"/>
    </row>
    <row r="37">
      <c r="A37" s="10" t="n"/>
      <c r="B37" s="280" t="inlineStr">
        <is>
          <t>Termik Alarm</t>
        </is>
      </c>
      <c r="F37" s="110" t="inlineStr">
        <is>
          <t>:</t>
        </is>
      </c>
      <c r="G37" s="306" t="inlineStr">
        <is>
          <t>UYGUN</t>
        </is>
      </c>
      <c r="H37" s="487" t="n"/>
      <c r="I37" s="93" t="inlineStr">
        <is>
          <t>ü</t>
        </is>
      </c>
      <c r="J37" s="93" t="n"/>
      <c r="K37" s="247" t="inlineStr">
        <is>
          <t>O.G Conta Kontrolü</t>
        </is>
      </c>
      <c r="O37" s="111" t="inlineStr">
        <is>
          <t>:</t>
        </is>
      </c>
      <c r="P37" s="306" t="inlineStr">
        <is>
          <t>UYGUN</t>
        </is>
      </c>
      <c r="Q37" s="487" t="n"/>
      <c r="R37" s="93" t="inlineStr">
        <is>
          <t>ü</t>
        </is>
      </c>
      <c r="S37" s="93" t="n"/>
      <c r="T37" s="11" t="n"/>
    </row>
    <row r="38" ht="3.75" customHeight="1" s="227">
      <c r="A38" s="10" t="n"/>
      <c r="B38" s="70" t="n"/>
      <c r="C38" s="67" t="n"/>
      <c r="D38" s="67" t="n"/>
      <c r="E38" s="67" t="n"/>
      <c r="F38" s="67" t="n"/>
      <c r="G38" s="67" t="n"/>
      <c r="H38" s="67" t="n"/>
      <c r="I38" s="94" t="n"/>
      <c r="J38" s="94" t="n"/>
      <c r="K38" s="67" t="n"/>
      <c r="L38" s="67" t="n"/>
      <c r="M38" s="67" t="n"/>
      <c r="N38" s="67" t="n"/>
      <c r="O38" s="67" t="n"/>
      <c r="P38" s="94" t="n"/>
      <c r="Q38" s="94" t="n"/>
      <c r="R38" s="94" t="n"/>
      <c r="S38" s="120" t="n"/>
      <c r="T38" s="11" t="n"/>
    </row>
    <row r="39" ht="15" customHeight="1" s="227">
      <c r="A39" s="10" t="n"/>
      <c r="B39" s="280" t="inlineStr">
        <is>
          <t>Termik Açma</t>
        </is>
      </c>
      <c r="F39" s="89" t="inlineStr">
        <is>
          <t>:</t>
        </is>
      </c>
      <c r="G39" s="306" t="inlineStr">
        <is>
          <t>UYGUN</t>
        </is>
      </c>
      <c r="H39" s="487" t="n"/>
      <c r="I39" s="93" t="inlineStr">
        <is>
          <t>ü</t>
        </is>
      </c>
      <c r="J39" s="93" t="n"/>
      <c r="K39" s="291" t="inlineStr">
        <is>
          <t>Kapak Conta Kontrolü</t>
        </is>
      </c>
      <c r="O39" s="89" t="inlineStr">
        <is>
          <t>:</t>
        </is>
      </c>
      <c r="P39" s="306" t="inlineStr">
        <is>
          <t>UYGUN</t>
        </is>
      </c>
      <c r="Q39" s="487" t="n"/>
      <c r="R39" s="93" t="inlineStr">
        <is>
          <t>ü</t>
        </is>
      </c>
      <c r="S39" s="93" t="n"/>
      <c r="T39" s="11" t="n"/>
    </row>
    <row r="40" ht="3.75" customHeight="1" s="227">
      <c r="A40" s="10" t="n"/>
      <c r="B40" s="70" t="n"/>
      <c r="C40" s="67" t="n"/>
      <c r="D40" s="67" t="n"/>
      <c r="E40" s="67" t="n"/>
      <c r="F40" s="67" t="n"/>
      <c r="G40" s="67" t="n"/>
      <c r="H40" s="67" t="n"/>
      <c r="I40" s="94" t="n"/>
      <c r="J40" s="94" t="n"/>
      <c r="K40" s="67" t="n"/>
      <c r="L40" s="67" t="n"/>
      <c r="M40" s="67" t="n"/>
      <c r="N40" s="67" t="n"/>
      <c r="O40" s="67" t="n"/>
      <c r="P40" s="94" t="n"/>
      <c r="Q40" s="94" t="n"/>
      <c r="R40" s="94" t="n"/>
      <c r="S40" s="120" t="n"/>
      <c r="T40" s="11" t="n"/>
    </row>
    <row r="41">
      <c r="A41" s="10" t="n"/>
      <c r="B41" s="247" t="inlineStr">
        <is>
          <t>İzolatör Kontrolü</t>
        </is>
      </c>
      <c r="F41" s="89" t="inlineStr">
        <is>
          <t>:</t>
        </is>
      </c>
      <c r="G41" s="306" t="inlineStr">
        <is>
          <t>UYGUN</t>
        </is>
      </c>
      <c r="H41" s="487" t="n"/>
      <c r="I41" s="93" t="inlineStr">
        <is>
          <t>ü</t>
        </is>
      </c>
      <c r="J41" s="93" t="n"/>
      <c r="K41" s="248" t="inlineStr">
        <is>
          <t>A.G Conta Kontrolü</t>
        </is>
      </c>
      <c r="O41" s="89" t="inlineStr">
        <is>
          <t>:</t>
        </is>
      </c>
      <c r="P41" s="306" t="inlineStr">
        <is>
          <t>UYGUN</t>
        </is>
      </c>
      <c r="Q41" s="487" t="n"/>
      <c r="R41" s="93" t="inlineStr">
        <is>
          <t>ü</t>
        </is>
      </c>
      <c r="S41" s="93" t="n"/>
      <c r="T41" s="11" t="n"/>
    </row>
    <row r="42" ht="3" customHeight="1" s="227">
      <c r="A42" s="10" t="n"/>
      <c r="B42" s="71" t="n"/>
      <c r="C42" s="72" t="n"/>
      <c r="D42" s="72" t="n"/>
      <c r="E42" s="72" t="n"/>
      <c r="F42" s="73" t="n"/>
      <c r="G42" s="73" t="n"/>
      <c r="H42" s="73" t="n"/>
      <c r="I42" s="73" t="n"/>
      <c r="J42" s="73" t="n"/>
      <c r="K42" s="72" t="n"/>
      <c r="L42" s="72" t="n"/>
      <c r="M42" s="72" t="n"/>
      <c r="N42" s="72" t="n"/>
      <c r="O42" s="73" t="n"/>
      <c r="P42" s="73" t="n"/>
      <c r="Q42" s="73" t="n"/>
      <c r="R42" s="73" t="n"/>
      <c r="S42" s="74" t="n"/>
      <c r="T42" s="11" t="n"/>
    </row>
    <row r="43" ht="3" customHeight="1" s="227">
      <c r="A43" s="10" t="n"/>
      <c r="B43" s="485" t="n"/>
      <c r="C43" s="47" t="n"/>
      <c r="D43" s="47" t="n"/>
      <c r="E43" s="47" t="n"/>
      <c r="F43" s="47" t="n"/>
      <c r="G43" s="47" t="n"/>
      <c r="H43" s="47" t="n"/>
      <c r="I43" s="47" t="n"/>
      <c r="J43" s="47" t="n"/>
      <c r="K43" s="47" t="n"/>
      <c r="L43" s="47" t="n"/>
      <c r="M43" s="47" t="n"/>
      <c r="N43" s="47" t="n"/>
      <c r="O43" s="47" t="n"/>
      <c r="P43" s="47" t="n"/>
      <c r="Q43" s="47" t="n"/>
      <c r="R43" s="47" t="n"/>
      <c r="S43" s="211" t="n"/>
      <c r="T43" s="11" t="n"/>
    </row>
    <row r="44" ht="15.75" customHeight="1" s="227">
      <c r="A44" s="10" t="n"/>
      <c r="B44" s="62" t="n"/>
      <c r="S44" s="212" t="n"/>
      <c r="T44" s="11" t="n"/>
      <c r="V44" s="485" t="inlineStr">
        <is>
          <t>ÇEVİRME ORANI  ( TTR )</t>
        </is>
      </c>
      <c r="W44" s="99" t="n"/>
      <c r="X44" s="99" t="n"/>
      <c r="Y44" s="99" t="n"/>
      <c r="Z44" s="99" t="n"/>
      <c r="AA44" s="99" t="n"/>
      <c r="AB44" s="99" t="n"/>
      <c r="AC44" s="99" t="n"/>
      <c r="AD44" s="482" t="n"/>
      <c r="AF44" s="485" t="inlineStr">
        <is>
          <t>ÇEVİRME ORANI  ( TTR )</t>
        </is>
      </c>
      <c r="AG44" s="99" t="n"/>
      <c r="AH44" s="99" t="n"/>
      <c r="AI44" s="99" t="n"/>
      <c r="AJ44" s="99" t="n"/>
      <c r="AK44" s="99" t="n"/>
      <c r="AL44" s="99" t="n"/>
      <c r="AM44" s="99" t="n"/>
      <c r="AN44" s="482" t="n"/>
    </row>
    <row r="45" ht="3" customHeight="1" s="227">
      <c r="A45" s="10" t="n"/>
      <c r="B45" s="62" t="n"/>
      <c r="S45" s="212" t="n"/>
      <c r="T45" s="11" t="n"/>
      <c r="V45" s="3" t="n"/>
      <c r="W45" s="127" t="n"/>
      <c r="X45" s="127" t="n"/>
      <c r="Y45" s="39" t="n"/>
      <c r="Z45" s="127" t="n"/>
      <c r="AA45" s="127" t="n"/>
      <c r="AB45" s="39" t="n"/>
      <c r="AC45" s="127" t="n"/>
      <c r="AD45" s="143" t="n"/>
      <c r="AF45" s="3" t="n"/>
      <c r="AG45" s="127" t="n"/>
      <c r="AH45" s="127" t="n"/>
      <c r="AI45" s="39" t="n"/>
      <c r="AJ45" s="127" t="n"/>
      <c r="AK45" s="127" t="n"/>
      <c r="AL45" s="39" t="n"/>
      <c r="AM45" s="127" t="n"/>
      <c r="AN45" s="143" t="n"/>
    </row>
    <row r="46">
      <c r="A46" s="10" t="n"/>
      <c r="B46" s="62" t="n"/>
      <c r="S46" s="212" t="n"/>
      <c r="T46" s="11" t="n"/>
      <c r="V46" s="489" t="inlineStr">
        <is>
          <t>AB / an</t>
        </is>
      </c>
      <c r="W46" s="50" t="n"/>
      <c r="X46" s="213" t="n"/>
      <c r="Y46" s="312" t="inlineStr">
        <is>
          <t>BC / bn</t>
        </is>
      </c>
      <c r="Z46" s="50" t="n"/>
      <c r="AA46" s="213" t="n"/>
      <c r="AB46" s="489" t="inlineStr">
        <is>
          <t>CA / cn</t>
        </is>
      </c>
      <c r="AC46" s="50" t="n"/>
      <c r="AD46" s="213" t="n"/>
      <c r="AF46" s="489" t="inlineStr">
        <is>
          <t>AB / an</t>
        </is>
      </c>
      <c r="AG46" s="50" t="n"/>
      <c r="AH46" s="213" t="n"/>
      <c r="AI46" s="312" t="inlineStr">
        <is>
          <t>BC / bn</t>
        </is>
      </c>
      <c r="AJ46" s="50" t="n"/>
      <c r="AK46" s="213" t="n"/>
      <c r="AL46" s="489" t="inlineStr">
        <is>
          <t>CA / cn</t>
        </is>
      </c>
      <c r="AM46" s="50" t="n"/>
      <c r="AN46" s="213" t="n"/>
    </row>
    <row r="47" ht="3" customHeight="1" s="227">
      <c r="A47" s="10" t="n"/>
      <c r="B47" s="62" t="n"/>
      <c r="S47" s="212" t="n"/>
      <c r="T47" s="11" t="n"/>
      <c r="V47" s="3" t="n"/>
      <c r="W47" s="127" t="n"/>
      <c r="X47" s="143" t="n"/>
      <c r="Y47" s="127" t="n"/>
      <c r="Z47" s="127" t="n"/>
      <c r="AA47" s="143" t="n"/>
      <c r="AB47" s="127" t="n"/>
      <c r="AC47" s="127" t="n"/>
      <c r="AD47" s="143" t="n"/>
      <c r="AF47" s="3" t="n"/>
      <c r="AG47" s="127" t="n"/>
      <c r="AH47" s="143" t="n"/>
      <c r="AI47" s="127" t="n"/>
      <c r="AJ47" s="127" t="n"/>
      <c r="AK47" s="143" t="n"/>
      <c r="AL47" s="127" t="n"/>
      <c r="AM47" s="127" t="n"/>
      <c r="AN47" s="143" t="n"/>
    </row>
    <row r="48">
      <c r="A48" s="10" t="n"/>
      <c r="B48" s="62" t="n"/>
      <c r="S48" s="212" t="n"/>
      <c r="T48" s="11" t="n"/>
      <c r="V48" s="490">
        <f>V57/1.0525889</f>
        <v/>
      </c>
      <c r="W48" s="486" t="n"/>
      <c r="X48" s="487" t="n"/>
      <c r="Y48" s="490">
        <f>Y57/1.0525889</f>
        <v/>
      </c>
      <c r="Z48" s="486" t="n"/>
      <c r="AA48" s="487" t="n"/>
      <c r="AB48" s="490">
        <f>AB57/1.0525889</f>
        <v/>
      </c>
      <c r="AC48" s="486" t="n"/>
      <c r="AD48" s="487" t="n"/>
      <c r="AF48" s="490">
        <f>AF57/1.045489</f>
        <v/>
      </c>
      <c r="AG48" s="486" t="n"/>
      <c r="AH48" s="487" t="n"/>
      <c r="AI48" s="490">
        <f>AI57/1.045489</f>
        <v/>
      </c>
      <c r="AJ48" s="486" t="n"/>
      <c r="AK48" s="487" t="n"/>
      <c r="AL48" s="490">
        <f>AL57/1.045489</f>
        <v/>
      </c>
      <c r="AM48" s="486" t="n"/>
      <c r="AN48" s="487" t="n"/>
    </row>
    <row r="49" ht="3" customHeight="1" s="227">
      <c r="A49" s="10" t="n"/>
      <c r="B49" s="62" t="n"/>
      <c r="S49" s="212" t="n"/>
      <c r="T49" s="11" t="n"/>
      <c r="V49" s="42" t="n"/>
      <c r="W49" s="43" t="n"/>
      <c r="X49" s="75" t="n"/>
      <c r="Y49" s="42" t="n"/>
      <c r="Z49" s="43" t="n"/>
      <c r="AA49" s="75" t="n"/>
      <c r="AB49" s="43" t="n"/>
      <c r="AC49" s="43" t="n"/>
      <c r="AD49" s="75" t="n"/>
      <c r="AF49" s="42" t="n"/>
      <c r="AG49" s="43" t="n"/>
      <c r="AH49" s="75" t="n"/>
      <c r="AI49" s="42" t="n"/>
      <c r="AJ49" s="43" t="n"/>
      <c r="AK49" s="75" t="n"/>
      <c r="AL49" s="43" t="n"/>
      <c r="AM49" s="43" t="n"/>
      <c r="AN49" s="75" t="n"/>
    </row>
    <row r="50">
      <c r="A50" s="10" t="n"/>
      <c r="B50" s="62" t="n"/>
      <c r="S50" s="212" t="n"/>
      <c r="T50" s="11" t="n"/>
      <c r="V50" s="328" t="inlineStr">
        <is>
          <t xml:space="preserve">Kademe Bilgisi </t>
        </is>
      </c>
      <c r="W50" s="99" t="n"/>
      <c r="X50" s="99" t="n"/>
      <c r="Y50" s="99" t="inlineStr">
        <is>
          <t>:</t>
        </is>
      </c>
      <c r="Z50" s="331" t="inlineStr">
        <is>
          <t>28500 / 400</t>
        </is>
      </c>
      <c r="AA50" s="99" t="n"/>
      <c r="AB50" s="99" t="n"/>
      <c r="AC50" s="99" t="n"/>
      <c r="AD50" s="482" t="n"/>
      <c r="AF50" s="328" t="inlineStr">
        <is>
          <t xml:space="preserve">Kademe Bilgisi </t>
        </is>
      </c>
      <c r="AG50" s="99" t="n"/>
      <c r="AH50" s="99" t="n"/>
      <c r="AI50" s="99" t="inlineStr">
        <is>
          <t>:</t>
        </is>
      </c>
      <c r="AJ50" s="331" t="inlineStr">
        <is>
          <t>33000 / 400</t>
        </is>
      </c>
      <c r="AK50" s="99" t="n"/>
      <c r="AL50" s="99" t="n"/>
      <c r="AM50" s="99" t="n"/>
      <c r="AN50" s="482" t="n"/>
    </row>
    <row r="51" ht="3" customHeight="1" s="227">
      <c r="A51" s="10" t="n"/>
      <c r="B51" s="49" t="n"/>
      <c r="C51" s="50" t="n"/>
      <c r="D51" s="50" t="n"/>
      <c r="E51" s="50" t="n"/>
      <c r="F51" s="50" t="n"/>
      <c r="G51" s="50" t="n"/>
      <c r="H51" s="50" t="n"/>
      <c r="I51" s="50" t="n"/>
      <c r="J51" s="50" t="n"/>
      <c r="K51" s="50" t="n"/>
      <c r="L51" s="50" t="n"/>
      <c r="M51" s="50" t="n"/>
      <c r="N51" s="50" t="n"/>
      <c r="O51" s="50" t="n"/>
      <c r="P51" s="50" t="n"/>
      <c r="Q51" s="50" t="n"/>
      <c r="R51" s="50" t="n"/>
      <c r="S51" s="213" t="n"/>
      <c r="T51" s="11" t="n"/>
    </row>
    <row r="52" ht="3" customHeight="1" s="227">
      <c r="A52" s="10" t="n"/>
      <c r="B52" s="3" t="n"/>
      <c r="C52" s="127" t="n"/>
      <c r="D52" s="127" t="n"/>
      <c r="E52" s="127" t="n"/>
      <c r="F52" s="127" t="n"/>
      <c r="G52" s="127" t="n"/>
      <c r="H52" s="127" t="n"/>
      <c r="I52" s="127" t="n"/>
      <c r="J52" s="127" t="n"/>
      <c r="K52" s="127" t="n"/>
      <c r="L52" s="127" t="n"/>
      <c r="M52" s="127" t="n"/>
      <c r="N52" s="127" t="n"/>
      <c r="O52" s="127" t="n"/>
      <c r="P52" s="127" t="n"/>
      <c r="Q52" s="127" t="n"/>
      <c r="R52" s="127" t="n"/>
      <c r="S52" s="143" t="n"/>
      <c r="T52" s="11" t="n"/>
    </row>
    <row r="53" ht="15.75" customHeight="1" s="227">
      <c r="A53" s="10" t="n"/>
      <c r="B53" s="153" t="n">
        <v>2</v>
      </c>
      <c r="C53" s="154" t="inlineStr">
        <is>
          <t>A</t>
        </is>
      </c>
      <c r="D53" s="323" t="inlineStr">
        <is>
          <t>SARGI DİRENÇLERİ ( Ω )</t>
        </is>
      </c>
      <c r="E53" s="99" t="n"/>
      <c r="F53" s="99" t="n"/>
      <c r="G53" s="99" t="n"/>
      <c r="H53" s="99" t="n"/>
      <c r="I53" s="154" t="n">
        <v>50</v>
      </c>
      <c r="J53" s="155" t="inlineStr">
        <is>
          <t>A</t>
        </is>
      </c>
      <c r="K53" s="485" t="inlineStr">
        <is>
          <t>ÇEVİRME ORANI  ( TTR )</t>
        </is>
      </c>
      <c r="L53" s="99" t="n"/>
      <c r="M53" s="99" t="n"/>
      <c r="N53" s="99" t="n"/>
      <c r="O53" s="99" t="n"/>
      <c r="P53" s="99" t="n"/>
      <c r="Q53" s="99" t="n"/>
      <c r="R53" s="99" t="n"/>
      <c r="S53" s="482" t="n"/>
      <c r="T53" s="11" t="n"/>
      <c r="V53" s="485" t="inlineStr">
        <is>
          <t>ÇEVİRME ORANI  ( TTR )</t>
        </is>
      </c>
      <c r="W53" s="99" t="n"/>
      <c r="X53" s="99" t="n"/>
      <c r="Y53" s="99" t="n"/>
      <c r="Z53" s="99" t="n"/>
      <c r="AA53" s="99" t="n"/>
      <c r="AB53" s="99" t="n"/>
      <c r="AC53" s="99" t="n"/>
      <c r="AD53" s="482" t="n"/>
      <c r="AF53" s="485" t="inlineStr">
        <is>
          <t>ÇEVİRME ORANI  ( TTR )</t>
        </is>
      </c>
      <c r="AG53" s="99" t="n"/>
      <c r="AH53" s="99" t="n"/>
      <c r="AI53" s="99" t="n"/>
      <c r="AJ53" s="99" t="n"/>
      <c r="AK53" s="99" t="n"/>
      <c r="AL53" s="99" t="n"/>
      <c r="AM53" s="99" t="n"/>
      <c r="AN53" s="482" t="n"/>
    </row>
    <row r="54" ht="3" customHeight="1" s="227">
      <c r="A54" s="10" t="n"/>
      <c r="B54" s="3" t="n"/>
      <c r="C54" s="127" t="n"/>
      <c r="D54" s="127" t="n"/>
      <c r="E54" s="127" t="n"/>
      <c r="F54" s="127" t="n"/>
      <c r="G54" s="127" t="n"/>
      <c r="H54" s="127" t="n"/>
      <c r="I54" s="127" t="n"/>
      <c r="J54" s="143" t="n"/>
      <c r="K54" s="3" t="n"/>
      <c r="L54" s="127" t="n"/>
      <c r="M54" s="127" t="n"/>
      <c r="N54" s="39" t="n"/>
      <c r="O54" s="127" t="n"/>
      <c r="P54" s="127" t="n"/>
      <c r="Q54" s="39" t="n"/>
      <c r="R54" s="127" t="n"/>
      <c r="S54" s="143" t="n"/>
      <c r="T54" s="11" t="n"/>
      <c r="V54" s="3" t="n"/>
      <c r="W54" s="127" t="n"/>
      <c r="X54" s="127" t="n"/>
      <c r="Y54" s="39" t="n"/>
      <c r="Z54" s="127" t="n"/>
      <c r="AA54" s="127" t="n"/>
      <c r="AB54" s="39" t="n"/>
      <c r="AC54" s="127" t="n"/>
      <c r="AD54" s="143" t="n"/>
      <c r="AF54" s="3" t="n"/>
      <c r="AG54" s="127" t="n"/>
      <c r="AH54" s="127" t="n"/>
      <c r="AI54" s="39" t="n"/>
      <c r="AJ54" s="127" t="n"/>
      <c r="AK54" s="127" t="n"/>
      <c r="AL54" s="39" t="n"/>
      <c r="AM54" s="127" t="n"/>
      <c r="AN54" s="143" t="n"/>
    </row>
    <row r="55" ht="15" customHeight="1" s="227">
      <c r="A55" s="10" t="n"/>
      <c r="B55" s="76" t="inlineStr">
        <is>
          <t>RAB  :</t>
        </is>
      </c>
      <c r="C55" s="491" t="n">
        <v>9.35</v>
      </c>
      <c r="D55" s="486" t="n"/>
      <c r="E55" s="486" t="n"/>
      <c r="F55" s="77" t="inlineStr">
        <is>
          <t>Ran  :</t>
        </is>
      </c>
      <c r="G55" s="492" t="n">
        <v>0.0004878</v>
      </c>
      <c r="H55" s="486" t="n"/>
      <c r="I55" s="486" t="n"/>
      <c r="J55" s="487" t="n"/>
      <c r="K55" s="489" t="inlineStr">
        <is>
          <t>AB / an</t>
        </is>
      </c>
      <c r="L55" s="50" t="n"/>
      <c r="M55" s="213" t="n"/>
      <c r="N55" s="312" t="inlineStr">
        <is>
          <t>BC / bn</t>
        </is>
      </c>
      <c r="O55" s="50" t="n"/>
      <c r="P55" s="213" t="n"/>
      <c r="Q55" s="489" t="inlineStr">
        <is>
          <t>CA / cn</t>
        </is>
      </c>
      <c r="R55" s="50" t="n"/>
      <c r="S55" s="213" t="n"/>
      <c r="T55" s="69" t="n"/>
      <c r="V55" s="489" t="inlineStr">
        <is>
          <t>AB / an</t>
        </is>
      </c>
      <c r="W55" s="50" t="n"/>
      <c r="X55" s="213" t="n"/>
      <c r="Y55" s="312" t="inlineStr">
        <is>
          <t>BC / bn</t>
        </is>
      </c>
      <c r="Z55" s="50" t="n"/>
      <c r="AA55" s="213" t="n"/>
      <c r="AB55" s="489" t="inlineStr">
        <is>
          <t>CA / cn</t>
        </is>
      </c>
      <c r="AC55" s="50" t="n"/>
      <c r="AD55" s="213" t="n"/>
      <c r="AF55" s="489" t="inlineStr">
        <is>
          <t>AB / an</t>
        </is>
      </c>
      <c r="AG55" s="50" t="n"/>
      <c r="AH55" s="213" t="n"/>
      <c r="AI55" s="312" t="inlineStr">
        <is>
          <t>BC / bn</t>
        </is>
      </c>
      <c r="AJ55" s="50" t="n"/>
      <c r="AK55" s="213" t="n"/>
      <c r="AL55" s="489" t="inlineStr">
        <is>
          <t>CA / cn</t>
        </is>
      </c>
      <c r="AM55" s="50" t="n"/>
      <c r="AN55" s="213" t="n"/>
    </row>
    <row r="56" ht="3" customHeight="1" s="227">
      <c r="A56" s="10" t="n"/>
      <c r="B56" s="62" t="n"/>
      <c r="C56" s="23" t="n"/>
      <c r="D56" s="23" t="n"/>
      <c r="E56" s="23" t="n"/>
      <c r="G56" s="30" t="n"/>
      <c r="H56" s="30" t="n"/>
      <c r="I56" s="30" t="n"/>
      <c r="J56" s="121" t="n"/>
      <c r="K56" s="3" t="n"/>
      <c r="L56" s="127" t="n"/>
      <c r="M56" s="143" t="n"/>
      <c r="N56" s="127" t="n"/>
      <c r="O56" s="127" t="n"/>
      <c r="P56" s="143" t="n"/>
      <c r="Q56" s="127" t="n"/>
      <c r="R56" s="127" t="n"/>
      <c r="S56" s="143" t="n"/>
      <c r="T56" s="11" t="n"/>
      <c r="V56" s="3" t="n"/>
      <c r="W56" s="127" t="n"/>
      <c r="X56" s="143" t="n"/>
      <c r="Y56" s="127" t="n"/>
      <c r="Z56" s="127" t="n"/>
      <c r="AA56" s="143" t="n"/>
      <c r="AB56" s="127" t="n"/>
      <c r="AC56" s="127" t="n"/>
      <c r="AD56" s="143" t="n"/>
      <c r="AF56" s="3" t="n"/>
      <c r="AG56" s="127" t="n"/>
      <c r="AH56" s="143" t="n"/>
      <c r="AI56" s="127" t="n"/>
      <c r="AJ56" s="127" t="n"/>
      <c r="AK56" s="143" t="n"/>
      <c r="AL56" s="127" t="n"/>
      <c r="AM56" s="127" t="n"/>
      <c r="AN56" s="143" t="n"/>
    </row>
    <row r="57" ht="15" customHeight="1" s="227">
      <c r="A57" s="10" t="n"/>
      <c r="B57" s="76" t="inlineStr">
        <is>
          <t>RAC  :</t>
        </is>
      </c>
      <c r="C57" s="491" t="n">
        <v>9.378299999999999</v>
      </c>
      <c r="D57" s="486" t="n"/>
      <c r="E57" s="486" t="n"/>
      <c r="F57" s="77" t="inlineStr">
        <is>
          <t>Rbn  :</t>
        </is>
      </c>
      <c r="G57" s="492" t="n">
        <v>0.0004699</v>
      </c>
      <c r="H57" s="486" t="n"/>
      <c r="I57" s="486" t="n"/>
      <c r="J57" s="487" t="n"/>
      <c r="K57" s="490" t="n">
        <v>149.574</v>
      </c>
      <c r="L57" s="486" t="n"/>
      <c r="M57" s="487" t="n"/>
      <c r="N57" s="490" t="n">
        <v>149.572</v>
      </c>
      <c r="O57" s="486" t="n"/>
      <c r="P57" s="487" t="n"/>
      <c r="Q57" s="490" t="n">
        <v>149.594</v>
      </c>
      <c r="R57" s="486" t="n"/>
      <c r="S57" s="487" t="n"/>
      <c r="T57" s="11" t="n"/>
      <c r="V57" s="490">
        <f>V66/1.050038</f>
        <v/>
      </c>
      <c r="W57" s="486" t="n"/>
      <c r="X57" s="487" t="n"/>
      <c r="Y57" s="490">
        <f>Y66/1.050038</f>
        <v/>
      </c>
      <c r="Z57" s="486" t="n"/>
      <c r="AA57" s="487" t="n"/>
      <c r="AB57" s="490">
        <f>AB66/1.050038</f>
        <v/>
      </c>
      <c r="AC57" s="486" t="n"/>
      <c r="AD57" s="487" t="n"/>
      <c r="AF57" s="490">
        <f>K57</f>
        <v/>
      </c>
      <c r="AG57" s="486" t="n"/>
      <c r="AH57" s="487" t="n"/>
      <c r="AI57" s="490">
        <f>N57</f>
        <v/>
      </c>
      <c r="AJ57" s="486" t="n"/>
      <c r="AK57" s="487" t="n"/>
      <c r="AL57" s="490">
        <f>Q57</f>
        <v/>
      </c>
      <c r="AM57" s="486" t="n"/>
      <c r="AN57" s="487" t="n"/>
    </row>
    <row r="58" ht="3" customHeight="1" s="227">
      <c r="A58" s="10" t="n"/>
      <c r="B58" s="62" t="n"/>
      <c r="C58" s="23" t="n"/>
      <c r="D58" s="23" t="n"/>
      <c r="E58" s="23" t="n"/>
      <c r="G58" s="30" t="n"/>
      <c r="H58" s="30" t="n"/>
      <c r="I58" s="30" t="n"/>
      <c r="J58" s="121" t="n"/>
      <c r="K58" s="42" t="n"/>
      <c r="L58" s="43" t="n"/>
      <c r="M58" s="75" t="n"/>
      <c r="N58" s="42" t="n"/>
      <c r="O58" s="43" t="n"/>
      <c r="P58" s="75" t="n"/>
      <c r="Q58" s="43" t="n"/>
      <c r="R58" s="43" t="n"/>
      <c r="S58" s="75" t="n"/>
      <c r="T58" s="11" t="n"/>
      <c r="V58" s="42" t="n"/>
      <c r="W58" s="43" t="n"/>
      <c r="X58" s="75" t="n"/>
      <c r="Y58" s="42" t="n"/>
      <c r="Z58" s="43" t="n"/>
      <c r="AA58" s="75" t="n"/>
      <c r="AB58" s="43" t="n"/>
      <c r="AC58" s="43" t="n"/>
      <c r="AD58" s="75" t="n"/>
      <c r="AF58" s="42" t="n"/>
      <c r="AG58" s="43" t="n"/>
      <c r="AH58" s="75" t="n"/>
      <c r="AI58" s="42" t="n"/>
      <c r="AJ58" s="43" t="n"/>
      <c r="AK58" s="75" t="n"/>
      <c r="AL58" s="43" t="n"/>
      <c r="AM58" s="43" t="n"/>
      <c r="AN58" s="75" t="n"/>
    </row>
    <row r="59" ht="17.25" customHeight="1" s="227">
      <c r="A59" s="10" t="n"/>
      <c r="B59" s="76" t="inlineStr">
        <is>
          <t>RBC  :</t>
        </is>
      </c>
      <c r="C59" s="491" t="n">
        <v>9.365500000000001</v>
      </c>
      <c r="D59" s="486" t="n"/>
      <c r="E59" s="486" t="n"/>
      <c r="F59" s="77" t="inlineStr">
        <is>
          <t>Rcn  :</t>
        </is>
      </c>
      <c r="G59" s="492" t="n">
        <v>0.000472</v>
      </c>
      <c r="H59" s="486" t="n"/>
      <c r="I59" s="486" t="n"/>
      <c r="J59" s="487" t="n"/>
      <c r="K59" s="326" t="inlineStr">
        <is>
          <t xml:space="preserve">Kademe Bilgisi </t>
        </is>
      </c>
      <c r="L59" s="47" t="n"/>
      <c r="M59" s="47" t="n"/>
      <c r="N59" s="90" t="inlineStr">
        <is>
          <t>:</t>
        </is>
      </c>
      <c r="O59" s="271" t="n">
        <v>34500</v>
      </c>
      <c r="P59" s="90" t="n"/>
      <c r="Q59" s="133" t="inlineStr">
        <is>
          <t>/</t>
        </is>
      </c>
      <c r="R59" s="138" t="n">
        <v>230.9494</v>
      </c>
      <c r="S59" s="137" t="n"/>
      <c r="T59" s="69" t="n"/>
      <c r="V59" s="328" t="inlineStr">
        <is>
          <t xml:space="preserve">Kademe Bilgisi </t>
        </is>
      </c>
      <c r="W59" s="99" t="n"/>
      <c r="X59" s="99" t="n"/>
      <c r="Y59" s="99" t="inlineStr">
        <is>
          <t>:</t>
        </is>
      </c>
      <c r="Z59" s="331" t="inlineStr">
        <is>
          <t>30000 / 400</t>
        </is>
      </c>
      <c r="AA59" s="99" t="n"/>
      <c r="AB59" s="99" t="n"/>
      <c r="AC59" s="99" t="n"/>
      <c r="AD59" s="482" t="n"/>
      <c r="AF59" s="328" t="inlineStr">
        <is>
          <t xml:space="preserve">Kademe Bilgisi </t>
        </is>
      </c>
      <c r="AG59" s="99" t="n"/>
      <c r="AH59" s="99" t="n"/>
      <c r="AI59" s="99" t="inlineStr">
        <is>
          <t>:</t>
        </is>
      </c>
      <c r="AJ59" s="331" t="inlineStr">
        <is>
          <t>34500 / 400</t>
        </is>
      </c>
      <c r="AK59" s="99" t="n"/>
      <c r="AL59" s="99" t="n"/>
      <c r="AM59" s="99" t="n"/>
      <c r="AN59" s="482" t="n"/>
    </row>
    <row r="60" ht="3" customHeight="1" s="227">
      <c r="A60" s="10" t="n"/>
      <c r="B60" s="42" t="n"/>
      <c r="C60" s="43" t="n"/>
      <c r="D60" s="43" t="n"/>
      <c r="E60" s="43" t="n"/>
      <c r="F60" s="43" t="n"/>
      <c r="G60" s="43" t="n"/>
      <c r="H60" s="43" t="n"/>
      <c r="I60" s="43" t="n"/>
      <c r="J60" s="75" t="n"/>
      <c r="K60" s="493" t="n"/>
      <c r="L60" s="50" t="n"/>
      <c r="M60" s="50" t="n"/>
      <c r="N60" s="50" t="n"/>
      <c r="O60" s="50" t="n"/>
      <c r="P60" s="50" t="n"/>
      <c r="Q60" s="50" t="n"/>
      <c r="R60" s="50" t="n"/>
      <c r="S60" s="213" t="n"/>
      <c r="T60" s="11" t="n"/>
    </row>
    <row r="61" ht="3" customHeight="1" s="227">
      <c r="A61" s="10" t="n"/>
      <c r="B61" s="3" t="n"/>
      <c r="C61" s="127" t="n"/>
      <c r="D61" s="127" t="n"/>
      <c r="E61" s="127" t="n"/>
      <c r="F61" s="127" t="n"/>
      <c r="G61" s="127" t="n"/>
      <c r="H61" s="127" t="n"/>
      <c r="I61" s="127" t="n"/>
      <c r="J61" s="127" t="n"/>
      <c r="K61" s="127" t="n"/>
      <c r="L61" s="127" t="n"/>
      <c r="M61" s="127" t="n"/>
      <c r="N61" s="127" t="n"/>
      <c r="O61" s="127" t="n"/>
      <c r="P61" s="127" t="n"/>
      <c r="Q61" s="127" t="n"/>
      <c r="R61" s="127" t="n"/>
      <c r="S61" s="143" t="n"/>
      <c r="T61" s="11" t="n"/>
    </row>
    <row r="62" ht="15.75" customHeight="1" s="227">
      <c r="A62" s="10" t="n"/>
      <c r="B62" s="485" t="inlineStr">
        <is>
          <t>İZOLASYON (YALITIM) DİRENÇLERİ ( Ω )</t>
        </is>
      </c>
      <c r="C62" s="99" t="n"/>
      <c r="D62" s="99" t="n"/>
      <c r="E62" s="99" t="n"/>
      <c r="F62" s="99" t="n"/>
      <c r="G62" s="99" t="n"/>
      <c r="H62" s="99" t="n"/>
      <c r="I62" s="99" t="n"/>
      <c r="J62" s="99" t="n"/>
      <c r="K62" s="99" t="n"/>
      <c r="L62" s="99" t="n"/>
      <c r="M62" s="99" t="n"/>
      <c r="N62" s="99" t="n"/>
      <c r="O62" s="99" t="n"/>
      <c r="P62" s="99" t="n"/>
      <c r="Q62" s="99" t="n"/>
      <c r="R62" s="99" t="n"/>
      <c r="S62" s="482" t="n"/>
      <c r="T62" s="11" t="n"/>
      <c r="V62" s="485" t="inlineStr">
        <is>
          <t>ÇEVİRME ORANI  ( TTR )</t>
        </is>
      </c>
      <c r="W62" s="99" t="n"/>
      <c r="X62" s="99" t="n"/>
      <c r="Y62" s="99" t="n"/>
      <c r="Z62" s="99" t="n"/>
      <c r="AA62" s="99" t="n"/>
      <c r="AB62" s="99" t="n"/>
      <c r="AC62" s="99" t="n"/>
      <c r="AD62" s="482" t="n"/>
      <c r="AF62" s="485" t="inlineStr">
        <is>
          <t>ÇEVİRME ORANI  ( TTR )</t>
        </is>
      </c>
      <c r="AG62" s="99" t="n"/>
      <c r="AH62" s="99" t="n"/>
      <c r="AI62" s="99" t="n"/>
      <c r="AJ62" s="99" t="n"/>
      <c r="AK62" s="99" t="n"/>
      <c r="AL62" s="99" t="n"/>
      <c r="AM62" s="99" t="n"/>
      <c r="AN62" s="482" t="n"/>
    </row>
    <row r="63" ht="3" customHeight="1" s="227">
      <c r="A63" s="10" t="n"/>
      <c r="B63" s="3" t="n"/>
      <c r="C63" s="127" t="n"/>
      <c r="D63" s="127" t="n"/>
      <c r="E63" s="127" t="n"/>
      <c r="F63" s="127" t="n"/>
      <c r="G63" s="23" t="n"/>
      <c r="H63" s="127" t="n"/>
      <c r="I63" s="127" t="n"/>
      <c r="J63" s="127" t="n"/>
      <c r="K63" s="127" t="n"/>
      <c r="L63" s="127" t="n"/>
      <c r="M63" s="127" t="n"/>
      <c r="N63" s="127" t="n"/>
      <c r="O63" s="127" t="n"/>
      <c r="P63" s="127" t="n"/>
      <c r="Q63" s="127" t="n"/>
      <c r="R63" s="127" t="n"/>
      <c r="S63" s="143" t="n"/>
      <c r="T63" s="11" t="n"/>
      <c r="V63" s="3" t="n"/>
      <c r="W63" s="127" t="n"/>
      <c r="X63" s="127" t="n"/>
      <c r="Y63" s="39" t="n"/>
      <c r="Z63" s="127" t="n"/>
      <c r="AA63" s="127" t="n"/>
      <c r="AB63" s="39" t="n"/>
      <c r="AC63" s="127" t="n"/>
      <c r="AD63" s="143" t="n"/>
      <c r="AF63" s="3" t="n"/>
      <c r="AG63" s="127" t="n"/>
      <c r="AH63" s="127" t="n"/>
      <c r="AI63" s="39" t="n"/>
      <c r="AJ63" s="127" t="n"/>
      <c r="AK63" s="127" t="n"/>
      <c r="AL63" s="39" t="n"/>
      <c r="AM63" s="127" t="n"/>
      <c r="AN63" s="143" t="n"/>
    </row>
    <row r="64">
      <c r="A64" s="10" t="n"/>
      <c r="B64" s="3" t="n"/>
      <c r="C64" s="127" t="n"/>
      <c r="D64" s="127" t="n"/>
      <c r="E64" s="127" t="n"/>
      <c r="F64" s="316" t="inlineStr">
        <is>
          <t>30 sn</t>
        </is>
      </c>
      <c r="H64" s="127" t="n"/>
      <c r="I64" s="316" t="inlineStr">
        <is>
          <t>45 sn</t>
        </is>
      </c>
      <c r="K64" s="127" t="n"/>
      <c r="L64" s="316" t="inlineStr">
        <is>
          <t>60 sn</t>
        </is>
      </c>
      <c r="O64" s="317" t="inlineStr">
        <is>
          <t>Birim</t>
        </is>
      </c>
      <c r="Q64" s="319" t="inlineStr">
        <is>
          <t xml:space="preserve">       DAR</t>
        </is>
      </c>
      <c r="S64" s="212" t="n"/>
      <c r="T64" s="11" t="n"/>
      <c r="V64" s="489" t="inlineStr">
        <is>
          <t>AB / an</t>
        </is>
      </c>
      <c r="W64" s="50" t="n"/>
      <c r="X64" s="213" t="n"/>
      <c r="Y64" s="312" t="inlineStr">
        <is>
          <t>BC / bn</t>
        </is>
      </c>
      <c r="Z64" s="50" t="n"/>
      <c r="AA64" s="213" t="n"/>
      <c r="AB64" s="489" t="inlineStr">
        <is>
          <t>CA / cn</t>
        </is>
      </c>
      <c r="AC64" s="50" t="n"/>
      <c r="AD64" s="213" t="n"/>
      <c r="AF64" s="489" t="inlineStr">
        <is>
          <t>AB / an</t>
        </is>
      </c>
      <c r="AG64" s="50" t="n"/>
      <c r="AH64" s="213" t="n"/>
      <c r="AI64" s="312" t="inlineStr">
        <is>
          <t>BC / bn</t>
        </is>
      </c>
      <c r="AJ64" s="50" t="n"/>
      <c r="AK64" s="213" t="n"/>
      <c r="AL64" s="489" t="inlineStr">
        <is>
          <t>CA / cn</t>
        </is>
      </c>
      <c r="AM64" s="50" t="n"/>
      <c r="AN64" s="213" t="n"/>
    </row>
    <row r="65" ht="3" customHeight="1" s="227">
      <c r="A65" s="10" t="n"/>
      <c r="B65" s="53" t="n"/>
      <c r="C65" s="54" t="n"/>
      <c r="D65" s="54" t="n"/>
      <c r="E65" s="54" t="n"/>
      <c r="F65" s="54" t="n"/>
      <c r="G65" s="54" t="n"/>
      <c r="H65" s="54" t="n"/>
      <c r="I65" s="54" t="n"/>
      <c r="J65" s="54" t="n"/>
      <c r="K65" s="54" t="n"/>
      <c r="L65" s="54" t="n"/>
      <c r="M65" s="54" t="n"/>
      <c r="N65" s="54" t="n"/>
      <c r="O65" s="54" t="n"/>
      <c r="P65" s="54" t="n"/>
      <c r="Q65" s="54" t="n"/>
      <c r="R65" s="54" t="n"/>
      <c r="S65" s="55" t="n"/>
      <c r="T65" s="11" t="n"/>
      <c r="V65" s="3" t="n"/>
      <c r="W65" s="127" t="n"/>
      <c r="X65" s="143" t="n"/>
      <c r="Y65" s="127" t="n"/>
      <c r="Z65" s="127" t="n"/>
      <c r="AA65" s="143" t="n"/>
      <c r="AB65" s="127" t="n"/>
      <c r="AC65" s="127" t="n"/>
      <c r="AD65" s="143" t="n"/>
      <c r="AF65" s="3" t="n"/>
      <c r="AG65" s="127" t="n"/>
      <c r="AH65" s="143" t="n"/>
      <c r="AI65" s="127" t="n"/>
      <c r="AJ65" s="127" t="n"/>
      <c r="AK65" s="143" t="n"/>
      <c r="AL65" s="127" t="n"/>
      <c r="AM65" s="127" t="n"/>
      <c r="AN65" s="143" t="n"/>
    </row>
    <row r="66" ht="15" customHeight="1" s="227">
      <c r="A66" s="10" t="n"/>
      <c r="B66" s="273" t="inlineStr">
        <is>
          <t>Y.G - TANK</t>
        </is>
      </c>
      <c r="E66" s="336" t="n"/>
      <c r="F66" s="275" t="n">
        <v>54.6</v>
      </c>
      <c r="G66" s="486" t="n"/>
      <c r="H66" s="112" t="n"/>
      <c r="I66" s="275" t="n">
        <v>60.3</v>
      </c>
      <c r="J66" s="486" t="n"/>
      <c r="K66" s="112" t="n"/>
      <c r="L66" s="275" t="n">
        <v>64.7</v>
      </c>
      <c r="M66" s="486" t="n"/>
      <c r="N66" s="336" t="n"/>
      <c r="O66" s="59" t="inlineStr">
        <is>
          <t>G</t>
        </is>
      </c>
      <c r="P66" s="95" t="inlineStr">
        <is>
          <t>Ω</t>
        </is>
      </c>
      <c r="Q66" s="272">
        <f>L66/F66</f>
        <v/>
      </c>
      <c r="R66" s="486" t="n"/>
      <c r="S66" s="109" t="n"/>
      <c r="T66" s="11" t="n"/>
      <c r="V66" s="490">
        <f>AF48/1.04758</f>
        <v/>
      </c>
      <c r="W66" s="486" t="n"/>
      <c r="X66" s="487" t="n"/>
      <c r="Y66" s="490">
        <f>AI48/1.04758</f>
        <v/>
      </c>
      <c r="Z66" s="486" t="n"/>
      <c r="AA66" s="487" t="n"/>
      <c r="AB66" s="490">
        <f>AL48/1.04758</f>
        <v/>
      </c>
      <c r="AC66" s="486" t="n"/>
      <c r="AD66" s="487" t="n"/>
      <c r="AF66" s="490">
        <f>AF57*1.043443</f>
        <v/>
      </c>
      <c r="AG66" s="486" t="n"/>
      <c r="AH66" s="487" t="n"/>
      <c r="AI66" s="490">
        <f>AI57*1.043443</f>
        <v/>
      </c>
      <c r="AJ66" s="486" t="n"/>
      <c r="AK66" s="487" t="n"/>
      <c r="AL66" s="490">
        <f>AL57*1.043443</f>
        <v/>
      </c>
      <c r="AM66" s="486" t="n"/>
      <c r="AN66" s="487" t="n"/>
    </row>
    <row r="67" ht="3" customHeight="1" s="227">
      <c r="A67" s="10" t="n"/>
      <c r="B67" s="84" t="n"/>
      <c r="C67" s="85" t="n"/>
      <c r="D67" s="85" t="n"/>
      <c r="E67" s="127" t="n"/>
      <c r="F67" s="113" t="n"/>
      <c r="G67" s="113" t="n"/>
      <c r="H67" s="113" t="n"/>
      <c r="I67" s="113" t="n"/>
      <c r="J67" s="113" t="n"/>
      <c r="K67" s="113" t="n"/>
      <c r="L67" s="113" t="n"/>
      <c r="M67" s="113" t="n"/>
      <c r="N67" s="127" t="n"/>
      <c r="O67" s="59" t="n"/>
      <c r="P67" s="96" t="n"/>
      <c r="Q67" s="107" t="n"/>
      <c r="R67" s="107" t="n"/>
      <c r="S67" s="108" t="n"/>
      <c r="T67" s="11" t="n"/>
      <c r="V67" s="42" t="n"/>
      <c r="W67" s="43" t="n"/>
      <c r="X67" s="75" t="n"/>
      <c r="Y67" s="42" t="n"/>
      <c r="Z67" s="43" t="n"/>
      <c r="AA67" s="75" t="n"/>
      <c r="AB67" s="43" t="n"/>
      <c r="AC67" s="43" t="n"/>
      <c r="AD67" s="75" t="n"/>
      <c r="AF67" s="42" t="n"/>
      <c r="AG67" s="43" t="n"/>
      <c r="AH67" s="75" t="n"/>
      <c r="AI67" s="42" t="n"/>
      <c r="AJ67" s="43" t="n"/>
      <c r="AK67" s="75" t="n"/>
      <c r="AL67" s="43" t="n"/>
      <c r="AM67" s="43" t="n"/>
      <c r="AN67" s="75" t="n"/>
    </row>
    <row r="68" ht="15.75" customHeight="1" s="227">
      <c r="A68" s="10" t="n"/>
      <c r="B68" s="273" t="inlineStr">
        <is>
          <t>A.G - TANK</t>
        </is>
      </c>
      <c r="E68" s="127" t="n"/>
      <c r="F68" s="275" t="n">
        <v>37.7</v>
      </c>
      <c r="G68" s="486" t="n"/>
      <c r="H68" s="113" t="n"/>
      <c r="I68" s="275" t="n">
        <v>44.4</v>
      </c>
      <c r="J68" s="486" t="n"/>
      <c r="K68" s="113" t="n"/>
      <c r="L68" s="275" t="n">
        <v>48.8</v>
      </c>
      <c r="M68" s="486" t="n"/>
      <c r="N68" s="45" t="n"/>
      <c r="O68" s="59" t="inlineStr">
        <is>
          <t>G</t>
        </is>
      </c>
      <c r="P68" s="95" t="inlineStr">
        <is>
          <t>Ω</t>
        </is>
      </c>
      <c r="Q68" s="272">
        <f>L68/F68</f>
        <v/>
      </c>
      <c r="R68" s="486" t="n"/>
      <c r="S68" s="109" t="n"/>
      <c r="T68" s="11" t="n"/>
      <c r="V68" s="328" t="inlineStr">
        <is>
          <t xml:space="preserve">Kademe Bilgisi </t>
        </is>
      </c>
      <c r="W68" s="99" t="n"/>
      <c r="X68" s="99" t="n"/>
      <c r="Y68" s="99" t="inlineStr">
        <is>
          <t>:</t>
        </is>
      </c>
      <c r="Z68" s="331" t="inlineStr">
        <is>
          <t>31500 / 400</t>
        </is>
      </c>
      <c r="AA68" s="99" t="n"/>
      <c r="AB68" s="99" t="n"/>
      <c r="AC68" s="99" t="n"/>
      <c r="AD68" s="482" t="n"/>
      <c r="AF68" s="328" t="inlineStr">
        <is>
          <t xml:space="preserve">Kademe Bilgisi </t>
        </is>
      </c>
      <c r="AG68" s="99" t="n"/>
      <c r="AH68" s="99" t="n"/>
      <c r="AI68" s="99" t="inlineStr">
        <is>
          <t>:</t>
        </is>
      </c>
      <c r="AJ68" s="331" t="inlineStr">
        <is>
          <t>36000 / 400</t>
        </is>
      </c>
      <c r="AK68" s="99" t="n"/>
      <c r="AL68" s="99" t="n"/>
      <c r="AM68" s="99" t="n"/>
      <c r="AN68" s="482" t="n"/>
    </row>
    <row r="69" ht="3" customHeight="1" s="227">
      <c r="A69" s="10" t="n"/>
      <c r="B69" s="273" t="n"/>
      <c r="C69" s="85" t="n"/>
      <c r="D69" s="85" t="n"/>
      <c r="E69" s="127" t="n"/>
      <c r="F69" s="113" t="n"/>
      <c r="G69" s="113" t="n"/>
      <c r="H69" s="113" t="n"/>
      <c r="I69" s="113" t="n"/>
      <c r="J69" s="113" t="n"/>
      <c r="K69" s="113" t="n"/>
      <c r="L69" s="113" t="n"/>
      <c r="M69" s="113" t="n"/>
      <c r="N69" s="45" t="n"/>
      <c r="O69" s="59" t="n"/>
      <c r="P69" s="97" t="n"/>
      <c r="Q69" s="107" t="n"/>
      <c r="R69" s="107" t="n"/>
      <c r="S69" s="108" t="n"/>
      <c r="T69" s="11" t="n"/>
    </row>
    <row r="70" ht="15.75" customHeight="1" s="227">
      <c r="A70" s="10" t="n"/>
      <c r="B70" s="273" t="inlineStr">
        <is>
          <t>Y.G - A.G</t>
        </is>
      </c>
      <c r="E70" s="127" t="n"/>
      <c r="F70" s="275" t="n">
        <v>57.8</v>
      </c>
      <c r="G70" s="486" t="n"/>
      <c r="H70" s="113" t="n"/>
      <c r="I70" s="275" t="n">
        <v>63.3</v>
      </c>
      <c r="J70" s="486" t="n"/>
      <c r="K70" s="113" t="n"/>
      <c r="L70" s="275" t="n">
        <v>68.8</v>
      </c>
      <c r="M70" s="486" t="n"/>
      <c r="N70" s="127" t="n"/>
      <c r="O70" s="59" t="inlineStr">
        <is>
          <t>G</t>
        </is>
      </c>
      <c r="P70" s="95" t="inlineStr">
        <is>
          <t>Ω</t>
        </is>
      </c>
      <c r="Q70" s="272">
        <f>L70/F70</f>
        <v/>
      </c>
      <c r="R70" s="486" t="n"/>
      <c r="S70" s="109" t="n"/>
      <c r="T70" s="11" t="n"/>
    </row>
    <row r="71" ht="3" customHeight="1" s="227">
      <c r="A71" s="10" t="n"/>
      <c r="B71" s="87" t="n"/>
      <c r="C71" s="88" t="n"/>
      <c r="D71" s="88" t="n"/>
      <c r="E71" s="43" t="n"/>
      <c r="F71" s="43" t="n"/>
      <c r="G71" s="43" t="n"/>
      <c r="H71" s="43" t="n"/>
      <c r="I71" s="43" t="n"/>
      <c r="J71" s="43" t="n"/>
      <c r="K71" s="43" t="n"/>
      <c r="L71" s="43" t="n"/>
      <c r="M71" s="43" t="n"/>
      <c r="N71" s="43" t="n"/>
      <c r="O71" s="50" t="n"/>
      <c r="P71" s="78" t="n"/>
      <c r="Q71" s="311" t="n"/>
      <c r="R71" s="311" t="n"/>
      <c r="S71" s="312" t="n"/>
      <c r="T71" s="11" t="n"/>
    </row>
    <row r="72" ht="3" customHeight="1" s="227">
      <c r="A72" s="10" t="n"/>
      <c r="B72" s="115" t="n"/>
      <c r="C72" s="52" t="n"/>
      <c r="D72" s="52" t="n"/>
      <c r="E72" s="52" t="n"/>
      <c r="F72" s="52" t="n"/>
      <c r="G72" s="52" t="n"/>
      <c r="H72" s="52" t="n"/>
      <c r="I72" s="52" t="n"/>
      <c r="J72" s="52" t="n"/>
      <c r="K72" s="52" t="n"/>
      <c r="L72" s="52" t="n"/>
      <c r="M72" s="52" t="n"/>
      <c r="N72" s="52" t="n"/>
      <c r="O72" s="52" t="n"/>
      <c r="P72" s="52" t="n"/>
      <c r="Q72" s="52" t="n"/>
      <c r="R72" s="52" t="n"/>
      <c r="S72" s="129" t="n"/>
      <c r="T72" s="11" t="n"/>
    </row>
    <row r="73" ht="15.75" customHeight="1" s="227">
      <c r="A73" s="10" t="n"/>
      <c r="B73" s="494" t="inlineStr">
        <is>
          <t>NOTLAR : Test sonuçlarının değerlendirilmesi kapak sayfasında yapılmıştır.</t>
        </is>
      </c>
      <c r="S73" s="212" t="n"/>
      <c r="T73" s="11" t="n"/>
    </row>
    <row r="74" ht="15" customHeight="1" s="227">
      <c r="A74" s="10" t="n"/>
      <c r="B74" s="62" t="n"/>
      <c r="S74" s="212" t="n"/>
      <c r="T74" s="11" t="n"/>
    </row>
    <row r="75" ht="15.75" customHeight="1" s="227">
      <c r="A75" s="10" t="n"/>
      <c r="B75" s="62" t="n"/>
      <c r="S75" s="212" t="n"/>
      <c r="T75" s="11" t="n"/>
    </row>
    <row r="76" ht="15.75" customHeight="1" s="227">
      <c r="A76" s="10" t="n"/>
      <c r="B76" s="62" t="n"/>
      <c r="S76" s="212" t="n"/>
      <c r="T76" s="11" t="n"/>
      <c r="U76" s="10" t="n"/>
    </row>
    <row r="77" ht="4.5" customHeight="1" s="227">
      <c r="A77" s="10" t="n"/>
      <c r="B77" s="181" t="n"/>
      <c r="C77" s="209" t="n"/>
      <c r="D77" s="209" t="n"/>
      <c r="E77" s="209" t="n"/>
      <c r="F77" s="209" t="n"/>
      <c r="G77" s="209" t="n"/>
      <c r="H77" s="209" t="n"/>
      <c r="I77" s="209" t="n"/>
      <c r="J77" s="209" t="n"/>
      <c r="K77" s="209" t="n"/>
      <c r="L77" s="209" t="n"/>
      <c r="M77" s="209" t="n"/>
      <c r="N77" s="209" t="n"/>
      <c r="O77" s="209" t="n"/>
      <c r="P77" s="209" t="n"/>
      <c r="Q77" s="209" t="n"/>
      <c r="R77" s="209" t="n"/>
      <c r="S77" s="183" t="n"/>
      <c r="T77" s="11" t="n"/>
    </row>
    <row r="78" ht="16.5" customHeight="1" s="227">
      <c r="A78" s="10" t="n"/>
      <c r="B78" s="495" t="n"/>
      <c r="C78" s="99" t="n"/>
      <c r="D78" s="99" t="n"/>
      <c r="E78" s="99" t="n"/>
      <c r="F78" s="99" t="n"/>
      <c r="G78" s="99" t="n"/>
      <c r="H78" s="99" t="n"/>
      <c r="I78" s="99" t="n"/>
      <c r="J78" s="482" t="n"/>
      <c r="K78" s="440" t="inlineStr">
        <is>
          <t>ONAYLAYAN</t>
        </is>
      </c>
      <c r="L78" s="99" t="n"/>
      <c r="M78" s="99" t="n"/>
      <c r="N78" s="99" t="n"/>
      <c r="O78" s="99" t="n"/>
      <c r="P78" s="99" t="n"/>
      <c r="Q78" s="99" t="n"/>
      <c r="R78" s="99" t="n"/>
      <c r="S78" s="482" t="n"/>
      <c r="T78" s="11" t="n"/>
    </row>
    <row r="79" ht="16.5" customHeight="1" s="227">
      <c r="A79" s="10" t="n"/>
      <c r="B79" s="267" t="inlineStr">
        <is>
          <t>Test Tarihi</t>
        </is>
      </c>
      <c r="E79" s="160" t="inlineStr">
        <is>
          <t>:</t>
        </is>
      </c>
      <c r="F79" s="270">
        <f>'KAPAK SAYFASI'!D53</f>
        <v/>
      </c>
      <c r="J79" s="212" t="n"/>
      <c r="K79" s="161" t="n"/>
      <c r="L79" s="162" t="n"/>
      <c r="M79" s="160" t="n"/>
      <c r="N79" s="496" t="n"/>
      <c r="O79" s="496" t="n"/>
      <c r="P79" s="496" t="n"/>
      <c r="Q79" s="496" t="n"/>
      <c r="R79" s="496" t="n"/>
      <c r="S79" s="497" t="n"/>
      <c r="T79" s="11" t="n"/>
    </row>
    <row r="80" ht="16.5" customHeight="1" s="227">
      <c r="A80" s="10" t="n"/>
      <c r="B80" s="267" t="inlineStr">
        <is>
          <t>Rapor Tarihi</t>
        </is>
      </c>
      <c r="E80" s="160" t="inlineStr">
        <is>
          <t>:</t>
        </is>
      </c>
      <c r="F80" s="498">
        <f>'KAPAK SAYFASI'!D54</f>
        <v/>
      </c>
      <c r="J80" s="212" t="n"/>
      <c r="K80" s="161" t="n"/>
      <c r="L80" s="162" t="n"/>
      <c r="M80" s="160" t="n"/>
      <c r="N80" s="160" t="n"/>
      <c r="O80" s="160" t="n"/>
      <c r="P80" s="160" t="n"/>
      <c r="Q80" s="160" t="n"/>
      <c r="R80" s="160" t="n"/>
      <c r="S80" s="170" t="n"/>
      <c r="T80" s="11" t="n"/>
    </row>
    <row r="81" ht="16.5" customHeight="1" s="227">
      <c r="A81" s="10" t="n"/>
      <c r="B81" s="267" t="inlineStr">
        <is>
          <t>Unvan</t>
        </is>
      </c>
      <c r="E81" s="160" t="inlineStr">
        <is>
          <t>:</t>
        </is>
      </c>
      <c r="F81" s="344" t="inlineStr">
        <is>
          <t>Elektrik Mühendisi</t>
        </is>
      </c>
      <c r="J81" s="212" t="n"/>
      <c r="K81" s="162" t="n"/>
      <c r="L81" s="277" t="n"/>
      <c r="M81" s="160" t="n"/>
      <c r="N81" s="157" t="n"/>
      <c r="O81" s="157" t="n"/>
      <c r="P81" s="157" t="n"/>
      <c r="Q81" s="157" t="n"/>
      <c r="R81" s="157" t="n"/>
      <c r="S81" s="158" t="n"/>
      <c r="T81" s="11" t="n"/>
    </row>
    <row r="82" ht="16.5" customHeight="1" s="227">
      <c r="A82" s="10" t="n"/>
      <c r="B82" s="236" t="n"/>
      <c r="C82" s="237" t="n"/>
      <c r="D82" s="237" t="n"/>
      <c r="E82" s="237" t="n"/>
      <c r="F82" s="237" t="n"/>
      <c r="G82" s="237" t="n"/>
      <c r="H82" s="237" t="n"/>
      <c r="I82" s="237" t="n"/>
      <c r="J82" s="238" t="n"/>
      <c r="K82" s="163" t="n"/>
      <c r="L82" s="164" t="n"/>
      <c r="M82" s="165" t="n"/>
      <c r="N82" s="166" t="n"/>
      <c r="O82" s="166" t="n"/>
      <c r="P82" s="166" t="n"/>
      <c r="Q82" s="166" t="n"/>
      <c r="R82" s="166" t="n"/>
      <c r="S82" s="167" t="n"/>
      <c r="T82" s="11" t="n"/>
    </row>
    <row r="83" ht="6" customHeight="1" s="227" thickBot="1">
      <c r="A83" s="15" t="n"/>
      <c r="B83" s="16" t="n"/>
      <c r="C83" s="16" t="n"/>
      <c r="D83" s="16" t="n"/>
      <c r="E83" s="16" t="n"/>
      <c r="F83" s="16" t="n"/>
      <c r="G83" s="16" t="n"/>
      <c r="H83" s="16" t="n"/>
      <c r="I83" s="16" t="n"/>
      <c r="J83" s="16" t="n"/>
      <c r="K83" s="16" t="n"/>
      <c r="L83" s="16" t="n"/>
      <c r="M83" s="16" t="n"/>
      <c r="N83" s="16" t="n"/>
      <c r="O83" s="16" t="n"/>
      <c r="P83" s="16" t="n"/>
      <c r="Q83" s="16" t="n"/>
      <c r="R83" s="16" t="n"/>
      <c r="S83" s="16" t="n"/>
      <c r="T83" s="17" t="n"/>
    </row>
  </sheetData>
  <mergeCells count="161">
    <mergeCell ref="G55:J55"/>
    <mergeCell ref="F68:G68"/>
    <mergeCell ref="AL57:AN57"/>
    <mergeCell ref="V44:AD44"/>
    <mergeCell ref="AL66:AN66"/>
    <mergeCell ref="L66:M66"/>
    <mergeCell ref="AF62:AN62"/>
    <mergeCell ref="B78:J78"/>
    <mergeCell ref="L68:M68"/>
    <mergeCell ref="K5:S6"/>
    <mergeCell ref="V66:X66"/>
    <mergeCell ref="B43:S51"/>
    <mergeCell ref="K17:M17"/>
    <mergeCell ref="I66:J66"/>
    <mergeCell ref="K33:N33"/>
    <mergeCell ref="F70:G70"/>
    <mergeCell ref="K53:S53"/>
    <mergeCell ref="P39:Q39"/>
    <mergeCell ref="V50:X50"/>
    <mergeCell ref="B31:E31"/>
    <mergeCell ref="D53:H53"/>
    <mergeCell ref="K57:M57"/>
    <mergeCell ref="B80:D80"/>
    <mergeCell ref="C57:E57"/>
    <mergeCell ref="Z68:AD68"/>
    <mergeCell ref="AF46:AH46"/>
    <mergeCell ref="K35:N35"/>
    <mergeCell ref="AJ68:AN68"/>
    <mergeCell ref="B21:E21"/>
    <mergeCell ref="V62:AD62"/>
    <mergeCell ref="B39:E39"/>
    <mergeCell ref="Y66:AA66"/>
    <mergeCell ref="N55:P55"/>
    <mergeCell ref="AI57:AK57"/>
    <mergeCell ref="K78:S78"/>
    <mergeCell ref="G57:J57"/>
    <mergeCell ref="AF48:AH48"/>
    <mergeCell ref="AB55:AD55"/>
    <mergeCell ref="AL46:AN46"/>
    <mergeCell ref="B73:S76"/>
    <mergeCell ref="B13:E13"/>
    <mergeCell ref="P33:Q33"/>
    <mergeCell ref="B70:D70"/>
    <mergeCell ref="V64:X64"/>
    <mergeCell ref="Q66:R66"/>
    <mergeCell ref="Z59:AD59"/>
    <mergeCell ref="K11:M11"/>
    <mergeCell ref="AF53:AN53"/>
    <mergeCell ref="P35:Q35"/>
    <mergeCell ref="K39:N39"/>
    <mergeCell ref="Q68:R68"/>
    <mergeCell ref="O19:S19"/>
    <mergeCell ref="B33:E33"/>
    <mergeCell ref="AI55:AK55"/>
    <mergeCell ref="C59:E59"/>
    <mergeCell ref="I70:J70"/>
    <mergeCell ref="K37:N37"/>
    <mergeCell ref="B41:E41"/>
    <mergeCell ref="N57:P57"/>
    <mergeCell ref="Y46:AA46"/>
    <mergeCell ref="B35:E35"/>
    <mergeCell ref="AI46:AK46"/>
    <mergeCell ref="AF50:AH50"/>
    <mergeCell ref="AB57:AD57"/>
    <mergeCell ref="B68:D68"/>
    <mergeCell ref="AB66:AD66"/>
    <mergeCell ref="Y48:AA48"/>
    <mergeCell ref="V53:AD53"/>
    <mergeCell ref="F66:G66"/>
    <mergeCell ref="Y57:AA57"/>
    <mergeCell ref="V57:X57"/>
    <mergeCell ref="B27:E27"/>
    <mergeCell ref="H2:J3"/>
    <mergeCell ref="B24:S24"/>
    <mergeCell ref="G33:H33"/>
    <mergeCell ref="B11:E11"/>
    <mergeCell ref="AI64:AK64"/>
    <mergeCell ref="P37:Q37"/>
    <mergeCell ref="V55:X55"/>
    <mergeCell ref="V68:X68"/>
    <mergeCell ref="K41:N41"/>
    <mergeCell ref="G35:H35"/>
    <mergeCell ref="B29:E29"/>
    <mergeCell ref="B37:E37"/>
    <mergeCell ref="K60:S60"/>
    <mergeCell ref="O13:S13"/>
    <mergeCell ref="K27:N27"/>
    <mergeCell ref="F64:G64"/>
    <mergeCell ref="L70:M70"/>
    <mergeCell ref="V59:X59"/>
    <mergeCell ref="AJ50:AN50"/>
    <mergeCell ref="AB46:AD46"/>
    <mergeCell ref="C55:E55"/>
    <mergeCell ref="AJ59:AN59"/>
    <mergeCell ref="O15:S15"/>
    <mergeCell ref="B15:E15"/>
    <mergeCell ref="P41:Q41"/>
    <mergeCell ref="AF55:AH55"/>
    <mergeCell ref="AB48:AD48"/>
    <mergeCell ref="K59:M59"/>
    <mergeCell ref="G39:H39"/>
    <mergeCell ref="AF64:AH64"/>
    <mergeCell ref="G37:H37"/>
    <mergeCell ref="G59:J59"/>
    <mergeCell ref="P27:Q27"/>
    <mergeCell ref="B9:S9"/>
    <mergeCell ref="G11:J11"/>
    <mergeCell ref="F79:J79"/>
    <mergeCell ref="AL64:AN64"/>
    <mergeCell ref="AL48:AN48"/>
    <mergeCell ref="O59:P59"/>
    <mergeCell ref="F81:J81"/>
    <mergeCell ref="K13:M13"/>
    <mergeCell ref="K29:N29"/>
    <mergeCell ref="AI48:AK48"/>
    <mergeCell ref="I64:J64"/>
    <mergeCell ref="K15:M15"/>
    <mergeCell ref="K31:N31"/>
    <mergeCell ref="G13:J13"/>
    <mergeCell ref="B62:S62"/>
    <mergeCell ref="B17:E17"/>
    <mergeCell ref="B66:D66"/>
    <mergeCell ref="Q70:R70"/>
    <mergeCell ref="K2:S3"/>
    <mergeCell ref="G41:H41"/>
    <mergeCell ref="AF66:AH66"/>
    <mergeCell ref="K21:M21"/>
    <mergeCell ref="B19:E19"/>
    <mergeCell ref="G15:J15"/>
    <mergeCell ref="Q55:S55"/>
    <mergeCell ref="Y64:AA64"/>
    <mergeCell ref="Q64:S64"/>
    <mergeCell ref="AF68:AH68"/>
    <mergeCell ref="P29:Q29"/>
    <mergeCell ref="AF44:AN44"/>
    <mergeCell ref="H5:J6"/>
    <mergeCell ref="P31:Q31"/>
    <mergeCell ref="AF59:AH59"/>
    <mergeCell ref="Z50:AD50"/>
    <mergeCell ref="AI66:AK66"/>
    <mergeCell ref="F80:J80"/>
    <mergeCell ref="AL55:AN55"/>
    <mergeCell ref="B6:G6"/>
    <mergeCell ref="L64:M64"/>
    <mergeCell ref="V46:X46"/>
    <mergeCell ref="I68:J68"/>
    <mergeCell ref="K19:M19"/>
    <mergeCell ref="G17:J17"/>
    <mergeCell ref="B79:D79"/>
    <mergeCell ref="Q57:S57"/>
    <mergeCell ref="G19:J19"/>
    <mergeCell ref="B81:D81"/>
    <mergeCell ref="AB64:AD64"/>
    <mergeCell ref="O64:P64"/>
    <mergeCell ref="G29:H29"/>
    <mergeCell ref="Y55:AA55"/>
    <mergeCell ref="O17:S17"/>
    <mergeCell ref="V48:X48"/>
    <mergeCell ref="K55:M55"/>
    <mergeCell ref="AF57:AH57"/>
    <mergeCell ref="G31:H31"/>
  </mergeCells>
  <pageMargins left="0.5511811023622047" right="0.2362204724409449" top="0.3543307086614173" bottom="0.3543307086614173" header="0" footer="0"/>
  <pageSetup orientation="portrait" paperSize="9"/>
  <drawing xmlns:r="http://schemas.openxmlformats.org/officeDocument/2006/relationships" r:id="rId1"/>
</worksheet>
</file>

<file path=xl/worksheets/sheet3.xml><?xml version="1.0" encoding="utf-8"?>
<worksheet xmlns="http://schemas.openxmlformats.org/spreadsheetml/2006/main">
  <sheetPr codeName="Sayfa1">
    <outlinePr summaryBelow="1" summaryRight="1"/>
    <pageSetUpPr fitToPage="1"/>
  </sheetPr>
  <dimension ref="A1:V49"/>
  <sheetViews>
    <sheetView topLeftCell="A14" zoomScaleNormal="100" workbookViewId="0">
      <selection activeCell="J9" sqref="J9:Q9"/>
    </sheetView>
  </sheetViews>
  <sheetFormatPr baseColWidth="8" defaultRowHeight="15"/>
  <cols>
    <col width="3.5703125" customWidth="1" style="227" min="1" max="1"/>
    <col width="5.5703125" customWidth="1" style="227" min="2" max="17"/>
    <col width="3.5703125" customWidth="1" style="227" min="18" max="18"/>
    <col width="9.140625" customWidth="1" style="227" min="19" max="19"/>
  </cols>
  <sheetData>
    <row r="1">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46"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row>
    <row r="4">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485" t="inlineStr">
        <is>
          <t>PRİMER SARGI DİRENCİ TEST SONUÇLARI</t>
        </is>
      </c>
      <c r="C5" s="99" t="n"/>
      <c r="D5" s="99" t="n"/>
      <c r="E5" s="99" t="n"/>
      <c r="F5" s="99" t="n"/>
      <c r="G5" s="99" t="n"/>
      <c r="H5" s="99" t="n"/>
      <c r="I5" s="99" t="n"/>
      <c r="J5" s="99" t="n"/>
      <c r="K5" s="99" t="n"/>
      <c r="L5" s="99" t="n"/>
      <c r="M5" s="99" t="n"/>
      <c r="N5" s="99" t="n"/>
      <c r="O5" s="99" t="n"/>
      <c r="P5" s="99" t="n"/>
      <c r="Q5" s="482" t="n"/>
      <c r="R5" s="11" t="n"/>
    </row>
    <row r="6">
      <c r="A6" s="10" t="n"/>
      <c r="B6" s="3" t="n"/>
      <c r="C6" s="127" t="n"/>
      <c r="D6" s="127" t="n"/>
      <c r="E6" s="127" t="n"/>
      <c r="F6" s="127" t="n"/>
      <c r="G6" s="127" t="n"/>
      <c r="H6" s="127" t="n"/>
      <c r="I6" s="127" t="n"/>
      <c r="J6" s="127" t="n"/>
      <c r="K6" s="127" t="n"/>
      <c r="L6" s="127" t="n"/>
      <c r="M6" s="127" t="n"/>
      <c r="N6" s="127" t="n"/>
      <c r="O6" s="127" t="n"/>
      <c r="P6" s="127" t="n"/>
      <c r="Q6" s="143" t="n"/>
      <c r="R6" s="11" t="n"/>
    </row>
    <row r="7">
      <c r="A7" s="10" t="n"/>
      <c r="B7" s="374" t="inlineStr">
        <is>
          <t>Üretici :</t>
        </is>
      </c>
      <c r="C7" s="482" t="n"/>
      <c r="D7" s="418">
        <f>'ANA SAYFA'!G11</f>
        <v/>
      </c>
      <c r="E7" s="99" t="n"/>
      <c r="F7" s="482" t="n"/>
      <c r="G7" s="418" t="inlineStr">
        <is>
          <t>Model :</t>
        </is>
      </c>
      <c r="H7" s="482" t="n"/>
      <c r="I7" s="374">
        <f>'ANA SAYFA'!O13</f>
        <v/>
      </c>
      <c r="J7" s="99" t="n"/>
      <c r="K7" s="482" t="n"/>
      <c r="L7" s="374" t="inlineStr">
        <is>
          <t>Seri Numarası :</t>
        </is>
      </c>
      <c r="M7" s="99" t="n"/>
      <c r="N7" s="482" t="n"/>
      <c r="O7" s="374">
        <f>'ANA SAYFA'!O15</f>
        <v/>
      </c>
      <c r="P7" s="99" t="n"/>
      <c r="Q7" s="482" t="n"/>
      <c r="R7" s="11" t="n"/>
    </row>
    <row r="8">
      <c r="A8" s="10" t="n"/>
      <c r="B8" s="3" t="n"/>
      <c r="C8" s="127" t="n"/>
      <c r="D8" s="127" t="n"/>
      <c r="E8" s="127" t="n"/>
      <c r="F8" s="127" t="n"/>
      <c r="G8" s="127" t="n"/>
      <c r="H8" s="127" t="n"/>
      <c r="I8" s="127" t="n"/>
      <c r="J8" s="127" t="n"/>
      <c r="K8" s="127" t="n"/>
      <c r="L8" s="127" t="n"/>
      <c r="M8" s="127" t="n"/>
      <c r="N8" s="127" t="n"/>
      <c r="O8" s="127" t="n"/>
      <c r="P8" s="127" t="n"/>
      <c r="Q8" s="143" t="n"/>
      <c r="R8" s="11" t="n"/>
    </row>
    <row r="9" ht="18.75" customHeight="1" s="227">
      <c r="A9" s="10" t="n"/>
      <c r="B9" s="402" t="inlineStr">
        <is>
          <t>OTURUM TARİHİ :</t>
        </is>
      </c>
      <c r="C9" s="99" t="n"/>
      <c r="D9" s="99" t="n"/>
      <c r="E9" s="99" t="n"/>
      <c r="F9" s="99" t="n"/>
      <c r="G9" s="99" t="n"/>
      <c r="H9" s="99" t="n"/>
      <c r="I9" s="99" t="n"/>
      <c r="J9" s="499">
        <f>'KAPAK SAYFASI'!D54</f>
        <v/>
      </c>
      <c r="K9" s="99" t="n"/>
      <c r="L9" s="99" t="n"/>
      <c r="M9" s="99" t="n"/>
      <c r="N9" s="99" t="n"/>
      <c r="O9" s="99" t="n"/>
      <c r="P9" s="99" t="n"/>
      <c r="Q9" s="482" t="n"/>
      <c r="R9" s="11" t="n"/>
    </row>
    <row r="10">
      <c r="A10" s="10" t="n"/>
      <c r="B10" s="3" t="n"/>
      <c r="C10" s="127" t="n"/>
      <c r="D10" s="127" t="n"/>
      <c r="E10" s="127" t="n"/>
      <c r="F10" s="127" t="n"/>
      <c r="G10" s="127" t="n"/>
      <c r="H10" s="127" t="n"/>
      <c r="I10" s="127" t="n"/>
      <c r="J10" s="127" t="n"/>
      <c r="K10" s="127" t="n"/>
      <c r="L10" s="127" t="n"/>
      <c r="M10" s="127" t="n"/>
      <c r="N10" s="127" t="n"/>
      <c r="O10" s="127" t="n"/>
      <c r="P10" s="127" t="n"/>
      <c r="Q10" s="143" t="n"/>
      <c r="R10" s="11" t="n"/>
    </row>
    <row r="11">
      <c r="A11" s="10" t="n"/>
      <c r="B11" s="421" t="inlineStr">
        <is>
          <t>Operatör :</t>
        </is>
      </c>
      <c r="C11" s="482" t="n"/>
      <c r="D11" s="422" t="n"/>
      <c r="E11" s="99" t="n"/>
      <c r="F11" s="99" t="n"/>
      <c r="G11" s="482" t="n"/>
      <c r="H11" s="421" t="inlineStr">
        <is>
          <t>Cihaz :</t>
        </is>
      </c>
      <c r="I11" s="482" t="n"/>
      <c r="J11" s="374" t="n"/>
      <c r="K11" s="99" t="n"/>
      <c r="L11" s="482" t="n"/>
      <c r="M11" s="374" t="inlineStr">
        <is>
          <t>Cihaz S/N :</t>
        </is>
      </c>
      <c r="N11" s="482" t="n"/>
      <c r="O11" s="374" t="n"/>
      <c r="P11" s="99" t="n"/>
      <c r="Q11" s="482" t="n"/>
      <c r="R11" s="11" t="n"/>
      <c r="U11" s="98" t="n"/>
    </row>
    <row r="12">
      <c r="A12" s="10" t="n"/>
      <c r="B12" s="3" t="n"/>
      <c r="C12" s="127" t="n"/>
      <c r="D12" s="127" t="n"/>
      <c r="E12" s="127" t="n"/>
      <c r="F12" s="127" t="n"/>
      <c r="G12" s="127" t="n"/>
      <c r="H12" s="127" t="n"/>
      <c r="I12" s="127" t="n"/>
      <c r="J12" s="127" t="n"/>
      <c r="K12" s="127" t="n"/>
      <c r="L12" s="127" t="n"/>
      <c r="M12" s="127" t="n"/>
      <c r="N12" s="127" t="n"/>
      <c r="O12" s="127" t="n"/>
      <c r="P12" s="127" t="n"/>
      <c r="Q12" s="143" t="n"/>
      <c r="R12" s="11" t="n"/>
      <c r="S12" s="98" t="n"/>
      <c r="U12" s="98" t="n"/>
    </row>
    <row r="13" ht="18.75" customHeight="1" s="227">
      <c r="A13" s="10" t="n"/>
      <c r="B13" s="420" t="inlineStr">
        <is>
          <t>Sonuçlar</t>
        </is>
      </c>
      <c r="C13" s="99" t="n"/>
      <c r="D13" s="99" t="n"/>
      <c r="E13" s="99" t="n"/>
      <c r="F13" s="99" t="n"/>
      <c r="G13" s="99" t="n"/>
      <c r="H13" s="99" t="n"/>
      <c r="I13" s="99" t="n"/>
      <c r="J13" s="99" t="n"/>
      <c r="K13" s="99" t="n"/>
      <c r="L13" s="99" t="n"/>
      <c r="M13" s="99" t="n"/>
      <c r="N13" s="99" t="n"/>
      <c r="O13" s="99" t="n"/>
      <c r="P13" s="99" t="n"/>
      <c r="Q13" s="482" t="n"/>
      <c r="R13" s="11" t="n"/>
      <c r="V13">
        <f>'ANA SAYFA'!G13</f>
        <v/>
      </c>
    </row>
    <row r="14">
      <c r="A14" s="10" t="n"/>
      <c r="B14" s="3" t="n"/>
      <c r="C14" s="127" t="n"/>
      <c r="D14" s="127" t="n"/>
      <c r="E14" s="127" t="n"/>
      <c r="F14" s="127" t="n"/>
      <c r="G14" s="127" t="n"/>
      <c r="H14" s="127" t="n"/>
      <c r="I14" s="127" t="n"/>
      <c r="J14" s="127" t="n"/>
      <c r="K14" s="127" t="n"/>
      <c r="L14" s="127" t="n"/>
      <c r="M14" s="127" t="n"/>
      <c r="N14" s="127" t="n"/>
      <c r="O14" s="127" t="n"/>
      <c r="P14" s="127" t="n"/>
      <c r="Q14" s="143" t="n"/>
      <c r="R14" s="11" t="n"/>
      <c r="V14">
        <f>V13/59.75575286</f>
        <v/>
      </c>
    </row>
    <row r="15" ht="18.75" customHeight="1" s="227">
      <c r="A15" s="10" t="n"/>
      <c r="B15" s="419" t="inlineStr">
        <is>
          <t>PT Sargı Otomatik</t>
        </is>
      </c>
      <c r="C15" s="99" t="n"/>
      <c r="D15" s="99" t="n"/>
      <c r="E15" s="99" t="n"/>
      <c r="F15" s="99" t="n"/>
      <c r="G15" s="99" t="n"/>
      <c r="H15" s="99" t="n"/>
      <c r="I15" s="482" t="n"/>
      <c r="J15" s="386" t="inlineStr">
        <is>
          <t>HV Mevcut Kademe Tap</t>
        </is>
      </c>
      <c r="K15" s="99" t="n"/>
      <c r="L15" s="99" t="n"/>
      <c r="M15" s="99" t="n"/>
      <c r="N15" s="99" t="n"/>
      <c r="O15" s="79">
        <f>'ANA SAYFA'!S11</f>
        <v/>
      </c>
      <c r="P15" s="79" t="n"/>
      <c r="Q15" s="38" t="n"/>
      <c r="R15" s="11" t="n"/>
    </row>
    <row r="16">
      <c r="A16" s="10" t="n"/>
      <c r="B16" s="3" t="n"/>
      <c r="C16" s="127" t="n"/>
      <c r="D16" s="127" t="n"/>
      <c r="E16" s="127" t="n"/>
      <c r="F16" s="127" t="n"/>
      <c r="G16" s="127" t="n"/>
      <c r="H16" s="127" t="n"/>
      <c r="I16" s="127" t="n"/>
      <c r="J16" s="127" t="n"/>
      <c r="K16" s="127" t="n"/>
      <c r="L16" s="127" t="n"/>
      <c r="M16" s="127" t="n"/>
      <c r="N16" s="127" t="n"/>
      <c r="O16" s="127" t="n"/>
      <c r="P16" s="127" t="n"/>
      <c r="Q16" s="143" t="n"/>
      <c r="R16" s="11" t="n"/>
    </row>
    <row r="17">
      <c r="A17" s="10" t="n"/>
      <c r="B17" s="384" t="inlineStr">
        <is>
          <t>Nominal Direnç</t>
        </is>
      </c>
      <c r="F17" s="446" t="n"/>
      <c r="J17" s="446" t="n"/>
      <c r="N17" s="319" t="n"/>
      <c r="Q17" s="212" t="n"/>
      <c r="R17" s="11" t="n"/>
    </row>
    <row r="18">
      <c r="A18" s="10" t="n"/>
      <c r="B18" s="377" t="inlineStr">
        <is>
          <t>Vektör Grubu</t>
        </is>
      </c>
      <c r="F18" s="446">
        <f>'ANA SAYFA'!G19</f>
        <v/>
      </c>
      <c r="J18" s="446" t="n"/>
      <c r="N18" s="319" t="n"/>
      <c r="Q18" s="212" t="n"/>
      <c r="R18" s="11" t="n"/>
    </row>
    <row r="19">
      <c r="A19" s="10" t="n"/>
      <c r="B19" s="377" t="inlineStr">
        <is>
          <t>3-faz</t>
        </is>
      </c>
      <c r="F19" s="446" t="n"/>
      <c r="J19" s="446" t="n"/>
      <c r="N19" s="319" t="n"/>
      <c r="Q19" s="212" t="n"/>
      <c r="R19" s="11" t="n"/>
    </row>
    <row r="20">
      <c r="A20" s="10" t="n"/>
      <c r="B20" s="377" t="inlineStr">
        <is>
          <t>Nominal Değerler</t>
        </is>
      </c>
      <c r="F20" s="378">
        <f>(K24+K25+K26)/3</f>
        <v/>
      </c>
      <c r="H20" s="127" t="inlineStr">
        <is>
          <t>Ω</t>
        </is>
      </c>
      <c r="I20" s="127" t="n"/>
      <c r="J20" s="446" t="n"/>
      <c r="N20" s="319" t="n"/>
      <c r="Q20" s="212" t="n"/>
      <c r="R20" s="11" t="n"/>
    </row>
    <row r="21">
      <c r="A21" s="10" t="n"/>
      <c r="B21" s="377" t="inlineStr">
        <is>
          <t>Çıkış Kademesi</t>
        </is>
      </c>
      <c r="F21" s="446" t="inlineStr">
        <is>
          <t>DC 6A</t>
        </is>
      </c>
      <c r="J21" s="446" t="n"/>
      <c r="N21" s="319" t="n"/>
      <c r="Q21" s="212" t="n"/>
      <c r="R21" s="11" t="n"/>
      <c r="T21" t="inlineStr">
        <is>
          <t>A</t>
        </is>
      </c>
      <c r="U21" s="500">
        <f>MAX(T32:T33)</f>
        <v/>
      </c>
    </row>
    <row r="22">
      <c r="A22" s="10" t="n"/>
      <c r="B22" s="3" t="n"/>
      <c r="C22" s="127" t="n"/>
      <c r="D22" s="127" t="n"/>
      <c r="E22" s="127" t="n"/>
      <c r="F22" s="127" t="n"/>
      <c r="G22" s="127" t="n"/>
      <c r="H22" s="127" t="n"/>
      <c r="I22" s="127" t="n"/>
      <c r="J22" s="127" t="n"/>
      <c r="K22" s="127" t="n"/>
      <c r="L22" s="127" t="n"/>
      <c r="M22" s="127" t="n"/>
      <c r="N22" s="127" t="n"/>
      <c r="O22" s="127" t="n"/>
      <c r="P22" s="127" t="n"/>
      <c r="Q22" s="143" t="n"/>
      <c r="R22" s="11" t="n"/>
      <c r="T22" t="inlineStr">
        <is>
          <t>B</t>
        </is>
      </c>
      <c r="U22" s="500">
        <f>MAX(U32:U33)</f>
        <v/>
      </c>
    </row>
    <row r="23">
      <c r="A23" s="10" t="n"/>
      <c r="B23" s="374" t="n"/>
      <c r="C23" s="376" t="inlineStr">
        <is>
          <t>I Testi [A]</t>
        </is>
      </c>
      <c r="D23" s="482" t="n"/>
      <c r="E23" s="374" t="inlineStr">
        <is>
          <t>I DC [A]</t>
        </is>
      </c>
      <c r="F23" s="482" t="n"/>
      <c r="G23" s="374" t="inlineStr">
        <is>
          <t>V DC [V]</t>
        </is>
      </c>
      <c r="H23" s="482" t="n"/>
      <c r="I23" s="374" t="inlineStr">
        <is>
          <t>Zaman [S]</t>
        </is>
      </c>
      <c r="J23" s="482" t="n"/>
      <c r="K23" s="374" t="inlineStr">
        <is>
          <t>R.ölç[Ω]</t>
        </is>
      </c>
      <c r="L23" s="482" t="n"/>
      <c r="M23" s="374" t="inlineStr">
        <is>
          <t>R. Nom</t>
        </is>
      </c>
      <c r="N23" s="482" t="n"/>
      <c r="O23" s="374" t="inlineStr">
        <is>
          <t>Hata[%]</t>
        </is>
      </c>
      <c r="P23" s="482" t="n"/>
      <c r="Q23" s="374" t="n"/>
      <c r="R23" s="11" t="n"/>
      <c r="T23" t="inlineStr">
        <is>
          <t>C</t>
        </is>
      </c>
      <c r="U23" s="500">
        <f>MAX(V32:V33)</f>
        <v/>
      </c>
    </row>
    <row r="24">
      <c r="A24" s="10" t="n"/>
      <c r="B24" s="374" t="inlineStr">
        <is>
          <t>A</t>
        </is>
      </c>
      <c r="C24" s="370">
        <f>'ANA SAYFA'!B53</f>
        <v/>
      </c>
      <c r="D24" s="482" t="n"/>
      <c r="E24" s="501">
        <f>C24</f>
        <v/>
      </c>
      <c r="F24" s="482" t="n"/>
      <c r="G24" s="373">
        <f>(E24*K24)*0.98</f>
        <v/>
      </c>
      <c r="H24" s="482" t="n"/>
      <c r="I24" s="370" t="n"/>
      <c r="J24" s="482" t="n"/>
      <c r="K24" s="370">
        <f>'ANA SAYFA'!C55</f>
        <v/>
      </c>
      <c r="L24" s="482" t="n"/>
      <c r="M24" s="370">
        <f>F20</f>
        <v/>
      </c>
      <c r="N24" s="482" t="n"/>
      <c r="O24" s="369">
        <f>U21</f>
        <v/>
      </c>
      <c r="P24" s="482" t="n"/>
      <c r="Q24" s="374">
        <f>IF(O24&gt;0.05,1,0)</f>
        <v/>
      </c>
      <c r="R24" s="11" t="n"/>
      <c r="T24" t="inlineStr">
        <is>
          <t>SINIR DEĞER</t>
        </is>
      </c>
      <c r="U24" s="500" t="n">
        <v>0.05</v>
      </c>
    </row>
    <row r="25">
      <c r="A25" s="10" t="n"/>
      <c r="B25" s="374" t="inlineStr">
        <is>
          <t>B</t>
        </is>
      </c>
      <c r="C25" s="370">
        <f>'ANA SAYFA'!B53</f>
        <v/>
      </c>
      <c r="D25" s="482" t="n"/>
      <c r="E25" s="501">
        <f>C25</f>
        <v/>
      </c>
      <c r="F25" s="482" t="n"/>
      <c r="G25" s="373">
        <f>(E25*K25)*0.98</f>
        <v/>
      </c>
      <c r="H25" s="482" t="n"/>
      <c r="I25" s="370" t="n"/>
      <c r="J25" s="482" t="n"/>
      <c r="K25" s="370">
        <f>'ANA SAYFA'!C59</f>
        <v/>
      </c>
      <c r="L25" s="482" t="n"/>
      <c r="M25" s="370">
        <f>M24</f>
        <v/>
      </c>
      <c r="N25" s="482" t="n"/>
      <c r="O25" s="369">
        <f>U22</f>
        <v/>
      </c>
      <c r="P25" s="482" t="n"/>
      <c r="Q25" s="374">
        <f>IF(O25&gt;0.05,1,0)</f>
        <v/>
      </c>
      <c r="R25" s="11" t="n"/>
    </row>
    <row r="26">
      <c r="A26" s="10" t="n"/>
      <c r="B26" s="374" t="inlineStr">
        <is>
          <t>C</t>
        </is>
      </c>
      <c r="C26" s="370">
        <f>'ANA SAYFA'!B53</f>
        <v/>
      </c>
      <c r="D26" s="482" t="n"/>
      <c r="E26" s="501">
        <f>C26</f>
        <v/>
      </c>
      <c r="F26" s="482" t="n"/>
      <c r="G26" s="373">
        <f>(E26*K26)*0.98</f>
        <v/>
      </c>
      <c r="H26" s="482" t="n"/>
      <c r="I26" s="370" t="n"/>
      <c r="J26" s="482" t="n"/>
      <c r="K26" s="370">
        <f>'ANA SAYFA'!C57</f>
        <v/>
      </c>
      <c r="L26" s="482" t="n"/>
      <c r="M26" s="370">
        <f>M24</f>
        <v/>
      </c>
      <c r="N26" s="482" t="n"/>
      <c r="O26" s="369">
        <f>U23</f>
        <v/>
      </c>
      <c r="P26" s="482" t="n"/>
      <c r="Q26" s="374">
        <f>IF(O26&gt;0.05,1,0)</f>
        <v/>
      </c>
      <c r="R26" s="11" t="n"/>
    </row>
    <row r="27">
      <c r="A27" s="10" t="n"/>
      <c r="B27" s="115" t="n"/>
      <c r="C27" s="19" t="n"/>
      <c r="D27" s="19" t="n"/>
      <c r="E27" s="19" t="n"/>
      <c r="F27" s="19" t="n"/>
      <c r="G27" s="19" t="n"/>
      <c r="H27" s="19" t="n"/>
      <c r="I27" s="19" t="n"/>
      <c r="J27" s="19" t="n"/>
      <c r="K27" s="19" t="n"/>
      <c r="L27" s="19" t="n"/>
      <c r="M27" s="19" t="n"/>
      <c r="N27" s="19" t="n"/>
      <c r="O27" s="19" t="n"/>
      <c r="P27" s="19" t="n"/>
      <c r="Q27" s="129" t="n"/>
      <c r="R27" s="11" t="n"/>
    </row>
    <row r="28" ht="18.75" customHeight="1" s="227">
      <c r="A28" s="10" t="n"/>
      <c r="B28" s="28" t="n"/>
      <c r="C28" s="134" t="n"/>
      <c r="D28" s="134" t="n"/>
      <c r="E28" s="134" t="n"/>
      <c r="F28" s="134" t="n"/>
      <c r="G28" s="134" t="n"/>
      <c r="H28" s="134" t="n"/>
      <c r="I28" s="134" t="n"/>
      <c r="J28" s="134" t="n"/>
      <c r="K28" s="134" t="n"/>
      <c r="L28" s="134" t="n"/>
      <c r="M28" s="134" t="n"/>
      <c r="N28" s="134" t="n"/>
      <c r="O28" s="134" t="n"/>
      <c r="P28" s="134" t="n"/>
      <c r="Q28" s="135" t="n"/>
      <c r="R28" s="11" t="n"/>
    </row>
    <row r="29">
      <c r="A29" s="10" t="n"/>
      <c r="B29" s="3" t="n"/>
      <c r="C29" s="127" t="n"/>
      <c r="D29" s="127" t="n"/>
      <c r="E29" s="127" t="n"/>
      <c r="F29" s="127" t="n"/>
      <c r="G29" s="127" t="n"/>
      <c r="H29" s="127" t="n"/>
      <c r="I29" s="127" t="n"/>
      <c r="J29" s="127" t="n"/>
      <c r="K29" s="127" t="n"/>
      <c r="L29" s="127" t="n"/>
      <c r="M29" s="127" t="n"/>
      <c r="N29" s="127" t="n"/>
      <c r="O29" s="127" t="n"/>
      <c r="P29" s="127" t="n"/>
      <c r="Q29" s="143" t="n"/>
      <c r="R29" s="11" t="n"/>
    </row>
    <row r="30">
      <c r="A30" s="10" t="n"/>
      <c r="B30" s="24" t="n"/>
      <c r="C30" s="25" t="n"/>
      <c r="D30" s="25" t="n"/>
      <c r="E30" s="25" t="n"/>
      <c r="F30" s="127" t="n"/>
      <c r="G30" s="127" t="n"/>
      <c r="H30" s="127" t="n"/>
      <c r="I30" s="127" t="n"/>
      <c r="J30" s="127" t="n"/>
      <c r="K30" s="127" t="n"/>
      <c r="L30" s="127" t="n"/>
      <c r="M30" s="127" t="n"/>
      <c r="N30" s="127" t="n"/>
      <c r="O30" s="127" t="n"/>
      <c r="P30" s="127" t="n"/>
      <c r="Q30" s="143" t="n"/>
      <c r="R30" s="11" t="n"/>
    </row>
    <row r="31">
      <c r="A31" s="10" t="n"/>
      <c r="B31" s="3" t="n"/>
      <c r="C31" s="127" t="n"/>
      <c r="D31" s="127" t="n"/>
      <c r="E31" s="127" t="n"/>
      <c r="F31" s="127" t="n"/>
      <c r="G31" s="127" t="n"/>
      <c r="H31" s="127" t="n"/>
      <c r="I31" s="127" t="n"/>
      <c r="J31" s="127" t="n"/>
      <c r="K31" s="127" t="n"/>
      <c r="L31" s="127" t="n"/>
      <c r="M31" s="127" t="n"/>
      <c r="N31" s="127" t="n"/>
      <c r="O31" s="127" t="n"/>
      <c r="P31" s="127" t="n"/>
      <c r="Q31" s="143" t="n"/>
      <c r="R31" s="11" t="n"/>
    </row>
    <row r="32">
      <c r="A32" s="10" t="n"/>
      <c r="B32" s="3" t="n"/>
      <c r="C32" s="127" t="n"/>
      <c r="D32" s="127" t="n"/>
      <c r="E32" s="127" t="n"/>
      <c r="F32" s="127" t="n"/>
      <c r="G32" s="127" t="n"/>
      <c r="H32" s="127" t="n"/>
      <c r="I32" s="127" t="n"/>
      <c r="J32" s="127" t="n"/>
      <c r="K32" s="127" t="n"/>
      <c r="L32" s="127" t="n"/>
      <c r="M32" s="127" t="n"/>
      <c r="N32" s="127" t="n"/>
      <c r="O32" s="127" t="n"/>
      <c r="P32" s="127" t="n"/>
      <c r="Q32" s="143" t="n"/>
      <c r="R32" s="11" t="n"/>
      <c r="T32">
        <f>SQRT((K24-K25)^2)/K25</f>
        <v/>
      </c>
      <c r="U32">
        <f>SQRT((K24-K25)^2)/K24</f>
        <v/>
      </c>
      <c r="V32">
        <f>SQRT((K26-K24)^2)/K24</f>
        <v/>
      </c>
    </row>
    <row r="33">
      <c r="A33" s="10" t="n"/>
      <c r="B33" s="3" t="n"/>
      <c r="C33" s="127" t="n"/>
      <c r="D33" s="127" t="n"/>
      <c r="E33" s="127" t="n"/>
      <c r="F33" s="23" t="n"/>
      <c r="G33" s="127" t="n"/>
      <c r="H33" s="127" t="n"/>
      <c r="I33" s="127" t="n"/>
      <c r="J33" s="127" t="n"/>
      <c r="K33" s="127" t="n"/>
      <c r="L33" s="127" t="n"/>
      <c r="M33" s="127" t="n"/>
      <c r="N33" s="127" t="n"/>
      <c r="O33" s="127" t="n"/>
      <c r="P33" s="127" t="n"/>
      <c r="Q33" s="143" t="n"/>
      <c r="R33" s="11" t="n"/>
      <c r="T33">
        <f>SQRT((K26-K24)^2)/K26</f>
        <v/>
      </c>
      <c r="U33">
        <f>SQRT((K25-K26)^2)/K26</f>
        <v/>
      </c>
      <c r="V33">
        <f>SQRT((K26-K25)^2)/K25</f>
        <v/>
      </c>
    </row>
    <row r="34">
      <c r="A34" s="10" t="n"/>
      <c r="B34" s="3" t="n"/>
      <c r="C34" s="127" t="n"/>
      <c r="D34" s="127" t="n"/>
      <c r="E34" s="127" t="n"/>
      <c r="F34" s="127" t="n"/>
      <c r="G34" s="127" t="n"/>
      <c r="H34" s="127" t="n"/>
      <c r="I34" s="127" t="n"/>
      <c r="J34" s="127" t="n"/>
      <c r="K34" s="127" t="n"/>
      <c r="L34" s="127" t="n"/>
      <c r="M34" s="127" t="n"/>
      <c r="N34" s="127" t="n"/>
      <c r="O34" s="127" t="n"/>
      <c r="P34" s="127" t="n"/>
      <c r="Q34" s="143" t="n"/>
      <c r="R34" s="11" t="n"/>
    </row>
    <row r="35">
      <c r="A35" s="10" t="n"/>
      <c r="B35" s="3" t="n"/>
      <c r="C35" s="127" t="n"/>
      <c r="D35" s="127" t="n"/>
      <c r="E35" s="127" t="n"/>
      <c r="F35" s="127" t="n"/>
      <c r="G35" s="127" t="n"/>
      <c r="H35" s="127" t="n"/>
      <c r="I35" s="127" t="n"/>
      <c r="J35" s="127" t="n"/>
      <c r="K35" s="127" t="n"/>
      <c r="L35" s="127" t="n"/>
      <c r="M35" s="127" t="n"/>
      <c r="N35" s="127" t="n"/>
      <c r="O35" s="127" t="n"/>
      <c r="P35" s="127" t="n"/>
      <c r="Q35" s="143" t="n"/>
      <c r="R35" s="11" t="n"/>
    </row>
    <row r="36">
      <c r="A36" s="10" t="n"/>
      <c r="B36" s="3" t="n"/>
      <c r="C36" s="127" t="n"/>
      <c r="D36" s="127" t="n"/>
      <c r="E36" s="127" t="n"/>
      <c r="F36" s="127" t="n"/>
      <c r="G36" s="127" t="n"/>
      <c r="H36" s="127" t="n"/>
      <c r="I36" s="127" t="n"/>
      <c r="J36" s="127" t="n"/>
      <c r="K36" s="127" t="n"/>
      <c r="L36" s="127" t="n"/>
      <c r="M36" s="127" t="n"/>
      <c r="N36" s="127" t="n"/>
      <c r="O36" s="127" t="n"/>
      <c r="P36" s="127" t="n"/>
      <c r="Q36" s="143" t="n"/>
      <c r="R36" s="11" t="n"/>
    </row>
    <row r="37">
      <c r="A37" s="10" t="n"/>
      <c r="B37" s="118" t="n"/>
      <c r="C37" s="27" t="n"/>
      <c r="D37" s="27" t="n"/>
      <c r="E37" s="127" t="n"/>
      <c r="F37" s="127" t="n"/>
      <c r="G37" s="127" t="n"/>
      <c r="H37" s="127" t="n"/>
      <c r="I37" s="127" t="n"/>
      <c r="J37" s="127" t="n"/>
      <c r="K37" s="127" t="n"/>
      <c r="L37" s="127" t="n"/>
      <c r="M37" s="127" t="n"/>
      <c r="N37" s="127" t="n"/>
      <c r="O37" s="127" t="n"/>
      <c r="P37" s="127" t="n"/>
      <c r="Q37" s="117" t="n"/>
      <c r="R37" s="11" t="n"/>
    </row>
    <row r="38">
      <c r="A38" s="10" t="n"/>
      <c r="B38" s="118" t="n"/>
      <c r="C38" s="23" t="n"/>
      <c r="D38" s="23" t="n"/>
      <c r="E38" s="23" t="n"/>
      <c r="F38" s="23" t="n"/>
      <c r="G38" s="23" t="n"/>
      <c r="H38" s="23" t="n"/>
      <c r="I38" s="23" t="n"/>
      <c r="J38" s="23" t="n"/>
      <c r="K38" s="23" t="n"/>
      <c r="L38" s="23" t="n"/>
      <c r="M38" s="23" t="n"/>
      <c r="N38" s="23" t="n"/>
      <c r="O38" s="23" t="n"/>
      <c r="P38" s="23" t="n"/>
      <c r="Q38" s="117" t="n"/>
      <c r="R38" s="11" t="n"/>
    </row>
    <row r="39" ht="15.75" customHeight="1" s="227">
      <c r="A39" s="10" t="n"/>
      <c r="B39" s="357" t="inlineStr">
        <is>
          <t>Sonuç :</t>
        </is>
      </c>
      <c r="C39" s="47" t="n"/>
      <c r="D39" s="360" t="inlineStr">
        <is>
          <t>Yapılan ölçümlerde OG (Orta gerilim) sargısına ait direnç değerleri uygundur.</t>
        </is>
      </c>
      <c r="E39" s="47" t="n"/>
      <c r="F39" s="47" t="n"/>
      <c r="G39" s="47" t="n"/>
      <c r="H39" s="47" t="n"/>
      <c r="I39" s="47" t="n"/>
      <c r="J39" s="47" t="n"/>
      <c r="K39" s="47" t="n"/>
      <c r="L39" s="47" t="n"/>
      <c r="M39" s="47" t="n"/>
      <c r="N39" s="47" t="n"/>
      <c r="O39" s="47" t="n"/>
      <c r="P39" s="47" t="n"/>
      <c r="Q39" s="211" t="n"/>
      <c r="R39" s="11" t="n"/>
    </row>
    <row r="40">
      <c r="A40" s="10" t="n"/>
      <c r="B40" s="118" t="n"/>
      <c r="C40" s="23" t="n"/>
      <c r="Q40" s="212" t="n"/>
      <c r="R40" s="11" t="n"/>
    </row>
    <row r="41">
      <c r="A41" s="10" t="n"/>
      <c r="B41" s="3" t="n"/>
      <c r="C41" s="127" t="n"/>
      <c r="Q41" s="212" t="n"/>
      <c r="R41" s="11" t="n"/>
    </row>
    <row r="42">
      <c r="A42" s="10" t="n"/>
      <c r="B42" s="3" t="n"/>
      <c r="C42" s="127" t="n"/>
      <c r="Q42" s="212" t="n"/>
      <c r="R42" s="11" t="n"/>
    </row>
    <row r="43">
      <c r="A43" s="10" t="n"/>
      <c r="B43" s="62" t="n"/>
      <c r="Q43" s="212" t="n"/>
      <c r="R43" s="11" t="n"/>
    </row>
    <row r="44">
      <c r="A44" s="10" t="n"/>
      <c r="B44" s="62" t="n"/>
      <c r="J44" s="50" t="n"/>
      <c r="K44" s="50" t="n"/>
      <c r="L44" s="50" t="n"/>
      <c r="M44" s="50" t="n"/>
      <c r="N44" s="50" t="n"/>
      <c r="O44" s="50" t="n"/>
      <c r="P44" s="50" t="n"/>
      <c r="Q44" s="213" t="n"/>
      <c r="R44" s="11" t="n"/>
    </row>
    <row r="45" ht="22.5" customHeight="1" s="227">
      <c r="A45" s="10" t="n"/>
      <c r="B45" s="355" t="n"/>
      <c r="C45" s="99" t="n"/>
      <c r="D45" s="99" t="n"/>
      <c r="E45" s="79" t="n"/>
      <c r="F45" s="364" t="n"/>
      <c r="G45" s="99" t="n"/>
      <c r="H45" s="99" t="n"/>
      <c r="I45" s="482" t="n"/>
      <c r="J45" s="290" t="inlineStr">
        <is>
          <t>ONAYLAYAN</t>
        </is>
      </c>
      <c r="K45" s="99" t="n"/>
      <c r="L45" s="99" t="n"/>
      <c r="M45" s="99" t="n"/>
      <c r="N45" s="99" t="n"/>
      <c r="O45" s="99" t="n"/>
      <c r="P45" s="99" t="n"/>
      <c r="Q45" s="482" t="n"/>
      <c r="R45" s="11" t="n"/>
    </row>
    <row r="46" ht="22.5" customHeight="1" s="227">
      <c r="A46" s="10" t="n"/>
      <c r="B46" s="365" t="inlineStr">
        <is>
          <t>UNVAN</t>
        </is>
      </c>
      <c r="C46" s="47" t="n"/>
      <c r="D46" s="47" t="n"/>
      <c r="E46" s="134" t="inlineStr">
        <is>
          <t>:</t>
        </is>
      </c>
      <c r="F46" s="368" t="inlineStr">
        <is>
          <t>Elektrik Mühendisi</t>
        </is>
      </c>
      <c r="G46" s="47" t="n"/>
      <c r="H46" s="47" t="n"/>
      <c r="I46" s="211" t="n"/>
      <c r="J46" s="54" t="n"/>
      <c r="K46" s="54" t="n"/>
      <c r="L46" s="134" t="n"/>
      <c r="M46" s="134" t="n"/>
      <c r="N46" s="134" t="n"/>
      <c r="O46" s="134" t="n"/>
      <c r="P46" s="134" t="n"/>
      <c r="Q46" s="135" t="n"/>
      <c r="R46" s="11" t="n"/>
    </row>
    <row r="47" ht="22.5" customHeight="1" s="227">
      <c r="A47" s="10" t="n"/>
      <c r="B47" s="351" t="inlineStr">
        <is>
          <t>TEST TARİHİ</t>
        </is>
      </c>
      <c r="E47" s="134" t="inlineStr">
        <is>
          <t>:</t>
        </is>
      </c>
      <c r="F47" s="502">
        <f>'KAPAK SAYFASI'!D53</f>
        <v/>
      </c>
      <c r="I47" s="212" t="n"/>
      <c r="J47" s="54" t="n"/>
      <c r="K47" s="54" t="n"/>
      <c r="L47" s="134" t="n"/>
      <c r="M47" s="134" t="n"/>
      <c r="N47" s="134" t="n"/>
      <c r="O47" s="134" t="n"/>
      <c r="P47" s="134" t="n"/>
      <c r="Q47" s="135" t="n"/>
      <c r="R47" s="11" t="n"/>
    </row>
    <row r="48" ht="22.5" customHeight="1" s="227">
      <c r="A48" s="10" t="n"/>
      <c r="B48" s="233" t="n"/>
      <c r="C48" s="234" t="n"/>
      <c r="D48" s="234" t="n"/>
      <c r="E48" s="234" t="n"/>
      <c r="F48" s="234" t="n"/>
      <c r="G48" s="234" t="n"/>
      <c r="H48" s="234" t="n"/>
      <c r="I48" s="235" t="n"/>
      <c r="J48" s="139" t="n"/>
      <c r="K48" s="139" t="n"/>
      <c r="L48" s="139" t="n"/>
      <c r="M48" s="139" t="n"/>
      <c r="N48" s="139" t="n"/>
      <c r="O48" s="139" t="n"/>
      <c r="P48" s="139" t="n"/>
      <c r="Q48" s="136" t="n"/>
      <c r="R48" s="11" t="n"/>
    </row>
    <row r="49" ht="15.75" customHeight="1" s="227" thickBot="1">
      <c r="A49" s="15" t="n"/>
      <c r="B49" s="16" t="n"/>
      <c r="C49" s="16" t="n"/>
      <c r="D49" s="16" t="n"/>
      <c r="E49" s="16" t="n"/>
      <c r="F49" s="16" t="n"/>
      <c r="G49" s="16" t="n"/>
      <c r="H49" s="16" t="n"/>
      <c r="I49" s="16" t="n"/>
      <c r="J49" s="16" t="n"/>
      <c r="K49" s="16" t="n"/>
      <c r="L49" s="16" t="n"/>
      <c r="M49" s="16" t="n"/>
      <c r="N49" s="16" t="n"/>
      <c r="O49" s="16" t="n"/>
      <c r="P49" s="16" t="n"/>
      <c r="Q49" s="16" t="n"/>
      <c r="R49" s="17" t="n"/>
    </row>
  </sheetData>
  <mergeCells count="79">
    <mergeCell ref="K24:L24"/>
    <mergeCell ref="E23:F23"/>
    <mergeCell ref="G23:H23"/>
    <mergeCell ref="I26:J26"/>
    <mergeCell ref="J18:M18"/>
    <mergeCell ref="K26:L26"/>
    <mergeCell ref="J11:L11"/>
    <mergeCell ref="J17:M17"/>
    <mergeCell ref="I25:J25"/>
    <mergeCell ref="N20:Q20"/>
    <mergeCell ref="O26:P26"/>
    <mergeCell ref="J19:M19"/>
    <mergeCell ref="M25:N25"/>
    <mergeCell ref="O25:P25"/>
    <mergeCell ref="B21:E21"/>
    <mergeCell ref="B9:I9"/>
    <mergeCell ref="J2:Q2"/>
    <mergeCell ref="J9:Q9"/>
    <mergeCell ref="B11:C11"/>
    <mergeCell ref="G7:H7"/>
    <mergeCell ref="J15:N15"/>
    <mergeCell ref="F20:G20"/>
    <mergeCell ref="F19:I19"/>
    <mergeCell ref="H11:I11"/>
    <mergeCell ref="B18:E18"/>
    <mergeCell ref="G24:H24"/>
    <mergeCell ref="B45:D45"/>
    <mergeCell ref="I24:J24"/>
    <mergeCell ref="O7:Q7"/>
    <mergeCell ref="D11:G11"/>
    <mergeCell ref="E26:F26"/>
    <mergeCell ref="G26:H26"/>
    <mergeCell ref="B47:D47"/>
    <mergeCell ref="F45:I45"/>
    <mergeCell ref="M24:N24"/>
    <mergeCell ref="F17:I17"/>
    <mergeCell ref="B46:D46"/>
    <mergeCell ref="E25:F25"/>
    <mergeCell ref="G25:H25"/>
    <mergeCell ref="J20:M20"/>
    <mergeCell ref="F47:I47"/>
    <mergeCell ref="F46:I46"/>
    <mergeCell ref="K25:L25"/>
    <mergeCell ref="B7:C7"/>
    <mergeCell ref="G2:H2"/>
    <mergeCell ref="J21:M21"/>
    <mergeCell ref="D7:F7"/>
    <mergeCell ref="B5:Q5"/>
    <mergeCell ref="M11:N11"/>
    <mergeCell ref="J45:Q45"/>
    <mergeCell ref="I23:J23"/>
    <mergeCell ref="K23:L23"/>
    <mergeCell ref="C23:D23"/>
    <mergeCell ref="M26:N26"/>
    <mergeCell ref="N18:Q18"/>
    <mergeCell ref="F18:I18"/>
    <mergeCell ref="B17:E17"/>
    <mergeCell ref="B15:I15"/>
    <mergeCell ref="N17:Q17"/>
    <mergeCell ref="M23:N23"/>
    <mergeCell ref="O23:P23"/>
    <mergeCell ref="B19:E19"/>
    <mergeCell ref="I7:K7"/>
    <mergeCell ref="N19:Q19"/>
    <mergeCell ref="C24:D24"/>
    <mergeCell ref="E24:F24"/>
    <mergeCell ref="O24:P24"/>
    <mergeCell ref="B20:E20"/>
    <mergeCell ref="C26:D26"/>
    <mergeCell ref="B39:C39"/>
    <mergeCell ref="C25:D25"/>
    <mergeCell ref="G3:H3"/>
    <mergeCell ref="O11:Q11"/>
    <mergeCell ref="D39:Q42"/>
    <mergeCell ref="N21:Q21"/>
    <mergeCell ref="F21:I21"/>
    <mergeCell ref="L7:N7"/>
    <mergeCell ref="J3:Q3"/>
    <mergeCell ref="B13:Q13"/>
  </mergeCells>
  <conditionalFormatting sqref="Q24">
    <cfRule type="iconSet" priority="3">
      <iconSet iconSet="3Symbols2" showValue="0" reverse="1">
        <cfvo type="percent" val="0"/>
        <cfvo type="num" val="1"/>
        <cfvo type="num" val="1"/>
      </iconSet>
    </cfRule>
  </conditionalFormatting>
  <conditionalFormatting sqref="Q25">
    <cfRule type="iconSet" priority="2">
      <iconSet iconSet="3Symbols2" showValue="0" reverse="1">
        <cfvo type="percent" val="0"/>
        <cfvo type="num" val="1"/>
        <cfvo type="num" val="1"/>
      </iconSet>
    </cfRule>
  </conditionalFormatting>
  <conditionalFormatting sqref="Q26">
    <cfRule type="iconSet" priority="1">
      <iconSet iconSet="3Symbols2" showValue="0" reverse="1">
        <cfvo type="percent" val="0"/>
        <cfvo type="num" val="1"/>
        <cfvo type="num" val="1"/>
      </iconSet>
    </cfRule>
  </conditionalFormatting>
  <pageMargins left="0.5511811023622047" right="0.2362204724409449" top="0.3543307086614173" bottom="0.3543307086614173" header="0" footer="0"/>
  <pageSetup orientation="portrait" paperSize="9" scale="99"/>
  <drawing xmlns:r="http://schemas.openxmlformats.org/officeDocument/2006/relationships" r:id="rId1"/>
</worksheet>
</file>

<file path=xl/worksheets/sheet4.xml><?xml version="1.0" encoding="utf-8"?>
<worksheet xmlns="http://schemas.openxmlformats.org/spreadsheetml/2006/main">
  <sheetPr codeName="Sayfa7">
    <outlinePr summaryBelow="1" summaryRight="1"/>
    <pageSetUpPr fitToPage="1"/>
  </sheetPr>
  <dimension ref="A1:V49"/>
  <sheetViews>
    <sheetView topLeftCell="A4" workbookViewId="0">
      <selection activeCell="J10" sqref="J10"/>
    </sheetView>
  </sheetViews>
  <sheetFormatPr baseColWidth="8" defaultRowHeight="15"/>
  <cols>
    <col width="3.5703125" customWidth="1" style="227" min="1" max="1"/>
    <col width="5.5703125" customWidth="1" style="227" min="2" max="17"/>
    <col width="3.5703125" customWidth="1" style="227" min="18" max="18"/>
  </cols>
  <sheetData>
    <row r="1">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46"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row>
    <row r="4">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485" t="inlineStr">
        <is>
          <t>SEKONDER SARGI DİRENCİ TEST SONUÇLARI</t>
        </is>
      </c>
      <c r="C5" s="99" t="n"/>
      <c r="D5" s="99" t="n"/>
      <c r="E5" s="99" t="n"/>
      <c r="F5" s="99" t="n"/>
      <c r="G5" s="99" t="n"/>
      <c r="H5" s="99" t="n"/>
      <c r="I5" s="99" t="n"/>
      <c r="J5" s="99" t="n"/>
      <c r="K5" s="99" t="n"/>
      <c r="L5" s="99" t="n"/>
      <c r="M5" s="99" t="n"/>
      <c r="N5" s="99" t="n"/>
      <c r="O5" s="99" t="n"/>
      <c r="P5" s="99" t="n"/>
      <c r="Q5" s="482" t="n"/>
      <c r="R5" s="11" t="n"/>
    </row>
    <row r="6">
      <c r="A6" s="10" t="n"/>
      <c r="B6" s="3" t="n"/>
      <c r="C6" s="127" t="n"/>
      <c r="D6" s="127" t="n"/>
      <c r="E6" s="127" t="n"/>
      <c r="F6" s="127" t="n"/>
      <c r="G6" s="127" t="n"/>
      <c r="H6" s="127" t="n"/>
      <c r="I6" s="127" t="n"/>
      <c r="J6" s="127" t="n"/>
      <c r="K6" s="127" t="n"/>
      <c r="L6" s="127" t="n"/>
      <c r="M6" s="127" t="n"/>
      <c r="N6" s="127" t="n"/>
      <c r="O6" s="127" t="n"/>
      <c r="P6" s="127" t="n"/>
      <c r="Q6" s="143" t="n"/>
      <c r="R6" s="11" t="n"/>
    </row>
    <row r="7">
      <c r="A7" s="10" t="n"/>
      <c r="B7" s="374" t="inlineStr">
        <is>
          <t>Üretici :</t>
        </is>
      </c>
      <c r="C7" s="482" t="n"/>
      <c r="D7" s="374">
        <f>'OG SARGI MEVCUT KADEME'!D7:F7</f>
        <v/>
      </c>
      <c r="E7" s="99" t="n"/>
      <c r="F7" s="482" t="n"/>
      <c r="G7" s="418" t="inlineStr">
        <is>
          <t>Model :</t>
        </is>
      </c>
      <c r="H7" s="482" t="n"/>
      <c r="I7" s="418">
        <f>'OG SARGI MEVCUT KADEME'!I7:K7</f>
        <v/>
      </c>
      <c r="J7" s="99" t="n"/>
      <c r="K7" s="482" t="n"/>
      <c r="L7" s="374" t="inlineStr">
        <is>
          <t>Seri Numarası :</t>
        </is>
      </c>
      <c r="M7" s="99" t="n"/>
      <c r="N7" s="482" t="n"/>
      <c r="O7" s="418">
        <f>'OG SARGI MEVCUT KADEME'!O7:Q7</f>
        <v/>
      </c>
      <c r="P7" s="99" t="n"/>
      <c r="Q7" s="482" t="n"/>
      <c r="R7" s="11" t="n"/>
    </row>
    <row r="8">
      <c r="A8" s="10" t="n"/>
      <c r="B8" s="3" t="n"/>
      <c r="C8" s="127" t="n"/>
      <c r="D8" s="127" t="n"/>
      <c r="E8" s="127" t="n"/>
      <c r="F8" s="127" t="n"/>
      <c r="G8" s="127" t="n"/>
      <c r="H8" s="127" t="n"/>
      <c r="I8" s="127" t="n"/>
      <c r="J8" s="127" t="n"/>
      <c r="K8" s="127" t="n"/>
      <c r="L8" s="127" t="n"/>
      <c r="M8" s="127" t="n"/>
      <c r="N8" s="127" t="n"/>
      <c r="O8" s="127" t="n"/>
      <c r="P8" s="127" t="n"/>
      <c r="Q8" s="143" t="n"/>
      <c r="R8" s="11" t="n"/>
    </row>
    <row r="9" ht="18.75" customHeight="1" s="227">
      <c r="A9" s="10" t="n"/>
      <c r="B9" s="402" t="inlineStr">
        <is>
          <t>OTURUM TARİHİ :</t>
        </is>
      </c>
      <c r="C9" s="99" t="n"/>
      <c r="D9" s="99" t="n"/>
      <c r="E9" s="99" t="n"/>
      <c r="F9" s="99" t="n"/>
      <c r="G9" s="99" t="n"/>
      <c r="H9" s="99" t="n"/>
      <c r="I9" s="99" t="n"/>
      <c r="J9" s="499">
        <f>'KAPAK SAYFASI'!D54</f>
        <v/>
      </c>
      <c r="K9" s="99" t="n"/>
      <c r="L9" s="99" t="n"/>
      <c r="M9" s="99" t="n"/>
      <c r="N9" s="99" t="n"/>
      <c r="O9" s="99" t="n"/>
      <c r="P9" s="99" t="n"/>
      <c r="Q9" s="482" t="n"/>
      <c r="R9" s="11" t="n"/>
    </row>
    <row r="10">
      <c r="A10" s="10" t="n"/>
      <c r="B10" s="3" t="n"/>
      <c r="C10" s="127" t="n"/>
      <c r="D10" s="127" t="n"/>
      <c r="E10" s="127" t="n"/>
      <c r="F10" s="127" t="n"/>
      <c r="G10" s="127" t="n"/>
      <c r="H10" s="127" t="n"/>
      <c r="I10" s="127" t="n"/>
      <c r="J10" s="127" t="n"/>
      <c r="K10" s="127" t="n"/>
      <c r="L10" s="127" t="n"/>
      <c r="M10" s="127" t="n"/>
      <c r="N10" s="127" t="n"/>
      <c r="O10" s="127" t="n"/>
      <c r="P10" s="127" t="n"/>
      <c r="Q10" s="143" t="n"/>
      <c r="R10" s="11" t="n"/>
    </row>
    <row r="11">
      <c r="A11" s="10" t="n"/>
      <c r="B11" s="421" t="inlineStr">
        <is>
          <t>Operatör :</t>
        </is>
      </c>
      <c r="C11" s="482" t="n"/>
      <c r="D11" s="422">
        <f>'OG SARGI MEVCUT KADEME'!D11</f>
        <v/>
      </c>
      <c r="E11" s="99" t="n"/>
      <c r="F11" s="99" t="n"/>
      <c r="G11" s="482" t="n"/>
      <c r="H11" s="421" t="inlineStr">
        <is>
          <t>Cihaz :</t>
        </is>
      </c>
      <c r="I11" s="482" t="n"/>
      <c r="J11" s="374" t="n"/>
      <c r="K11" s="99" t="n"/>
      <c r="L11" s="482" t="n"/>
      <c r="M11" s="374" t="inlineStr">
        <is>
          <t>Cihaz S/N :</t>
        </is>
      </c>
      <c r="N11" s="482" t="n"/>
      <c r="O11" s="374" t="n"/>
      <c r="P11" s="99" t="n"/>
      <c r="Q11" s="482" t="n"/>
      <c r="R11" s="11" t="n"/>
    </row>
    <row r="12">
      <c r="A12" s="10" t="n"/>
      <c r="B12" s="3" t="n"/>
      <c r="C12" s="127" t="n"/>
      <c r="D12" s="127" t="n"/>
      <c r="E12" s="127" t="n"/>
      <c r="F12" s="127" t="n"/>
      <c r="G12" s="127" t="n"/>
      <c r="H12" s="127" t="n"/>
      <c r="I12" s="127" t="n"/>
      <c r="J12" s="127" t="n"/>
      <c r="K12" s="127" t="n"/>
      <c r="L12" s="127" t="n"/>
      <c r="M12" s="127" t="n"/>
      <c r="N12" s="127" t="n"/>
      <c r="O12" s="127" t="n"/>
      <c r="P12" s="127" t="n"/>
      <c r="Q12" s="143" t="n"/>
      <c r="R12" s="11" t="n"/>
    </row>
    <row r="13" ht="18.75" customHeight="1" s="227">
      <c r="A13" s="10" t="n"/>
      <c r="B13" s="420" t="inlineStr">
        <is>
          <t>Sonuçlar</t>
        </is>
      </c>
      <c r="C13" s="99" t="n"/>
      <c r="D13" s="99" t="n"/>
      <c r="E13" s="99" t="n"/>
      <c r="F13" s="99" t="n"/>
      <c r="G13" s="99" t="n"/>
      <c r="H13" s="99" t="n"/>
      <c r="I13" s="99" t="n"/>
      <c r="J13" s="99" t="n"/>
      <c r="K13" s="99" t="n"/>
      <c r="L13" s="99" t="n"/>
      <c r="M13" s="99" t="n"/>
      <c r="N13" s="99" t="n"/>
      <c r="O13" s="99" t="n"/>
      <c r="P13" s="99" t="n"/>
      <c r="Q13" s="482" t="n"/>
      <c r="R13" s="11" t="n"/>
      <c r="V13">
        <f>'ANA SAYFA'!G13</f>
        <v/>
      </c>
    </row>
    <row r="14">
      <c r="A14" s="10" t="n"/>
      <c r="B14" s="3" t="n"/>
      <c r="C14" s="127" t="n"/>
      <c r="D14" s="127" t="n"/>
      <c r="E14" s="127" t="n"/>
      <c r="F14" s="127" t="n"/>
      <c r="G14" s="127" t="n"/>
      <c r="H14" s="127" t="n"/>
      <c r="I14" s="127" t="n"/>
      <c r="J14" s="127" t="n"/>
      <c r="K14" s="127" t="n"/>
      <c r="L14" s="127" t="n"/>
      <c r="M14" s="127" t="n"/>
      <c r="N14" s="127" t="n"/>
      <c r="O14" s="127" t="n"/>
      <c r="P14" s="127" t="n"/>
      <c r="Q14" s="143" t="n"/>
      <c r="R14" s="11" t="n"/>
      <c r="V14">
        <f>V13/0.69282</f>
        <v/>
      </c>
    </row>
    <row r="15" ht="18.75" customHeight="1" s="227">
      <c r="A15" s="10" t="n"/>
      <c r="B15" s="419" t="inlineStr">
        <is>
          <t>PT Sargı Otomatik</t>
        </is>
      </c>
      <c r="C15" s="99" t="n"/>
      <c r="D15" s="99" t="n"/>
      <c r="E15" s="99" t="n"/>
      <c r="F15" s="99" t="n"/>
      <c r="G15" s="99" t="n"/>
      <c r="H15" s="99" t="n"/>
      <c r="I15" s="482" t="n"/>
      <c r="J15" s="386" t="inlineStr">
        <is>
          <t xml:space="preserve">LV Kademe Tap </t>
        </is>
      </c>
      <c r="K15" s="99" t="n"/>
      <c r="L15" s="99" t="n"/>
      <c r="M15" s="99" t="n"/>
      <c r="N15" s="79" t="n">
        <v>1</v>
      </c>
      <c r="O15" s="79" t="n"/>
      <c r="P15" s="79" t="n"/>
      <c r="Q15" s="38" t="n"/>
      <c r="R15" s="11" t="n"/>
    </row>
    <row r="16">
      <c r="A16" s="10" t="n"/>
      <c r="B16" s="3" t="n"/>
      <c r="C16" s="127" t="n"/>
      <c r="D16" s="127" t="n"/>
      <c r="E16" s="127" t="n"/>
      <c r="F16" s="127" t="n"/>
      <c r="G16" s="127" t="n"/>
      <c r="H16" s="127" t="n"/>
      <c r="I16" s="127" t="n"/>
      <c r="J16" s="127" t="n"/>
      <c r="K16" s="127" t="n"/>
      <c r="L16" s="127" t="n"/>
      <c r="M16" s="127" t="n"/>
      <c r="N16" s="127" t="n"/>
      <c r="O16" s="127" t="n"/>
      <c r="P16" s="127" t="n"/>
      <c r="Q16" s="143" t="n"/>
      <c r="R16" s="11" t="n"/>
    </row>
    <row r="17">
      <c r="A17" s="10" t="n"/>
      <c r="B17" s="384" t="inlineStr">
        <is>
          <t>Nominal Direnç</t>
        </is>
      </c>
      <c r="F17" s="446" t="n"/>
      <c r="J17" s="446" t="n"/>
      <c r="N17" s="319" t="n"/>
      <c r="Q17" s="212" t="n"/>
      <c r="R17" s="11" t="n"/>
    </row>
    <row r="18">
      <c r="A18" s="10" t="n"/>
      <c r="B18" s="377" t="inlineStr">
        <is>
          <t>Vektör Grubu</t>
        </is>
      </c>
      <c r="F18" s="446">
        <f>'ANA SAYFA'!G19</f>
        <v/>
      </c>
      <c r="J18" s="446" t="n"/>
      <c r="N18" s="319" t="n"/>
      <c r="Q18" s="212" t="n"/>
      <c r="R18" s="11" t="n"/>
    </row>
    <row r="19">
      <c r="A19" s="10" t="n"/>
      <c r="B19" s="377" t="inlineStr">
        <is>
          <t>3-faz</t>
        </is>
      </c>
      <c r="F19" s="446" t="n"/>
      <c r="J19" s="446" t="n"/>
      <c r="N19" s="319" t="n"/>
      <c r="Q19" s="212" t="n"/>
      <c r="R19" s="11" t="n"/>
    </row>
    <row r="20">
      <c r="A20" s="10" t="n"/>
      <c r="B20" s="377" t="inlineStr">
        <is>
          <t>Nominal Değerler</t>
        </is>
      </c>
      <c r="F20" s="417">
        <f>(K24+K25+K26)/3</f>
        <v/>
      </c>
      <c r="H20" s="127" t="inlineStr">
        <is>
          <t>Ω</t>
        </is>
      </c>
      <c r="I20" s="127" t="n"/>
      <c r="J20" s="446" t="n"/>
      <c r="N20" s="319" t="n"/>
      <c r="Q20" s="212" t="n"/>
      <c r="R20" s="11" t="n"/>
    </row>
    <row r="21">
      <c r="A21" s="10" t="n"/>
      <c r="B21" s="377" t="inlineStr">
        <is>
          <t>Çıkış Kademesi</t>
        </is>
      </c>
      <c r="F21" s="446" t="inlineStr">
        <is>
          <t>DC 400A</t>
        </is>
      </c>
      <c r="J21" s="446" t="n"/>
      <c r="N21" s="319" t="n"/>
      <c r="Q21" s="212" t="n"/>
      <c r="R21" s="11" t="n"/>
      <c r="T21" t="inlineStr">
        <is>
          <t>A</t>
        </is>
      </c>
      <c r="U21" s="500">
        <f>MIN(T32:T33)</f>
        <v/>
      </c>
    </row>
    <row r="22">
      <c r="A22" s="10" t="n"/>
      <c r="B22" s="3" t="n"/>
      <c r="C22" s="127" t="n"/>
      <c r="D22" s="127" t="n"/>
      <c r="E22" s="127" t="n"/>
      <c r="F22" s="127" t="n"/>
      <c r="G22" s="127" t="n"/>
      <c r="H22" s="127" t="n"/>
      <c r="I22" s="127" t="n"/>
      <c r="J22" s="127" t="n"/>
      <c r="K22" s="127" t="n"/>
      <c r="L22" s="127" t="n"/>
      <c r="M22" s="127" t="n"/>
      <c r="N22" s="127" t="n"/>
      <c r="O22" s="127" t="n"/>
      <c r="P22" s="127" t="n"/>
      <c r="Q22" s="143" t="n"/>
      <c r="R22" s="11" t="n"/>
      <c r="T22" t="inlineStr">
        <is>
          <t>B</t>
        </is>
      </c>
      <c r="U22" s="500">
        <f>MIN(U32:U33)</f>
        <v/>
      </c>
    </row>
    <row r="23">
      <c r="A23" s="10" t="n"/>
      <c r="B23" s="374" t="n"/>
      <c r="C23" s="376" t="inlineStr">
        <is>
          <t>I Testi [A]</t>
        </is>
      </c>
      <c r="D23" s="482" t="n"/>
      <c r="E23" s="374" t="inlineStr">
        <is>
          <t>I DC [A]</t>
        </is>
      </c>
      <c r="F23" s="482" t="n"/>
      <c r="G23" s="374" t="inlineStr">
        <is>
          <t>V DC [V]</t>
        </is>
      </c>
      <c r="H23" s="482" t="n"/>
      <c r="I23" s="374" t="inlineStr">
        <is>
          <t>Zaman [S]</t>
        </is>
      </c>
      <c r="J23" s="482" t="n"/>
      <c r="K23" s="374" t="inlineStr">
        <is>
          <t>R.ölç[Ω]</t>
        </is>
      </c>
      <c r="L23" s="482" t="n"/>
      <c r="M23" s="374" t="inlineStr">
        <is>
          <t>R. Nom</t>
        </is>
      </c>
      <c r="N23" s="482" t="n"/>
      <c r="O23" s="374" t="inlineStr">
        <is>
          <t>Hata[%]</t>
        </is>
      </c>
      <c r="P23" s="482" t="n"/>
      <c r="Q23" s="374" t="n"/>
      <c r="R23" s="11" t="n"/>
      <c r="T23" t="inlineStr">
        <is>
          <t>C</t>
        </is>
      </c>
      <c r="U23" s="500">
        <f>MIN(V32:V33)</f>
        <v/>
      </c>
    </row>
    <row r="24">
      <c r="A24" s="10" t="n"/>
      <c r="B24" s="374" t="inlineStr">
        <is>
          <t>A</t>
        </is>
      </c>
      <c r="C24" s="370">
        <f>'ANA SAYFA'!I53</f>
        <v/>
      </c>
      <c r="D24" s="482" t="n"/>
      <c r="E24" s="370">
        <f>C24</f>
        <v/>
      </c>
      <c r="F24" s="482" t="n"/>
      <c r="G24" s="415">
        <f>(K24*E24)*0.98</f>
        <v/>
      </c>
      <c r="H24" s="482" t="n"/>
      <c r="I24" s="370" t="n"/>
      <c r="J24" s="482" t="n"/>
      <c r="K24" s="503">
        <f>'ANA SAYFA'!G55</f>
        <v/>
      </c>
      <c r="L24" s="482" t="n"/>
      <c r="M24" s="415">
        <f>F20</f>
        <v/>
      </c>
      <c r="N24" s="482" t="n"/>
      <c r="O24" s="369">
        <f>MIN(T32:T33)</f>
        <v/>
      </c>
      <c r="P24" s="482" t="n"/>
      <c r="Q24" s="374">
        <f>IF(O24&gt;0.05,1,0)</f>
        <v/>
      </c>
      <c r="R24" s="11" t="n"/>
      <c r="T24" t="inlineStr">
        <is>
          <t>SINIR DEĞER</t>
        </is>
      </c>
      <c r="U24" s="500" t="n">
        <v>0.05</v>
      </c>
    </row>
    <row r="25">
      <c r="A25" s="10" t="n"/>
      <c r="B25" s="374" t="inlineStr">
        <is>
          <t>B</t>
        </is>
      </c>
      <c r="C25" s="370">
        <f>'ANA SAYFA'!I53</f>
        <v/>
      </c>
      <c r="D25" s="482" t="n"/>
      <c r="E25" s="370">
        <f>C25</f>
        <v/>
      </c>
      <c r="F25" s="482" t="n"/>
      <c r="G25" s="415">
        <f>(K25*E25)*0.98</f>
        <v/>
      </c>
      <c r="H25" s="482" t="n"/>
      <c r="I25" s="370" t="n"/>
      <c r="J25" s="482" t="n"/>
      <c r="K25" s="503">
        <f>'ANA SAYFA'!G57</f>
        <v/>
      </c>
      <c r="L25" s="482" t="n"/>
      <c r="M25" s="415">
        <f>M24</f>
        <v/>
      </c>
      <c r="N25" s="482" t="n"/>
      <c r="O25" s="369">
        <f>MIN(U32:U33)</f>
        <v/>
      </c>
      <c r="P25" s="482" t="n"/>
      <c r="Q25" s="374">
        <f>IF(O25&gt;0.05,1,0)</f>
        <v/>
      </c>
      <c r="R25" s="11" t="n"/>
    </row>
    <row r="26">
      <c r="A26" s="10" t="n"/>
      <c r="B26" s="374" t="inlineStr">
        <is>
          <t>C</t>
        </is>
      </c>
      <c r="C26" s="370">
        <f>'ANA SAYFA'!I53</f>
        <v/>
      </c>
      <c r="D26" s="482" t="n"/>
      <c r="E26" s="370">
        <f>C26</f>
        <v/>
      </c>
      <c r="F26" s="482" t="n"/>
      <c r="G26" s="415">
        <f>(K26*E26)*0.98</f>
        <v/>
      </c>
      <c r="H26" s="482" t="n"/>
      <c r="I26" s="370" t="n"/>
      <c r="J26" s="482" t="n"/>
      <c r="K26" s="503">
        <f>'ANA SAYFA'!G59</f>
        <v/>
      </c>
      <c r="L26" s="482" t="n"/>
      <c r="M26" s="415">
        <f>M24</f>
        <v/>
      </c>
      <c r="N26" s="482" t="n"/>
      <c r="O26" s="369">
        <f>MIN(V32:V33)</f>
        <v/>
      </c>
      <c r="P26" s="482" t="n"/>
      <c r="Q26" s="374">
        <f>IF(O26&gt;0.05,1,0)</f>
        <v/>
      </c>
      <c r="R26" s="11" t="n"/>
    </row>
    <row r="27">
      <c r="A27" s="10" t="n"/>
      <c r="B27" s="115" t="n"/>
      <c r="C27" s="19" t="n"/>
      <c r="D27" s="19" t="n"/>
      <c r="E27" s="19" t="n"/>
      <c r="F27" s="19" t="n"/>
      <c r="G27" s="19" t="n"/>
      <c r="H27" s="19" t="n"/>
      <c r="I27" s="19" t="n"/>
      <c r="J27" s="19" t="n"/>
      <c r="K27" s="19" t="n"/>
      <c r="L27" s="19" t="n"/>
      <c r="M27" s="19" t="n"/>
      <c r="N27" s="19" t="n"/>
      <c r="O27" s="19" t="n"/>
      <c r="P27" s="19" t="n"/>
      <c r="Q27" s="129" t="n"/>
      <c r="R27" s="11" t="n"/>
    </row>
    <row r="28" ht="18.75" customHeight="1" s="227">
      <c r="A28" s="10" t="n"/>
      <c r="B28" s="28" t="n"/>
      <c r="C28" s="134" t="n"/>
      <c r="D28" s="134" t="n"/>
      <c r="E28" s="134" t="n"/>
      <c r="F28" s="134" t="n"/>
      <c r="G28" s="134" t="n"/>
      <c r="H28" s="134" t="n"/>
      <c r="I28" s="134" t="n"/>
      <c r="J28" s="134" t="n"/>
      <c r="K28" s="134" t="n"/>
      <c r="L28" s="134" t="n"/>
      <c r="M28" s="134" t="n"/>
      <c r="N28" s="134" t="n"/>
      <c r="O28" s="134" t="n"/>
      <c r="P28" s="134" t="n"/>
      <c r="Q28" s="135" t="n"/>
      <c r="R28" s="11" t="n"/>
    </row>
    <row r="29">
      <c r="A29" s="10" t="n"/>
      <c r="B29" s="3" t="n"/>
      <c r="C29" s="127" t="n"/>
      <c r="D29" s="127" t="n"/>
      <c r="E29" s="127" t="n"/>
      <c r="F29" s="127" t="n"/>
      <c r="G29" s="127" t="n"/>
      <c r="H29" s="127" t="n"/>
      <c r="I29" s="127" t="n"/>
      <c r="J29" s="127" t="n"/>
      <c r="K29" s="127" t="n"/>
      <c r="L29" s="127" t="n"/>
      <c r="M29" s="127" t="n"/>
      <c r="N29" s="127" t="n"/>
      <c r="O29" s="127" t="n"/>
      <c r="P29" s="127" t="n"/>
      <c r="Q29" s="143" t="n"/>
      <c r="R29" s="11" t="n"/>
    </row>
    <row r="30">
      <c r="A30" s="10" t="n"/>
      <c r="B30" s="24" t="n"/>
      <c r="C30" s="25" t="n"/>
      <c r="D30" s="25" t="n"/>
      <c r="E30" s="25" t="n"/>
      <c r="F30" s="127" t="n"/>
      <c r="G30" s="127" t="n"/>
      <c r="H30" s="127" t="n"/>
      <c r="I30" s="127" t="n"/>
      <c r="J30" s="127" t="n"/>
      <c r="K30" s="127" t="n"/>
      <c r="L30" s="127" t="n"/>
      <c r="M30" s="127" t="n"/>
      <c r="N30" s="127" t="n"/>
      <c r="O30" s="127" t="n"/>
      <c r="P30" s="127" t="n"/>
      <c r="Q30" s="143" t="n"/>
      <c r="R30" s="11" t="n"/>
    </row>
    <row r="31">
      <c r="A31" s="10" t="n"/>
      <c r="B31" s="3" t="n"/>
      <c r="C31" s="127" t="n"/>
      <c r="D31" s="127" t="n"/>
      <c r="E31" s="127" t="n"/>
      <c r="F31" s="127" t="n"/>
      <c r="G31" s="127" t="n"/>
      <c r="H31" s="127" t="n"/>
      <c r="I31" s="127" t="n"/>
      <c r="J31" s="127" t="n"/>
      <c r="K31" s="127" t="n"/>
      <c r="L31" s="127" t="n"/>
      <c r="M31" s="127" t="n"/>
      <c r="N31" s="127" t="n"/>
      <c r="O31" s="127" t="n"/>
      <c r="P31" s="127" t="n"/>
      <c r="Q31" s="143" t="n"/>
      <c r="R31" s="11" t="n"/>
    </row>
    <row r="32">
      <c r="A32" s="10" t="n"/>
      <c r="B32" s="3" t="n"/>
      <c r="C32" s="127" t="n"/>
      <c r="D32" s="127" t="n"/>
      <c r="E32" s="127" t="n"/>
      <c r="F32" s="127" t="n"/>
      <c r="G32" s="127" t="n"/>
      <c r="H32" s="127" t="n"/>
      <c r="I32" s="127" t="n"/>
      <c r="J32" s="127" t="n"/>
      <c r="K32" s="127" t="n"/>
      <c r="L32" s="127" t="n"/>
      <c r="M32" s="127" t="n"/>
      <c r="N32" s="127" t="n"/>
      <c r="O32" s="127" t="n"/>
      <c r="P32" s="127" t="n"/>
      <c r="Q32" s="143" t="n"/>
      <c r="R32" s="11" t="n"/>
      <c r="T32">
        <f>SQRT((K24-K25)^2)/K25</f>
        <v/>
      </c>
      <c r="U32">
        <f>SQRT((K24-K25)^2)/K24</f>
        <v/>
      </c>
      <c r="V32">
        <f>SQRT((K26-K24)^2)/K24</f>
        <v/>
      </c>
    </row>
    <row r="33">
      <c r="A33" s="10" t="n"/>
      <c r="B33" s="3" t="n"/>
      <c r="C33" s="127" t="n"/>
      <c r="D33" s="127" t="n"/>
      <c r="E33" s="127" t="n"/>
      <c r="F33" s="127" t="n"/>
      <c r="G33" s="127" t="n"/>
      <c r="H33" s="127" t="n"/>
      <c r="I33" s="127" t="n"/>
      <c r="J33" s="127" t="n"/>
      <c r="K33" s="127" t="n"/>
      <c r="L33" s="127" t="n"/>
      <c r="M33" s="127" t="n"/>
      <c r="N33" s="127" t="n"/>
      <c r="O33" s="127" t="n"/>
      <c r="P33" s="127" t="n"/>
      <c r="Q33" s="143" t="n"/>
      <c r="R33" s="11" t="n"/>
      <c r="T33">
        <f>SQRT((K26-K24)^2)/K26</f>
        <v/>
      </c>
      <c r="U33">
        <f>SQRT((K25-K26)^2)/K26</f>
        <v/>
      </c>
      <c r="V33">
        <f>SQRT((K26-K25)^2)/K25</f>
        <v/>
      </c>
    </row>
    <row r="34">
      <c r="A34" s="10" t="n"/>
      <c r="B34" s="3" t="n"/>
      <c r="C34" s="127" t="n"/>
      <c r="D34" s="127" t="n"/>
      <c r="E34" s="127" t="n"/>
      <c r="F34" s="23" t="n"/>
      <c r="G34" s="127" t="n"/>
      <c r="H34" s="127" t="n"/>
      <c r="I34" s="127" t="n"/>
      <c r="J34" s="127" t="n"/>
      <c r="K34" s="127" t="n"/>
      <c r="L34" s="127" t="n"/>
      <c r="M34" s="127" t="n"/>
      <c r="N34" s="127" t="n"/>
      <c r="O34" s="127" t="n"/>
      <c r="P34" s="127" t="n"/>
      <c r="Q34" s="143" t="n"/>
      <c r="R34" s="11" t="n"/>
    </row>
    <row r="35">
      <c r="A35" s="10" t="n"/>
      <c r="B35" s="3" t="n"/>
      <c r="C35" s="127" t="n"/>
      <c r="D35" s="127" t="n"/>
      <c r="E35" s="127" t="n"/>
      <c r="F35" s="127" t="n"/>
      <c r="G35" s="127" t="n"/>
      <c r="H35" s="127" t="n"/>
      <c r="I35" s="127" t="n"/>
      <c r="J35" s="127" t="n"/>
      <c r="K35" s="127" t="n"/>
      <c r="L35" s="127" t="n"/>
      <c r="M35" s="127" t="n"/>
      <c r="N35" s="127" t="n"/>
      <c r="O35" s="127" t="n"/>
      <c r="P35" s="127" t="n"/>
      <c r="Q35" s="143" t="n"/>
      <c r="R35" s="11" t="n"/>
    </row>
    <row r="36">
      <c r="A36" s="10" t="n"/>
      <c r="B36" s="3" t="n"/>
      <c r="C36" s="127" t="n"/>
      <c r="D36" s="127" t="n"/>
      <c r="E36" s="127" t="n"/>
      <c r="F36" s="127" t="n"/>
      <c r="G36" s="127" t="n"/>
      <c r="H36" s="127" t="n"/>
      <c r="I36" s="127" t="n"/>
      <c r="J36" s="127" t="n"/>
      <c r="K36" s="127" t="n"/>
      <c r="L36" s="127" t="n"/>
      <c r="M36" s="127" t="n"/>
      <c r="N36" s="127" t="n"/>
      <c r="O36" s="127" t="n"/>
      <c r="P36" s="127" t="n"/>
      <c r="Q36" s="143" t="n"/>
      <c r="R36" s="11" t="n"/>
    </row>
    <row r="37">
      <c r="A37" s="10" t="n"/>
      <c r="B37" s="118" t="n"/>
      <c r="C37" s="27" t="n"/>
      <c r="D37" s="27" t="n"/>
      <c r="E37" s="127" t="n"/>
      <c r="F37" s="127" t="n"/>
      <c r="G37" s="127" t="n"/>
      <c r="H37" s="127" t="n"/>
      <c r="I37" s="127" t="n"/>
      <c r="J37" s="127" t="n"/>
      <c r="K37" s="127" t="n"/>
      <c r="L37" s="127" t="n"/>
      <c r="M37" s="127" t="n"/>
      <c r="N37" s="127" t="n"/>
      <c r="O37" s="127" t="n"/>
      <c r="P37" s="127" t="n"/>
      <c r="Q37" s="117" t="n"/>
      <c r="R37" s="11" t="n"/>
    </row>
    <row r="38">
      <c r="A38" s="10" t="n"/>
      <c r="B38" s="118" t="n"/>
      <c r="C38" s="23" t="n"/>
      <c r="D38" s="23" t="n"/>
      <c r="E38" s="23" t="n"/>
      <c r="F38" s="23" t="n"/>
      <c r="G38" s="23" t="n"/>
      <c r="H38" s="23" t="n"/>
      <c r="I38" s="23" t="n"/>
      <c r="J38" s="23" t="n"/>
      <c r="K38" s="23" t="n"/>
      <c r="L38" s="23" t="n"/>
      <c r="M38" s="23" t="n"/>
      <c r="N38" s="23" t="n"/>
      <c r="O38" s="23" t="n"/>
      <c r="P38" s="23" t="n"/>
      <c r="Q38" s="117" t="n"/>
      <c r="R38" s="11" t="n"/>
    </row>
    <row r="39" ht="15.75" customHeight="1" s="227">
      <c r="A39" s="10" t="n"/>
      <c r="B39" s="357" t="inlineStr">
        <is>
          <t>Sonuç :</t>
        </is>
      </c>
      <c r="C39" s="47" t="n"/>
      <c r="D39" s="412" t="inlineStr">
        <is>
          <t>Yapılan ölçümlerde AG (Alçak gerilim) sargısına ait direnç değerleri uygundur.</t>
        </is>
      </c>
      <c r="E39" s="47" t="n"/>
      <c r="F39" s="47" t="n"/>
      <c r="G39" s="47" t="n"/>
      <c r="H39" s="47" t="n"/>
      <c r="I39" s="47" t="n"/>
      <c r="J39" s="47" t="n"/>
      <c r="K39" s="47" t="n"/>
      <c r="L39" s="47" t="n"/>
      <c r="M39" s="47" t="n"/>
      <c r="N39" s="47" t="n"/>
      <c r="O39" s="47" t="n"/>
      <c r="P39" s="47" t="n"/>
      <c r="Q39" s="211" t="n"/>
      <c r="R39" s="11" t="n"/>
    </row>
    <row r="40">
      <c r="A40" s="10" t="n"/>
      <c r="B40" s="118" t="n"/>
      <c r="C40" s="23" t="n"/>
      <c r="Q40" s="212" t="n"/>
      <c r="R40" s="11" t="n"/>
    </row>
    <row r="41">
      <c r="A41" s="10" t="n"/>
      <c r="B41" s="3" t="n"/>
      <c r="C41" s="127" t="n"/>
      <c r="Q41" s="212" t="n"/>
      <c r="R41" s="11" t="n"/>
    </row>
    <row r="42">
      <c r="A42" s="10" t="n"/>
      <c r="B42" s="3" t="n"/>
      <c r="C42" s="127" t="n"/>
      <c r="Q42" s="212" t="n"/>
      <c r="R42" s="11" t="n"/>
    </row>
    <row r="43">
      <c r="A43" s="10" t="n"/>
      <c r="B43" s="62" t="n"/>
      <c r="Q43" s="212" t="n"/>
      <c r="R43" s="11" t="n"/>
    </row>
    <row r="44">
      <c r="A44" s="10" t="n"/>
      <c r="B44" s="62" t="n"/>
      <c r="J44" s="50" t="n"/>
      <c r="K44" s="50" t="n"/>
      <c r="L44" s="50" t="n"/>
      <c r="M44" s="50" t="n"/>
      <c r="N44" s="50" t="n"/>
      <c r="O44" s="50" t="n"/>
      <c r="P44" s="50" t="n"/>
      <c r="Q44" s="213" t="n"/>
      <c r="R44" s="11" t="n"/>
    </row>
    <row r="45" ht="22.5" customHeight="1" s="227">
      <c r="A45" s="10" t="n"/>
      <c r="B45" s="355" t="n"/>
      <c r="C45" s="99" t="n"/>
      <c r="D45" s="99" t="n"/>
      <c r="E45" s="79" t="n"/>
      <c r="F45" s="364" t="n"/>
      <c r="G45" s="99" t="n"/>
      <c r="H45" s="99" t="n"/>
      <c r="I45" s="482" t="n"/>
      <c r="J45" s="290" t="inlineStr">
        <is>
          <t>ONAYLAYAN</t>
        </is>
      </c>
      <c r="K45" s="99" t="n"/>
      <c r="L45" s="99" t="n"/>
      <c r="M45" s="99" t="n"/>
      <c r="N45" s="99" t="n"/>
      <c r="O45" s="99" t="n"/>
      <c r="P45" s="99" t="n"/>
      <c r="Q45" s="482" t="n"/>
      <c r="R45" s="11" t="n"/>
    </row>
    <row r="46" ht="22.5" customHeight="1" s="227">
      <c r="A46" s="10" t="n"/>
      <c r="B46" s="365" t="inlineStr">
        <is>
          <t>UNVAN</t>
        </is>
      </c>
      <c r="C46" s="47" t="n"/>
      <c r="D46" s="47" t="n"/>
      <c r="E46" s="134" t="inlineStr">
        <is>
          <t>:</t>
        </is>
      </c>
      <c r="F46" s="368" t="inlineStr">
        <is>
          <t>Elektrik Mühendisi</t>
        </is>
      </c>
      <c r="G46" s="47" t="n"/>
      <c r="H46" s="47" t="n"/>
      <c r="I46" s="211" t="n"/>
      <c r="J46" s="54" t="n"/>
      <c r="K46" s="54" t="n"/>
      <c r="L46" s="134" t="n"/>
      <c r="M46" s="134" t="n"/>
      <c r="N46" s="134" t="n"/>
      <c r="O46" s="134" t="n"/>
      <c r="P46" s="134" t="n"/>
      <c r="Q46" s="135" t="n"/>
      <c r="R46" s="11" t="n"/>
    </row>
    <row r="47" ht="22.5" customHeight="1" s="227">
      <c r="A47" s="10" t="n"/>
      <c r="B47" s="351" t="inlineStr">
        <is>
          <t>TEST TARİHİ</t>
        </is>
      </c>
      <c r="E47" s="134" t="inlineStr">
        <is>
          <t>:</t>
        </is>
      </c>
      <c r="F47" s="502">
        <f>'KAPAK SAYFASI'!D53</f>
        <v/>
      </c>
      <c r="I47" s="212" t="n"/>
      <c r="J47" s="54" t="n"/>
      <c r="K47" s="54" t="n"/>
      <c r="L47" s="134" t="n"/>
      <c r="M47" s="134" t="n"/>
      <c r="N47" s="134" t="n"/>
      <c r="O47" s="134" t="n"/>
      <c r="P47" s="134" t="n"/>
      <c r="Q47" s="135" t="n"/>
      <c r="R47" s="11" t="n"/>
    </row>
    <row r="48" ht="22.5" customHeight="1" s="227">
      <c r="A48" s="10" t="n"/>
      <c r="B48" s="233" t="n"/>
      <c r="C48" s="234" t="n"/>
      <c r="D48" s="234" t="n"/>
      <c r="E48" s="234" t="n"/>
      <c r="F48" s="234" t="n"/>
      <c r="G48" s="234" t="n"/>
      <c r="H48" s="234" t="n"/>
      <c r="I48" s="235" t="n"/>
      <c r="J48" s="139" t="n"/>
      <c r="K48" s="139" t="n"/>
      <c r="L48" s="139" t="n"/>
      <c r="M48" s="139" t="n"/>
      <c r="N48" s="139" t="n"/>
      <c r="O48" s="139" t="n"/>
      <c r="P48" s="139" t="n"/>
      <c r="Q48" s="136" t="n"/>
      <c r="R48" s="11" t="n"/>
    </row>
    <row r="49" ht="15.75" customHeight="1" s="227" thickBot="1">
      <c r="A49" s="15" t="n"/>
      <c r="B49" s="16" t="n"/>
      <c r="C49" s="16" t="n"/>
      <c r="D49" s="16" t="n"/>
      <c r="E49" s="16" t="n"/>
      <c r="F49" s="16" t="n"/>
      <c r="G49" s="16" t="n"/>
      <c r="H49" s="16" t="n"/>
      <c r="I49" s="16" t="n"/>
      <c r="J49" s="16" t="n"/>
      <c r="K49" s="16" t="n"/>
      <c r="L49" s="16" t="n"/>
      <c r="M49" s="16" t="n"/>
      <c r="N49" s="16" t="n"/>
      <c r="O49" s="16" t="n"/>
      <c r="P49" s="16" t="n"/>
      <c r="Q49" s="16" t="n"/>
      <c r="R49" s="17" t="n"/>
    </row>
  </sheetData>
  <mergeCells count="79">
    <mergeCell ref="K24:L24"/>
    <mergeCell ref="E23:F23"/>
    <mergeCell ref="G23:H23"/>
    <mergeCell ref="I26:J26"/>
    <mergeCell ref="J18:M18"/>
    <mergeCell ref="K26:L26"/>
    <mergeCell ref="J11:L11"/>
    <mergeCell ref="J17:M17"/>
    <mergeCell ref="I25:J25"/>
    <mergeCell ref="N20:Q20"/>
    <mergeCell ref="O26:P26"/>
    <mergeCell ref="J19:M19"/>
    <mergeCell ref="M25:N25"/>
    <mergeCell ref="O25:P25"/>
    <mergeCell ref="B21:E21"/>
    <mergeCell ref="B9:I9"/>
    <mergeCell ref="J2:Q2"/>
    <mergeCell ref="J9:Q9"/>
    <mergeCell ref="B11:C11"/>
    <mergeCell ref="G7:H7"/>
    <mergeCell ref="F20:G20"/>
    <mergeCell ref="F19:I19"/>
    <mergeCell ref="H11:I11"/>
    <mergeCell ref="B18:E18"/>
    <mergeCell ref="G24:H24"/>
    <mergeCell ref="B45:D45"/>
    <mergeCell ref="I24:J24"/>
    <mergeCell ref="O7:Q7"/>
    <mergeCell ref="D11:G11"/>
    <mergeCell ref="E26:F26"/>
    <mergeCell ref="B47:D47"/>
    <mergeCell ref="G26:H26"/>
    <mergeCell ref="F45:I45"/>
    <mergeCell ref="M24:N24"/>
    <mergeCell ref="F17:I17"/>
    <mergeCell ref="B46:D46"/>
    <mergeCell ref="E25:F25"/>
    <mergeCell ref="G25:H25"/>
    <mergeCell ref="F47:I47"/>
    <mergeCell ref="J20:M20"/>
    <mergeCell ref="F46:I46"/>
    <mergeCell ref="K25:L25"/>
    <mergeCell ref="B7:C7"/>
    <mergeCell ref="G2:H2"/>
    <mergeCell ref="J21:M21"/>
    <mergeCell ref="D7:F7"/>
    <mergeCell ref="B5:Q5"/>
    <mergeCell ref="M11:N11"/>
    <mergeCell ref="J45:Q45"/>
    <mergeCell ref="I23:J23"/>
    <mergeCell ref="K23:L23"/>
    <mergeCell ref="C23:D23"/>
    <mergeCell ref="M26:N26"/>
    <mergeCell ref="N18:Q18"/>
    <mergeCell ref="F18:I18"/>
    <mergeCell ref="B17:E17"/>
    <mergeCell ref="B15:I15"/>
    <mergeCell ref="N17:Q17"/>
    <mergeCell ref="M23:N23"/>
    <mergeCell ref="O23:P23"/>
    <mergeCell ref="B19:E19"/>
    <mergeCell ref="I7:K7"/>
    <mergeCell ref="N19:Q19"/>
    <mergeCell ref="C24:D24"/>
    <mergeCell ref="E24:F24"/>
    <mergeCell ref="O24:P24"/>
    <mergeCell ref="B20:E20"/>
    <mergeCell ref="C26:D26"/>
    <mergeCell ref="B39:C39"/>
    <mergeCell ref="C25:D25"/>
    <mergeCell ref="G3:H3"/>
    <mergeCell ref="O11:Q11"/>
    <mergeCell ref="D39:Q42"/>
    <mergeCell ref="N21:Q21"/>
    <mergeCell ref="F21:I21"/>
    <mergeCell ref="J15:M15"/>
    <mergeCell ref="L7:N7"/>
    <mergeCell ref="J3:Q3"/>
    <mergeCell ref="B13:Q13"/>
  </mergeCells>
  <conditionalFormatting sqref="Q24">
    <cfRule type="iconSet" priority="3">
      <iconSet iconSet="3Symbols2" showValue="0" reverse="1">
        <cfvo type="percent" val="0"/>
        <cfvo type="num" val="1"/>
        <cfvo type="num" val="1"/>
      </iconSet>
    </cfRule>
  </conditionalFormatting>
  <conditionalFormatting sqref="Q25">
    <cfRule type="iconSet" priority="2">
      <iconSet iconSet="3Symbols2" showValue="0" reverse="1">
        <cfvo type="percent" val="0"/>
        <cfvo type="num" val="1"/>
        <cfvo type="num" val="1"/>
      </iconSet>
    </cfRule>
  </conditionalFormatting>
  <conditionalFormatting sqref="Q26">
    <cfRule type="iconSet" priority="1">
      <iconSet iconSet="3Symbols2" showValue="0" reverse="1">
        <cfvo type="percent" val="0"/>
        <cfvo type="num" val="1"/>
        <cfvo type="num" val="1"/>
      </iconSet>
    </cfRule>
  </conditionalFormatting>
  <pageMargins left="0.5511811023622047" right="0.2362204724409449" top="0.3543307086614173" bottom="0.3543307086614173" header="0" footer="0"/>
  <pageSetup orientation="portrait" paperSize="9" scale="99"/>
  <drawing xmlns:r="http://schemas.openxmlformats.org/officeDocument/2006/relationships" r:id="rId1"/>
</worksheet>
</file>

<file path=xl/worksheets/sheet5.xml><?xml version="1.0" encoding="utf-8"?>
<worksheet xmlns="http://schemas.openxmlformats.org/spreadsheetml/2006/main">
  <sheetPr codeName="Sayfa9">
    <outlinePr summaryBelow="1" summaryRight="1"/>
    <pageSetUpPr fitToPage="1"/>
  </sheetPr>
  <dimension ref="A1:AL58"/>
  <sheetViews>
    <sheetView topLeftCell="A18" zoomScale="85" zoomScaleNormal="85" workbookViewId="0">
      <selection activeCell="J10" sqref="J10"/>
    </sheetView>
  </sheetViews>
  <sheetFormatPr baseColWidth="8" defaultRowHeight="15"/>
  <cols>
    <col width="3.5703125" customWidth="1" style="227" min="1" max="1"/>
    <col width="6.7109375" customWidth="1" style="227" min="2" max="2"/>
    <col width="5.42578125" customWidth="1" style="227" min="3" max="3"/>
    <col width="6.7109375" customWidth="1" style="227" min="4" max="4"/>
    <col width="5.42578125" customWidth="1" style="227" min="5" max="5"/>
    <col width="6.7109375" customWidth="1" style="227" min="6" max="6"/>
    <col width="5.42578125" customWidth="1" style="227" min="7" max="7"/>
    <col width="6.5703125" customWidth="1" style="227" min="8" max="8"/>
    <col width="5.42578125" customWidth="1" style="227" min="9" max="9"/>
    <col width="7.5703125" customWidth="1" style="227" min="10" max="10"/>
    <col width="5.7109375" customWidth="1" style="227" min="11" max="11"/>
    <col width="7.5703125" customWidth="1" style="227" min="12" max="12"/>
    <col width="5.7109375" customWidth="1" style="227" min="13" max="15"/>
    <col width="6.5703125" customWidth="1" style="227" min="16" max="17"/>
    <col width="3.5703125" customWidth="1" style="227" min="18" max="18"/>
    <col width="12.5703125" customWidth="1" style="227" min="21" max="21"/>
    <col width="12.85546875" customWidth="1" style="227" min="22" max="22"/>
  </cols>
  <sheetData>
    <row r="1">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row>
    <row r="4">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485" t="inlineStr">
        <is>
          <t>D.C. İZOLASYON DİRENCİ TEST SONUÇLARI</t>
        </is>
      </c>
      <c r="C5" s="99" t="n"/>
      <c r="D5" s="99" t="n"/>
      <c r="E5" s="99" t="n"/>
      <c r="F5" s="99" t="n"/>
      <c r="G5" s="99" t="n"/>
      <c r="H5" s="99" t="n"/>
      <c r="I5" s="99" t="n"/>
      <c r="J5" s="99" t="n"/>
      <c r="K5" s="99" t="n"/>
      <c r="L5" s="99" t="n"/>
      <c r="M5" s="99" t="n"/>
      <c r="N5" s="99" t="n"/>
      <c r="O5" s="99" t="n"/>
      <c r="P5" s="99" t="n"/>
      <c r="Q5" s="482" t="n"/>
      <c r="R5" s="11" t="n"/>
    </row>
    <row r="6">
      <c r="A6" s="10" t="n"/>
      <c r="B6" s="3" t="n"/>
      <c r="C6" s="127" t="n"/>
      <c r="D6" s="127" t="n"/>
      <c r="E6" s="127" t="n"/>
      <c r="F6" s="127" t="n"/>
      <c r="G6" s="127" t="n"/>
      <c r="H6" s="127" t="n"/>
      <c r="I6" s="127" t="n"/>
      <c r="J6" s="127" t="n"/>
      <c r="K6" s="127" t="n"/>
      <c r="L6" s="127" t="n"/>
      <c r="M6" s="127" t="n"/>
      <c r="N6" s="127" t="n"/>
      <c r="O6" s="127" t="n"/>
      <c r="P6" s="127" t="n"/>
      <c r="Q6" s="143" t="n"/>
      <c r="R6" s="11" t="n"/>
    </row>
    <row r="7">
      <c r="A7" s="10" t="n"/>
      <c r="B7" s="374" t="inlineStr">
        <is>
          <t>Üretici :</t>
        </is>
      </c>
      <c r="C7" s="482" t="n"/>
      <c r="D7" s="374">
        <f>'OG SARGI MEVCUT KADEME'!D7:F7</f>
        <v/>
      </c>
      <c r="E7" s="99" t="n"/>
      <c r="F7" s="482" t="n"/>
      <c r="G7" s="418" t="inlineStr">
        <is>
          <t>Model :</t>
        </is>
      </c>
      <c r="H7" s="482" t="n"/>
      <c r="I7" s="418">
        <f>'OG SARGI MEVCUT KADEME'!I7:K7</f>
        <v/>
      </c>
      <c r="J7" s="99" t="n"/>
      <c r="K7" s="482" t="n"/>
      <c r="L7" s="374" t="inlineStr">
        <is>
          <t>Seri Numarası :</t>
        </is>
      </c>
      <c r="M7" s="99" t="n"/>
      <c r="N7" s="482" t="n"/>
      <c r="O7" s="418">
        <f>'OG SARGI MEVCUT KADEME'!O7:Q7</f>
        <v/>
      </c>
      <c r="P7" s="99" t="n"/>
      <c r="Q7" s="482" t="n"/>
      <c r="R7" s="11" t="n"/>
    </row>
    <row r="8">
      <c r="A8" s="10" t="n"/>
      <c r="B8" s="3" t="n"/>
      <c r="C8" s="127" t="n"/>
      <c r="D8" s="127" t="n"/>
      <c r="E8" s="127" t="n"/>
      <c r="F8" s="127" t="n"/>
      <c r="G8" s="127" t="n"/>
      <c r="H8" s="127" t="n"/>
      <c r="I8" s="127" t="n"/>
      <c r="J8" s="127" t="n"/>
      <c r="K8" s="127" t="n"/>
      <c r="L8" s="127" t="n"/>
      <c r="M8" s="127" t="n"/>
      <c r="N8" s="127" t="n"/>
      <c r="O8" s="127" t="n"/>
      <c r="P8" s="127" t="n"/>
      <c r="Q8" s="143" t="n"/>
      <c r="R8" s="11" t="n"/>
      <c r="Y8" t="inlineStr">
        <is>
          <t>OG-TANK</t>
        </is>
      </c>
      <c r="Z8" t="inlineStr">
        <is>
          <t>AG-TANK</t>
        </is>
      </c>
      <c r="AA8" t="inlineStr">
        <is>
          <t>OG-AG</t>
        </is>
      </c>
    </row>
    <row r="9" ht="18.75" customHeight="1" s="227">
      <c r="A9" s="10" t="n"/>
      <c r="B9" s="402" t="inlineStr">
        <is>
          <t>OTURUM TARİHİ :</t>
        </is>
      </c>
      <c r="C9" s="99" t="n"/>
      <c r="D9" s="99" t="n"/>
      <c r="E9" s="99" t="n"/>
      <c r="F9" s="99" t="n"/>
      <c r="G9" s="99" t="n"/>
      <c r="H9" s="99" t="n"/>
      <c r="I9" s="99" t="n"/>
      <c r="J9" s="499">
        <f>'KAPAK SAYFASI'!D54</f>
        <v/>
      </c>
      <c r="K9" s="99" t="n"/>
      <c r="L9" s="99" t="n"/>
      <c r="M9" s="99" t="n"/>
      <c r="N9" s="99" t="n"/>
      <c r="O9" s="99" t="n"/>
      <c r="P9" s="99" t="n"/>
      <c r="Q9" s="482" t="n"/>
      <c r="R9" s="11" t="n"/>
      <c r="X9" t="inlineStr">
        <is>
          <t>LİMİT</t>
        </is>
      </c>
      <c r="Y9">
        <f>V15</f>
        <v/>
      </c>
      <c r="Z9">
        <f>V20</f>
        <v/>
      </c>
      <c r="AA9">
        <f>V25</f>
        <v/>
      </c>
    </row>
    <row r="10">
      <c r="A10" s="10" t="n"/>
      <c r="B10" s="3" t="n"/>
      <c r="C10" s="127" t="n"/>
      <c r="D10" s="127" t="n"/>
      <c r="E10" s="127" t="n"/>
      <c r="F10" s="127" t="n"/>
      <c r="G10" s="127" t="n"/>
      <c r="H10" s="127" t="n"/>
      <c r="I10" s="127" t="n"/>
      <c r="J10" s="127" t="n"/>
      <c r="K10" s="127" t="n"/>
      <c r="L10" s="127" t="n"/>
      <c r="M10" s="127" t="n"/>
      <c r="N10" s="127" t="n"/>
      <c r="O10" s="127" t="n"/>
      <c r="P10" s="127" t="n"/>
      <c r="Q10" s="143" t="n"/>
      <c r="R10" s="11" t="n"/>
      <c r="X10" t="n">
        <v>30</v>
      </c>
      <c r="Y10" s="131">
        <f>H18</f>
        <v/>
      </c>
      <c r="Z10" s="131">
        <f>H23</f>
        <v/>
      </c>
      <c r="AA10" s="131">
        <f>H28</f>
        <v/>
      </c>
    </row>
    <row r="11">
      <c r="A11" s="10" t="n"/>
      <c r="B11" s="421" t="inlineStr">
        <is>
          <t>Operatör :</t>
        </is>
      </c>
      <c r="C11" s="482" t="n"/>
      <c r="D11" s="422">
        <f>'OG SARGI MEVCUT KADEME'!D11</f>
        <v/>
      </c>
      <c r="E11" s="99" t="n"/>
      <c r="F11" s="99" t="n"/>
      <c r="G11" s="482" t="n"/>
      <c r="H11" s="421" t="inlineStr">
        <is>
          <t>Cihaz :</t>
        </is>
      </c>
      <c r="I11" s="482" t="n"/>
      <c r="J11" s="422" t="n"/>
      <c r="K11" s="99" t="n"/>
      <c r="L11" s="482" t="n"/>
      <c r="M11" s="374" t="inlineStr">
        <is>
          <t>Cihaz S/N :</t>
        </is>
      </c>
      <c r="N11" s="482" t="n"/>
      <c r="O11" s="374" t="n"/>
      <c r="P11" s="99" t="n"/>
      <c r="Q11" s="482" t="n"/>
      <c r="R11" s="11" t="n"/>
      <c r="X11" t="n">
        <v>45</v>
      </c>
      <c r="Y11" s="131">
        <f>J18</f>
        <v/>
      </c>
      <c r="Z11" s="131">
        <f>J23</f>
        <v/>
      </c>
      <c r="AA11" s="131">
        <f>J28</f>
        <v/>
      </c>
    </row>
    <row r="12">
      <c r="A12" s="10" t="n"/>
      <c r="B12" s="3" t="n"/>
      <c r="C12" s="127" t="n"/>
      <c r="D12" s="127" t="n"/>
      <c r="E12" s="127" t="n"/>
      <c r="F12" s="127" t="n"/>
      <c r="G12" s="127" t="n"/>
      <c r="H12" s="127" t="n"/>
      <c r="I12" s="127" t="n"/>
      <c r="J12" s="127" t="n"/>
      <c r="K12" s="127" t="n"/>
      <c r="L12" s="127" t="n"/>
      <c r="M12" s="127" t="n"/>
      <c r="N12" s="127" t="n"/>
      <c r="O12" s="127" t="n"/>
      <c r="P12" s="127" t="n"/>
      <c r="Q12" s="143" t="n"/>
      <c r="R12" s="11" t="n"/>
      <c r="X12" t="n">
        <v>60</v>
      </c>
      <c r="Y12" s="131">
        <f>L18</f>
        <v/>
      </c>
      <c r="Z12" s="131">
        <f>L23</f>
        <v/>
      </c>
      <c r="AA12" s="131">
        <f>L28</f>
        <v/>
      </c>
    </row>
    <row r="13" ht="18.75" customHeight="1" s="227">
      <c r="A13" s="10" t="n"/>
      <c r="B13" s="380" t="inlineStr">
        <is>
          <t>Sonuçlar</t>
        </is>
      </c>
      <c r="C13" s="99" t="n"/>
      <c r="D13" s="99" t="n"/>
      <c r="E13" s="99" t="n"/>
      <c r="F13" s="99" t="n"/>
      <c r="G13" s="99" t="n"/>
      <c r="H13" s="99" t="n"/>
      <c r="I13" s="99" t="n"/>
      <c r="J13" s="99" t="n"/>
      <c r="K13" s="99" t="n"/>
      <c r="L13" s="99" t="n"/>
      <c r="M13" s="99" t="n"/>
      <c r="N13" s="432" t="inlineStr">
        <is>
          <t>Sıcaklık</t>
        </is>
      </c>
      <c r="O13" s="482" t="n"/>
      <c r="P13" s="145">
        <f>'ANA SAYFA'!G27</f>
        <v/>
      </c>
      <c r="Q13" s="146" t="inlineStr">
        <is>
          <t>°C</t>
        </is>
      </c>
      <c r="R13" s="11" t="n"/>
    </row>
    <row r="14">
      <c r="A14" s="10" t="n"/>
      <c r="B14" s="3" t="n"/>
      <c r="C14" s="127" t="n"/>
      <c r="D14" s="127" t="n"/>
      <c r="E14" s="127" t="n"/>
      <c r="F14" s="127" t="n"/>
      <c r="G14" s="127" t="n"/>
      <c r="H14" s="127" t="n"/>
      <c r="I14" s="127" t="n"/>
      <c r="J14" s="127" t="n"/>
      <c r="K14" s="127" t="n"/>
      <c r="L14" s="127" t="n"/>
      <c r="M14" s="127" t="n"/>
      <c r="N14" s="127" t="n"/>
      <c r="O14" s="127" t="n"/>
      <c r="P14" s="127" t="n"/>
      <c r="Q14" s="143" t="n"/>
      <c r="R14" s="11" t="n"/>
    </row>
    <row r="15" ht="18.75" customHeight="1" s="227">
      <c r="A15" s="10" t="n"/>
      <c r="B15" s="485" t="inlineStr">
        <is>
          <t>O.G. TANK İZOLASYON</t>
        </is>
      </c>
      <c r="C15" s="99" t="n"/>
      <c r="D15" s="99" t="n"/>
      <c r="E15" s="99" t="n"/>
      <c r="F15" s="99" t="n"/>
      <c r="G15" s="99" t="n"/>
      <c r="H15" s="99" t="n"/>
      <c r="I15" s="99" t="n"/>
      <c r="J15" s="99" t="n"/>
      <c r="K15" s="99" t="n"/>
      <c r="L15" s="99" t="n"/>
      <c r="M15" s="99" t="n"/>
      <c r="N15" s="99" t="n"/>
      <c r="O15" s="99" t="n"/>
      <c r="P15" s="99" t="n"/>
      <c r="Q15" s="482" t="n"/>
      <c r="R15" s="11" t="n"/>
      <c r="U15" t="inlineStr">
        <is>
          <t>OG-TANK</t>
        </is>
      </c>
      <c r="V15" t="n">
        <v>1.1</v>
      </c>
    </row>
    <row r="16">
      <c r="A16" s="10" t="n"/>
      <c r="B16" s="441" t="inlineStr">
        <is>
          <t>ÖLÇÜLEN DEĞERLER</t>
        </is>
      </c>
      <c r="C16" s="99" t="n"/>
      <c r="D16" s="99" t="n"/>
      <c r="E16" s="99" t="n"/>
      <c r="F16" s="99" t="n"/>
      <c r="G16" s="505" t="n"/>
      <c r="H16" s="442" t="inlineStr">
        <is>
          <t>HESAPLANAN DEĞERLER 20°C</t>
        </is>
      </c>
      <c r="I16" s="99" t="n"/>
      <c r="J16" s="99" t="n"/>
      <c r="K16" s="99" t="n"/>
      <c r="L16" s="99" t="n"/>
      <c r="M16" s="505" t="n"/>
      <c r="N16" s="127" t="n"/>
      <c r="O16" s="127" t="n"/>
      <c r="P16" s="127" t="n"/>
      <c r="Q16" s="143" t="n"/>
      <c r="R16" s="11" t="n"/>
      <c r="V16" s="303" t="inlineStr">
        <is>
          <t>UYGUN</t>
        </is>
      </c>
    </row>
    <row r="17">
      <c r="A17" s="10" t="n"/>
      <c r="B17" s="440" t="inlineStr">
        <is>
          <t>30 sn</t>
        </is>
      </c>
      <c r="C17" s="482" t="n"/>
      <c r="D17" s="440" t="n"/>
      <c r="E17" s="482" t="n"/>
      <c r="F17" s="440" t="inlineStr">
        <is>
          <t>60 sn</t>
        </is>
      </c>
      <c r="G17" s="482" t="n"/>
      <c r="H17" s="347" t="inlineStr">
        <is>
          <t>30 sn</t>
        </is>
      </c>
      <c r="I17" s="482" t="n"/>
      <c r="J17" s="440" t="inlineStr">
        <is>
          <t>45 sn</t>
        </is>
      </c>
      <c r="K17" s="482" t="n"/>
      <c r="L17" s="440" t="inlineStr">
        <is>
          <t>60 sn</t>
        </is>
      </c>
      <c r="M17" s="482" t="n"/>
      <c r="N17" s="347" t="inlineStr">
        <is>
          <t>DAR</t>
        </is>
      </c>
      <c r="O17" s="482" t="n"/>
      <c r="P17" s="440" t="inlineStr">
        <is>
          <t>Sonuç</t>
        </is>
      </c>
      <c r="Q17" s="482" t="n"/>
      <c r="R17" s="11" t="n"/>
    </row>
    <row r="18">
      <c r="A18" s="10" t="n"/>
      <c r="B18" s="126">
        <f>'ANA SAYFA'!F66</f>
        <v/>
      </c>
      <c r="C18" s="31" t="inlineStr">
        <is>
          <t>GΩ</t>
        </is>
      </c>
      <c r="D18" s="126">
        <f>'ANA SAYFA'!I66</f>
        <v/>
      </c>
      <c r="E18" s="31" t="inlineStr">
        <is>
          <t>GΩ</t>
        </is>
      </c>
      <c r="F18" s="126">
        <f>'ANA SAYFA'!L66</f>
        <v/>
      </c>
      <c r="G18" s="174" t="inlineStr">
        <is>
          <t>GΩ</t>
        </is>
      </c>
      <c r="H18" s="173">
        <f>B18*V38</f>
        <v/>
      </c>
      <c r="I18" s="31" t="inlineStr">
        <is>
          <t>GΩ</t>
        </is>
      </c>
      <c r="J18" s="126">
        <f>D18*V38</f>
        <v/>
      </c>
      <c r="K18" s="31" t="inlineStr">
        <is>
          <t>GΩ</t>
        </is>
      </c>
      <c r="L18" s="126">
        <f>F18*V38</f>
        <v/>
      </c>
      <c r="M18" s="174" t="inlineStr">
        <is>
          <t>GΩ</t>
        </is>
      </c>
      <c r="N18" s="373">
        <f>L18/H18</f>
        <v/>
      </c>
      <c r="O18" s="482" t="n"/>
      <c r="P18" s="425">
        <f>IF(L18&lt;V15,V18,V16)</f>
        <v/>
      </c>
      <c r="Q18" s="482" t="n"/>
      <c r="R18" s="11" t="n"/>
      <c r="V18" s="303" t="inlineStr">
        <is>
          <t>DÜŞÜK</t>
        </is>
      </c>
    </row>
    <row r="19">
      <c r="A19" s="10" t="n"/>
      <c r="B19" s="3" t="n"/>
      <c r="C19" s="127" t="n"/>
      <c r="D19" s="127" t="n"/>
      <c r="E19" s="127" t="n"/>
      <c r="F19" s="127" t="n"/>
      <c r="G19" s="127" t="n"/>
      <c r="H19" s="127" t="n"/>
      <c r="I19" s="127" t="n"/>
      <c r="J19" s="127" t="n"/>
      <c r="K19" s="127" t="n"/>
      <c r="L19" s="127" t="n"/>
      <c r="M19" s="127" t="n"/>
      <c r="N19" s="127" t="n"/>
      <c r="O19" s="127" t="n"/>
      <c r="P19" s="127" t="n"/>
      <c r="Q19" s="143" t="n"/>
      <c r="R19" s="11" t="n"/>
    </row>
    <row r="20" ht="18.75" customHeight="1" s="227">
      <c r="A20" s="10" t="n"/>
      <c r="B20" s="485" t="inlineStr">
        <is>
          <t>A.G. TANK İZOLASYON</t>
        </is>
      </c>
      <c r="C20" s="99" t="n"/>
      <c r="D20" s="99" t="n"/>
      <c r="E20" s="99" t="n"/>
      <c r="F20" s="99" t="n"/>
      <c r="G20" s="99" t="n"/>
      <c r="H20" s="99" t="n"/>
      <c r="I20" s="99" t="n"/>
      <c r="J20" s="99" t="n"/>
      <c r="K20" s="99" t="n"/>
      <c r="L20" s="99" t="n"/>
      <c r="M20" s="99" t="n"/>
      <c r="N20" s="99" t="n"/>
      <c r="O20" s="99" t="n"/>
      <c r="P20" s="99" t="n"/>
      <c r="Q20" s="482" t="n"/>
      <c r="R20" s="11" t="n"/>
      <c r="U20" t="inlineStr">
        <is>
          <t>AG-TANK</t>
        </is>
      </c>
      <c r="V20" t="n">
        <v>0.2</v>
      </c>
    </row>
    <row r="21">
      <c r="A21" s="10" t="n"/>
      <c r="B21" s="441" t="inlineStr">
        <is>
          <t>ÖLÇÜLEN DEĞERLER</t>
        </is>
      </c>
      <c r="C21" s="99" t="n"/>
      <c r="D21" s="99" t="n"/>
      <c r="E21" s="99" t="n"/>
      <c r="F21" s="99" t="n"/>
      <c r="G21" s="505" t="n"/>
      <c r="H21" s="442" t="inlineStr">
        <is>
          <t>HESAPLANAN DEĞERLER 20°C</t>
        </is>
      </c>
      <c r="I21" s="99" t="n"/>
      <c r="J21" s="99" t="n"/>
      <c r="K21" s="99" t="n"/>
      <c r="L21" s="99" t="n"/>
      <c r="M21" s="505" t="n"/>
      <c r="N21" s="127" t="n"/>
      <c r="O21" s="127" t="n"/>
      <c r="P21" s="127" t="n"/>
      <c r="Q21" s="143" t="n"/>
      <c r="R21" s="11" t="n"/>
      <c r="V21" s="303" t="inlineStr">
        <is>
          <t>UYGUN</t>
        </is>
      </c>
    </row>
    <row r="22">
      <c r="A22" s="10" t="n"/>
      <c r="B22" s="440" t="inlineStr">
        <is>
          <t>30 sn</t>
        </is>
      </c>
      <c r="C22" s="482" t="n"/>
      <c r="D22" s="440" t="inlineStr">
        <is>
          <t>45 sn</t>
        </is>
      </c>
      <c r="E22" s="482" t="n"/>
      <c r="F22" s="440" t="inlineStr">
        <is>
          <t>60 sn</t>
        </is>
      </c>
      <c r="G22" s="482" t="n"/>
      <c r="H22" s="347" t="inlineStr">
        <is>
          <t>30 sn</t>
        </is>
      </c>
      <c r="I22" s="482" t="n"/>
      <c r="J22" s="440" t="inlineStr">
        <is>
          <t>45 sn</t>
        </is>
      </c>
      <c r="K22" s="482" t="n"/>
      <c r="L22" s="440" t="inlineStr">
        <is>
          <t>60 sn</t>
        </is>
      </c>
      <c r="M22" s="482" t="n"/>
      <c r="N22" s="347" t="inlineStr">
        <is>
          <t>DAR</t>
        </is>
      </c>
      <c r="O22" s="482" t="n"/>
      <c r="P22" s="440" t="inlineStr">
        <is>
          <t>Sonuç</t>
        </is>
      </c>
      <c r="Q22" s="482" t="n"/>
      <c r="R22" s="11" t="n"/>
    </row>
    <row r="23">
      <c r="A23" s="10" t="n"/>
      <c r="B23" s="126">
        <f>'ANA SAYFA'!F68</f>
        <v/>
      </c>
      <c r="C23" s="31" t="inlineStr">
        <is>
          <t>GΩ</t>
        </is>
      </c>
      <c r="D23" s="126">
        <f>'ANA SAYFA'!I68</f>
        <v/>
      </c>
      <c r="E23" s="31" t="inlineStr">
        <is>
          <t>GΩ</t>
        </is>
      </c>
      <c r="F23" s="126">
        <f>'ANA SAYFA'!L68</f>
        <v/>
      </c>
      <c r="G23" s="174" t="inlineStr">
        <is>
          <t>GΩ</t>
        </is>
      </c>
      <c r="H23" s="173">
        <f>B23*V38</f>
        <v/>
      </c>
      <c r="I23" s="31" t="inlineStr">
        <is>
          <t>GΩ</t>
        </is>
      </c>
      <c r="J23" s="126">
        <f>D23*V38</f>
        <v/>
      </c>
      <c r="K23" s="31" t="inlineStr">
        <is>
          <t>GΩ</t>
        </is>
      </c>
      <c r="L23" s="126">
        <f>F23*V38</f>
        <v/>
      </c>
      <c r="M23" s="174" t="inlineStr">
        <is>
          <t>GΩ</t>
        </is>
      </c>
      <c r="N23" s="373">
        <f>L23/H23</f>
        <v/>
      </c>
      <c r="O23" s="482" t="n"/>
      <c r="P23" s="425">
        <f>IF(L23&lt;V20,V23,V21)</f>
        <v/>
      </c>
      <c r="Q23" s="482" t="n"/>
      <c r="R23" s="11" t="n"/>
      <c r="V23" s="303" t="inlineStr">
        <is>
          <t>DÜŞÜK</t>
        </is>
      </c>
    </row>
    <row r="24">
      <c r="A24" s="10" t="n"/>
      <c r="B24" s="118" t="n"/>
      <c r="C24" s="423" t="n"/>
      <c r="E24" s="423" t="n"/>
      <c r="G24" s="424" t="n"/>
      <c r="I24" s="423" t="n"/>
      <c r="K24" s="424" t="n"/>
      <c r="M24" s="424" t="n"/>
      <c r="O24" s="424" t="n"/>
      <c r="Q24" s="117" t="n"/>
      <c r="R24" s="11" t="n"/>
      <c r="Y24" s="360" t="inlineStr">
        <is>
          <t>Yapılan ölçümlerde trafonun izolasyon direnç değerleri uygun bulunmuştur.</t>
        </is>
      </c>
      <c r="Z24" s="47" t="n"/>
      <c r="AA24" s="47" t="n"/>
      <c r="AB24" s="47" t="n"/>
      <c r="AC24" s="47" t="n"/>
      <c r="AD24" s="47" t="n"/>
      <c r="AE24" s="47" t="n"/>
      <c r="AF24" s="47" t="n"/>
      <c r="AG24" s="47" t="n"/>
      <c r="AH24" s="47" t="n"/>
      <c r="AI24" s="47" t="n"/>
      <c r="AJ24" s="47" t="n"/>
      <c r="AK24" s="47" t="n"/>
      <c r="AL24" s="211" t="n"/>
    </row>
    <row r="25" ht="18.75" customHeight="1" s="227">
      <c r="A25" s="10" t="n"/>
      <c r="B25" s="485" t="inlineStr">
        <is>
          <t>O.G. A.G. İZOLASYON</t>
        </is>
      </c>
      <c r="C25" s="99" t="n"/>
      <c r="D25" s="99" t="n"/>
      <c r="E25" s="99" t="n"/>
      <c r="F25" s="99" t="n"/>
      <c r="G25" s="99" t="n"/>
      <c r="H25" s="99" t="n"/>
      <c r="I25" s="99" t="n"/>
      <c r="J25" s="99" t="n"/>
      <c r="K25" s="99" t="n"/>
      <c r="L25" s="99" t="n"/>
      <c r="M25" s="99" t="n"/>
      <c r="N25" s="99" t="n"/>
      <c r="O25" s="99" t="n"/>
      <c r="P25" s="99" t="n"/>
      <c r="Q25" s="482" t="n"/>
      <c r="R25" s="11" t="n"/>
      <c r="U25" t="inlineStr">
        <is>
          <t>OG-AG</t>
        </is>
      </c>
      <c r="V25" t="n">
        <v>1.1</v>
      </c>
      <c r="AL25" s="212" t="n"/>
    </row>
    <row r="26">
      <c r="A26" s="10" t="n"/>
      <c r="B26" s="441" t="inlineStr">
        <is>
          <t>ÖLÇÜLEN DEĞERLER</t>
        </is>
      </c>
      <c r="C26" s="99" t="n"/>
      <c r="D26" s="99" t="n"/>
      <c r="E26" s="99" t="n"/>
      <c r="F26" s="99" t="n"/>
      <c r="G26" s="505" t="n"/>
      <c r="H26" s="442" t="inlineStr">
        <is>
          <t>HESAPLANAN DEĞERLER 20°C</t>
        </is>
      </c>
      <c r="I26" s="99" t="n"/>
      <c r="J26" s="99" t="n"/>
      <c r="K26" s="99" t="n"/>
      <c r="L26" s="99" t="n"/>
      <c r="M26" s="505" t="n"/>
      <c r="N26" s="127" t="n"/>
      <c r="O26" s="127" t="n"/>
      <c r="P26" s="127" t="n"/>
      <c r="Q26" s="143" t="n"/>
      <c r="R26" s="11" t="n"/>
      <c r="V26" s="303" t="inlineStr">
        <is>
          <t>UYGUN</t>
        </is>
      </c>
      <c r="AL26" s="212" t="n"/>
    </row>
    <row r="27">
      <c r="A27" s="10" t="n"/>
      <c r="B27" s="440" t="inlineStr">
        <is>
          <t>30 sn</t>
        </is>
      </c>
      <c r="C27" s="482" t="n"/>
      <c r="D27" s="440" t="inlineStr">
        <is>
          <t>45 sn</t>
        </is>
      </c>
      <c r="E27" s="482" t="n"/>
      <c r="F27" s="440" t="inlineStr">
        <is>
          <t>60 sn</t>
        </is>
      </c>
      <c r="G27" s="482" t="n"/>
      <c r="H27" s="347" t="inlineStr">
        <is>
          <t>30 sn</t>
        </is>
      </c>
      <c r="I27" s="482" t="n"/>
      <c r="J27" s="440" t="inlineStr">
        <is>
          <t>45 sn</t>
        </is>
      </c>
      <c r="K27" s="482" t="n"/>
      <c r="L27" s="440" t="inlineStr">
        <is>
          <t>60 sn</t>
        </is>
      </c>
      <c r="M27" s="482" t="n"/>
      <c r="N27" s="347" t="inlineStr">
        <is>
          <t>DAR</t>
        </is>
      </c>
      <c r="O27" s="482" t="n"/>
      <c r="P27" s="440" t="inlineStr">
        <is>
          <t>Sonuç</t>
        </is>
      </c>
      <c r="Q27" s="482" t="n"/>
      <c r="R27" s="11" t="n"/>
      <c r="AL27" s="212" t="n"/>
    </row>
    <row r="28">
      <c r="A28" s="10" t="n"/>
      <c r="B28" s="126">
        <f>'ANA SAYFA'!F70</f>
        <v/>
      </c>
      <c r="C28" s="31" t="inlineStr">
        <is>
          <t>GΩ</t>
        </is>
      </c>
      <c r="D28" s="126">
        <f>'ANA SAYFA'!I70</f>
        <v/>
      </c>
      <c r="E28" s="31" t="inlineStr">
        <is>
          <t>GΩ</t>
        </is>
      </c>
      <c r="F28" s="126">
        <f>'ANA SAYFA'!L70</f>
        <v/>
      </c>
      <c r="G28" s="174" t="inlineStr">
        <is>
          <t>GΩ</t>
        </is>
      </c>
      <c r="H28" s="173">
        <f>B28*V38</f>
        <v/>
      </c>
      <c r="I28" s="31" t="inlineStr">
        <is>
          <t>GΩ</t>
        </is>
      </c>
      <c r="J28" s="126">
        <f>D28*V38</f>
        <v/>
      </c>
      <c r="K28" s="31" t="inlineStr">
        <is>
          <t>GΩ</t>
        </is>
      </c>
      <c r="L28" s="126">
        <f>F28*V38</f>
        <v/>
      </c>
      <c r="M28" s="174" t="inlineStr">
        <is>
          <t>GΩ</t>
        </is>
      </c>
      <c r="N28" s="373">
        <f>L28/H28</f>
        <v/>
      </c>
      <c r="O28" s="482" t="n"/>
      <c r="P28" s="425">
        <f>IF(L28&lt;V25,V28,V26)</f>
        <v/>
      </c>
      <c r="Q28" s="482" t="n"/>
      <c r="R28" s="11" t="n"/>
      <c r="V28" s="303" t="inlineStr">
        <is>
          <t>DÜŞÜK</t>
        </is>
      </c>
      <c r="AL28" s="212" t="n"/>
    </row>
    <row r="29" ht="7.5" customHeight="1" s="227">
      <c r="A29" s="10" t="n"/>
      <c r="B29" s="3" t="n"/>
      <c r="C29" s="127" t="n"/>
      <c r="D29" s="127" t="n"/>
      <c r="E29" s="127" t="n"/>
      <c r="F29" s="127" t="n"/>
      <c r="G29" s="127" t="n"/>
      <c r="H29" s="127" t="n"/>
      <c r="I29" s="127" t="n"/>
      <c r="J29" s="127" t="n"/>
      <c r="K29" s="127" t="n"/>
      <c r="L29" s="127" t="n"/>
      <c r="M29" s="127" t="n"/>
      <c r="N29" s="127" t="n"/>
      <c r="O29" s="127" t="n"/>
      <c r="P29" s="127" t="n"/>
      <c r="Q29" s="143" t="n"/>
      <c r="R29" s="11" t="n"/>
    </row>
    <row r="30" ht="7.5" customHeight="1" s="227">
      <c r="A30" s="10" t="n"/>
      <c r="B30" s="3" t="n"/>
      <c r="C30" s="127" t="n"/>
      <c r="D30" s="127" t="n"/>
      <c r="E30" s="127" t="n"/>
      <c r="F30" s="127" t="n"/>
      <c r="G30" s="127" t="n"/>
      <c r="H30" s="127" t="n"/>
      <c r="I30" s="127" t="n"/>
      <c r="J30" s="127" t="n"/>
      <c r="K30" s="127" t="n"/>
      <c r="L30" s="127" t="n"/>
      <c r="M30" s="127" t="n"/>
      <c r="N30" s="127" t="n"/>
      <c r="O30" s="127" t="n"/>
      <c r="P30" s="127" t="n"/>
      <c r="Q30" s="143" t="n"/>
      <c r="R30" s="11" t="n"/>
    </row>
    <row r="31">
      <c r="A31" s="10" t="n"/>
      <c r="B31" s="24" t="n"/>
      <c r="C31" s="25" t="n"/>
      <c r="D31" s="25" t="n"/>
      <c r="E31" s="25" t="n"/>
      <c r="F31" s="127" t="n"/>
      <c r="G31" s="127" t="n"/>
      <c r="H31" s="127" t="n"/>
      <c r="I31" s="127" t="n"/>
      <c r="J31" s="127" t="n"/>
      <c r="K31" s="127" t="n"/>
      <c r="L31" s="127" t="n"/>
      <c r="M31" s="127" t="n"/>
      <c r="N31" s="127" t="n"/>
      <c r="O31" s="127" t="n"/>
      <c r="P31" s="127" t="n"/>
      <c r="Q31" s="143" t="n"/>
      <c r="R31" s="11" t="n"/>
    </row>
    <row r="32">
      <c r="A32" s="10" t="n"/>
      <c r="B32" s="24" t="n"/>
      <c r="C32" s="25" t="n"/>
      <c r="D32" s="25" t="n"/>
      <c r="E32" s="25" t="n"/>
      <c r="F32" s="127" t="n"/>
      <c r="G32" s="127" t="n"/>
      <c r="H32" s="127" t="n"/>
      <c r="I32" s="127" t="n"/>
      <c r="J32" s="127" t="n"/>
      <c r="K32" s="127" t="n"/>
      <c r="L32" s="127" t="n"/>
      <c r="M32" s="127" t="n"/>
      <c r="N32" s="127" t="n"/>
      <c r="O32" s="127" t="n"/>
      <c r="P32" s="127" t="n"/>
      <c r="Q32" s="143" t="n"/>
      <c r="R32" s="11" t="n"/>
      <c r="Y32" s="360" t="inlineStr">
        <is>
          <t xml:space="preserve">Yapılan ölçümlerde trafonun izolasyon direnç değerleri düşük bulunmuştur. </t>
        </is>
      </c>
      <c r="Z32" s="47" t="n"/>
      <c r="AA32" s="47" t="n"/>
      <c r="AB32" s="47" t="n"/>
      <c r="AC32" s="47" t="n"/>
      <c r="AD32" s="47" t="n"/>
      <c r="AE32" s="47" t="n"/>
      <c r="AF32" s="47" t="n"/>
      <c r="AG32" s="47" t="n"/>
      <c r="AH32" s="47" t="n"/>
      <c r="AI32" s="47" t="n"/>
      <c r="AJ32" s="47" t="n"/>
      <c r="AK32" s="47" t="n"/>
      <c r="AL32" s="211" t="n"/>
    </row>
    <row r="33">
      <c r="A33" s="10" t="n"/>
      <c r="B33" s="3" t="n"/>
      <c r="C33" s="127" t="n"/>
      <c r="D33" s="127" t="n"/>
      <c r="E33" s="127" t="n"/>
      <c r="F33" s="127" t="n"/>
      <c r="G33" s="127" t="n"/>
      <c r="H33" s="127" t="n"/>
      <c r="I33" s="127" t="n"/>
      <c r="J33" s="127" t="n"/>
      <c r="K33" s="127" t="n"/>
      <c r="L33" s="127" t="n"/>
      <c r="M33" s="127" t="n"/>
      <c r="N33" s="127" t="n"/>
      <c r="O33" s="127" t="n"/>
      <c r="P33" s="127" t="n"/>
      <c r="Q33" s="143" t="n"/>
      <c r="R33" s="11" t="n"/>
      <c r="AL33" s="212" t="n"/>
    </row>
    <row r="34">
      <c r="A34" s="10" t="n"/>
      <c r="B34" s="3" t="n"/>
      <c r="C34" s="127" t="n"/>
      <c r="D34" s="127" t="n"/>
      <c r="E34" s="127" t="n"/>
      <c r="F34" s="127" t="n"/>
      <c r="G34" s="127" t="n"/>
      <c r="H34" s="127" t="n"/>
      <c r="I34" s="127" t="n"/>
      <c r="J34" s="127" t="n"/>
      <c r="K34" s="127" t="n"/>
      <c r="L34" s="127" t="n"/>
      <c r="M34" s="127" t="n"/>
      <c r="N34" s="127" t="n"/>
      <c r="O34" s="127" t="n"/>
      <c r="P34" s="127" t="n"/>
      <c r="Q34" s="143" t="n"/>
      <c r="R34" s="11" t="n"/>
      <c r="AL34" s="212" t="n"/>
    </row>
    <row r="35">
      <c r="A35" s="10" t="n"/>
      <c r="B35" s="3" t="n"/>
      <c r="C35" s="127" t="n"/>
      <c r="D35" s="127" t="n"/>
      <c r="E35" s="127" t="n"/>
      <c r="F35" s="23" t="n"/>
      <c r="G35" s="127" t="n"/>
      <c r="H35" s="127" t="n"/>
      <c r="I35" s="127" t="n"/>
      <c r="J35" s="127" t="n"/>
      <c r="K35" s="127" t="n"/>
      <c r="L35" s="127" t="n"/>
      <c r="M35" s="127" t="n"/>
      <c r="N35" s="127" t="n"/>
      <c r="O35" s="127" t="n"/>
      <c r="P35" s="127" t="n"/>
      <c r="Q35" s="143" t="n"/>
      <c r="R35" s="11" t="n"/>
      <c r="AL35" s="212" t="n"/>
    </row>
    <row r="36">
      <c r="A36" s="10" t="n"/>
      <c r="B36" s="3" t="n"/>
      <c r="C36" s="127" t="n"/>
      <c r="D36" s="127" t="n"/>
      <c r="E36" s="127" t="n"/>
      <c r="F36" s="127" t="n"/>
      <c r="G36" s="127" t="n"/>
      <c r="H36" s="127" t="n"/>
      <c r="I36" s="127" t="n"/>
      <c r="J36" s="127" t="n"/>
      <c r="K36" s="127" t="n"/>
      <c r="L36" s="127" t="n"/>
      <c r="M36" s="127" t="n"/>
      <c r="N36" s="127" t="n"/>
      <c r="O36" s="127" t="n"/>
      <c r="P36" s="127" t="n"/>
      <c r="Q36" s="143" t="n"/>
      <c r="R36" s="11" t="n"/>
      <c r="AL36" s="212" t="n"/>
    </row>
    <row r="37">
      <c r="A37" s="10" t="n"/>
      <c r="B37" s="3" t="n"/>
      <c r="C37" s="127" t="n"/>
      <c r="D37" s="127" t="n"/>
      <c r="E37" s="127" t="n"/>
      <c r="F37" s="127" t="n"/>
      <c r="G37" s="127" t="n"/>
      <c r="H37" s="127" t="n"/>
      <c r="I37" s="127" t="n"/>
      <c r="J37" s="127" t="n"/>
      <c r="K37" s="127" t="n"/>
      <c r="L37" s="127" t="n"/>
      <c r="M37" s="127" t="n"/>
      <c r="N37" s="127" t="n"/>
      <c r="O37" s="127" t="n"/>
      <c r="P37" s="127" t="n"/>
      <c r="Q37" s="143" t="n"/>
      <c r="R37" s="11" t="n"/>
    </row>
    <row r="38">
      <c r="A38" s="10" t="n"/>
      <c r="B38" s="118" t="n"/>
      <c r="C38" s="27" t="n"/>
      <c r="D38" s="27" t="n"/>
      <c r="E38" s="127" t="n"/>
      <c r="F38" s="127" t="n"/>
      <c r="G38" s="127" t="n"/>
      <c r="H38" s="127" t="n"/>
      <c r="I38" s="127" t="n"/>
      <c r="J38" s="127" t="n"/>
      <c r="K38" s="127" t="n"/>
      <c r="L38" s="127" t="n"/>
      <c r="M38" s="127" t="n"/>
      <c r="N38" s="127" t="n"/>
      <c r="O38" s="127" t="n"/>
      <c r="P38" s="127" t="n"/>
      <c r="Q38" s="117" t="n"/>
      <c r="R38" s="11" t="n"/>
      <c r="U38" t="inlineStr">
        <is>
          <t>ÇARPAN</t>
        </is>
      </c>
      <c r="V38">
        <f>IF(P13&gt;40,X43,X42)</f>
        <v/>
      </c>
    </row>
    <row r="39" s="227">
      <c r="A39" s="10" t="n"/>
      <c r="B39" s="118" t="n"/>
      <c r="C39" s="27" t="n"/>
      <c r="D39" s="27" t="n"/>
      <c r="E39" s="127" t="n"/>
      <c r="F39" s="127" t="n"/>
      <c r="G39" s="127" t="n"/>
      <c r="H39" s="127" t="n"/>
      <c r="I39" s="127" t="n"/>
      <c r="J39" s="127" t="n"/>
      <c r="K39" s="127" t="n"/>
      <c r="L39" s="127" t="n"/>
      <c r="M39" s="127" t="n"/>
      <c r="N39" s="127" t="n"/>
      <c r="O39" s="127" t="n"/>
      <c r="P39" s="127" t="n"/>
      <c r="Q39" s="117" t="n"/>
      <c r="R39" s="11" t="n"/>
    </row>
    <row r="40">
      <c r="A40" s="10" t="n"/>
      <c r="B40" s="118" t="n"/>
      <c r="C40" s="23" t="n"/>
      <c r="D40" s="23" t="n"/>
      <c r="E40" s="23" t="n"/>
      <c r="F40" s="23" t="n"/>
      <c r="G40" s="23" t="n"/>
      <c r="H40" s="23" t="n"/>
      <c r="I40" s="23" t="n"/>
      <c r="J40" s="23" t="n"/>
      <c r="K40" s="23" t="n"/>
      <c r="L40" s="23" t="n"/>
      <c r="M40" s="23" t="n"/>
      <c r="N40" s="23" t="n"/>
      <c r="O40" s="23" t="n"/>
      <c r="P40" s="23" t="n"/>
      <c r="Q40" s="117" t="n"/>
      <c r="R40" s="11" t="n"/>
    </row>
    <row r="41" ht="15.75" customHeight="1" s="227">
      <c r="A41" s="10" t="n"/>
      <c r="B41" s="432" t="inlineStr">
        <is>
          <t>Sonuç :</t>
        </is>
      </c>
      <c r="C41" s="482" t="n"/>
      <c r="D41" s="506">
        <f>IF(L18&lt;V15,Y32,Y24)</f>
        <v/>
      </c>
      <c r="E41" s="47" t="n"/>
      <c r="F41" s="47" t="n"/>
      <c r="G41" s="47" t="n"/>
      <c r="H41" s="47" t="n"/>
      <c r="I41" s="47" t="n"/>
      <c r="J41" s="47" t="n"/>
      <c r="K41" s="47" t="n"/>
      <c r="L41" s="47" t="n"/>
      <c r="M41" s="47" t="n"/>
      <c r="N41" s="47" t="n"/>
      <c r="O41" s="47" t="n"/>
      <c r="P41" s="47" t="n"/>
      <c r="Q41" s="211" t="n"/>
      <c r="R41" s="11" t="n"/>
    </row>
    <row r="42">
      <c r="A42" s="10" t="n"/>
      <c r="B42" s="118" t="n"/>
      <c r="C42" s="23" t="n"/>
      <c r="Q42" s="212" t="n"/>
      <c r="R42" s="11" t="n"/>
      <c r="U42" t="inlineStr">
        <is>
          <t>Test Sıcaklığı</t>
        </is>
      </c>
      <c r="V42" t="inlineStr">
        <is>
          <t>İcra Katsayısı</t>
        </is>
      </c>
      <c r="X42">
        <f>IF(P13=0,V43, IF(P13=5,V44, IF(P13=10,V45,
IF(P13=15,V46,
IF(P13=20,V47,
IF(P13=25,V48,
IF(P13=30,V49,
IF(P13=35,V50, IF(P13=40,V51, )))))))))</f>
        <v/>
      </c>
    </row>
    <row r="43">
      <c r="A43" s="10" t="n"/>
      <c r="B43" s="3" t="n"/>
      <c r="C43" s="127" t="n"/>
      <c r="Q43" s="212" t="n"/>
      <c r="R43" s="11" t="n"/>
      <c r="U43" t="n">
        <v>0</v>
      </c>
      <c r="V43" t="n">
        <v>0.25</v>
      </c>
      <c r="X43">
        <f>IF(P13=45,V52, IF(P13=50,V53, IF(P13=55,V54,
IF(P13=60,V55,
IF(P13=65,V56,
IF(P13=70,V57,
IF(P13=75,V58,
)))))))</f>
        <v/>
      </c>
    </row>
    <row r="44" s="227">
      <c r="A44" s="10" t="n"/>
      <c r="B44" s="3" t="n"/>
      <c r="C44" s="127" t="n"/>
      <c r="Q44" s="212" t="n"/>
      <c r="R44" s="11" t="n"/>
      <c r="U44" t="n">
        <v>5</v>
      </c>
      <c r="V44" t="n">
        <v>0.36</v>
      </c>
    </row>
    <row r="45">
      <c r="A45" s="10" t="n"/>
      <c r="B45" s="42" t="n"/>
      <c r="C45" s="43" t="n"/>
      <c r="D45" s="50" t="n"/>
      <c r="E45" s="50" t="n"/>
      <c r="F45" s="50" t="n"/>
      <c r="G45" s="50" t="n"/>
      <c r="H45" s="50" t="n"/>
      <c r="I45" s="50" t="n"/>
      <c r="J45" s="50" t="n"/>
      <c r="K45" s="50" t="n"/>
      <c r="L45" s="50" t="n"/>
      <c r="M45" s="50" t="n"/>
      <c r="N45" s="50" t="n"/>
      <c r="O45" s="50" t="n"/>
      <c r="P45" s="50" t="n"/>
      <c r="Q45" s="213" t="n"/>
      <c r="R45" s="11" t="n"/>
      <c r="U45" t="n">
        <v>10</v>
      </c>
      <c r="V45" t="n">
        <v>0.5</v>
      </c>
    </row>
    <row r="46">
      <c r="A46" s="10" t="n"/>
      <c r="B46" s="507" t="inlineStr">
        <is>
          <t>Not: Polarizasyon endekslerine göre değerlendirme; hem fabrika deney sonuçları hem de daha önceki değerlerle yeni bulunan değerlerin kıyaslanması ile yapılmalıdır. Ölçülen değerler daha önceki değerlere yakın veya büyük ise normal kabul edilir. Ancak ölçüm ilk kez yapılıyorsa; PE=1,0-1,1 Zayıf / PE=1,1-1,25 Şüpheli / PE=1,25-1,40 Orta / PE=1,40-1,60 İyi / PE&gt;1,60 Çok İyi değerlendirmesi yapılır. İzolasyon ölçümlerinde DAR endeksine bağlı kalınmaksızın, sınır değerlerin altında çıkan değerler kötü izolasyon olarak ifade edilmektedir.</t>
        </is>
      </c>
      <c r="Q46" s="212" t="n"/>
      <c r="R46" s="11" t="n"/>
      <c r="S46" s="10" t="n"/>
      <c r="U46" t="n">
        <v>15</v>
      </c>
      <c r="V46" t="n">
        <v>0.74</v>
      </c>
      <c r="AC46" s="32" t="n"/>
    </row>
    <row r="47">
      <c r="A47" s="10" t="n"/>
      <c r="B47" s="62" t="n"/>
      <c r="Q47" s="212" t="n"/>
      <c r="R47" s="11" t="n"/>
      <c r="S47" s="10" t="n"/>
      <c r="U47" t="n">
        <v>20</v>
      </c>
      <c r="V47" t="n">
        <v>1</v>
      </c>
    </row>
    <row r="48" s="227">
      <c r="A48" s="10" t="n"/>
      <c r="B48" s="62" t="n"/>
      <c r="Q48" s="212" t="n"/>
      <c r="R48" s="11" t="n"/>
      <c r="U48" t="n">
        <v>25</v>
      </c>
      <c r="V48" t="n">
        <v>1.4</v>
      </c>
    </row>
    <row r="49" s="227">
      <c r="A49" s="10" t="n"/>
      <c r="B49" s="49" t="n"/>
      <c r="C49" s="50" t="n"/>
      <c r="D49" s="50" t="n"/>
      <c r="E49" s="50" t="n"/>
      <c r="F49" s="50" t="n"/>
      <c r="G49" s="50" t="n"/>
      <c r="H49" s="50" t="n"/>
      <c r="I49" s="50" t="n"/>
      <c r="J49" s="50" t="n"/>
      <c r="K49" s="50" t="n"/>
      <c r="L49" s="50" t="n"/>
      <c r="M49" s="50" t="n"/>
      <c r="N49" s="50" t="n"/>
      <c r="O49" s="50" t="n"/>
      <c r="P49" s="50" t="n"/>
      <c r="Q49" s="213" t="n"/>
      <c r="R49" s="11" t="n"/>
      <c r="U49" t="n">
        <v>30</v>
      </c>
      <c r="V49" t="n">
        <v>1.98</v>
      </c>
    </row>
    <row r="50" ht="22.5" customHeight="1" s="227">
      <c r="A50" s="10" t="n"/>
      <c r="B50" s="355" t="n"/>
      <c r="C50" s="99" t="n"/>
      <c r="D50" s="99" t="n"/>
      <c r="E50" s="79" t="n"/>
      <c r="F50" s="364" t="n"/>
      <c r="G50" s="99" t="n"/>
      <c r="H50" s="99" t="n"/>
      <c r="I50" s="482" t="n"/>
      <c r="J50" s="485" t="inlineStr">
        <is>
          <t>ONAYLAYAN</t>
        </is>
      </c>
      <c r="K50" s="99" t="n"/>
      <c r="L50" s="99" t="n"/>
      <c r="M50" s="99" t="n"/>
      <c r="N50" s="99" t="n"/>
      <c r="O50" s="99" t="n"/>
      <c r="P50" s="99" t="n"/>
      <c r="Q50" s="482" t="n"/>
      <c r="R50" s="11" t="n"/>
      <c r="U50" t="n">
        <v>35</v>
      </c>
      <c r="V50" t="n">
        <v>2.8</v>
      </c>
    </row>
    <row r="51" ht="22.5" customHeight="1" s="227">
      <c r="A51" s="10" t="n"/>
      <c r="B51" s="365" t="inlineStr">
        <is>
          <t>UNVAN</t>
        </is>
      </c>
      <c r="C51" s="47" t="n"/>
      <c r="D51" s="47" t="n"/>
      <c r="E51" s="134" t="inlineStr">
        <is>
          <t>:</t>
        </is>
      </c>
      <c r="F51" s="368" t="inlineStr">
        <is>
          <t>Elektrik Mühendisi</t>
        </is>
      </c>
      <c r="G51" s="47" t="n"/>
      <c r="H51" s="47" t="n"/>
      <c r="I51" s="211" t="n"/>
      <c r="J51" s="54" t="n"/>
      <c r="K51" s="54" t="n"/>
      <c r="L51" s="134" t="n"/>
      <c r="M51" s="134" t="n"/>
      <c r="N51" s="134" t="n"/>
      <c r="O51" s="134" t="n"/>
      <c r="P51" s="134" t="n"/>
      <c r="Q51" s="135" t="n"/>
      <c r="R51" s="11" t="n"/>
      <c r="U51" t="n">
        <v>40</v>
      </c>
      <c r="V51" t="n">
        <v>3.95</v>
      </c>
    </row>
    <row r="52" ht="22.5" customHeight="1" s="227">
      <c r="A52" s="10" t="n"/>
      <c r="B52" s="351" t="inlineStr">
        <is>
          <t>TEST TARİHİ</t>
        </is>
      </c>
      <c r="E52" s="134" t="inlineStr">
        <is>
          <t>:</t>
        </is>
      </c>
      <c r="F52" s="502">
        <f>'ANA SAYFA'!F79</f>
        <v/>
      </c>
      <c r="I52" s="212" t="n"/>
      <c r="J52" s="54" t="n"/>
      <c r="K52" s="54" t="n"/>
      <c r="L52" s="134" t="n"/>
      <c r="M52" s="134" t="n"/>
      <c r="N52" s="134" t="n"/>
      <c r="O52" s="134" t="n"/>
      <c r="P52" s="134" t="n"/>
      <c r="Q52" s="135" t="n"/>
      <c r="R52" s="11" t="n"/>
      <c r="U52" t="n">
        <v>45</v>
      </c>
      <c r="V52" t="n">
        <v>5.6</v>
      </c>
    </row>
    <row r="53" ht="22.5" customHeight="1" s="227">
      <c r="A53" s="10" t="n"/>
      <c r="B53" s="233" t="n"/>
      <c r="C53" s="234" t="n"/>
      <c r="D53" s="234" t="n"/>
      <c r="E53" s="234" t="n"/>
      <c r="F53" s="234" t="n"/>
      <c r="G53" s="234" t="n"/>
      <c r="H53" s="234" t="n"/>
      <c r="I53" s="235" t="n"/>
      <c r="J53" s="139" t="n"/>
      <c r="K53" s="139" t="n"/>
      <c r="L53" s="139" t="n"/>
      <c r="M53" s="139" t="n"/>
      <c r="N53" s="139" t="n"/>
      <c r="O53" s="139" t="n"/>
      <c r="P53" s="139" t="n"/>
      <c r="Q53" s="136" t="n"/>
      <c r="R53" s="11" t="n"/>
      <c r="U53" t="n">
        <v>50</v>
      </c>
      <c r="V53" t="n">
        <v>7.85</v>
      </c>
    </row>
    <row r="54" ht="15.75" customHeight="1" s="227" thickBot="1">
      <c r="A54" s="15" t="n"/>
      <c r="B54" s="16" t="n"/>
      <c r="C54" s="16" t="n"/>
      <c r="D54" s="16" t="n"/>
      <c r="E54" s="16" t="n"/>
      <c r="F54" s="16" t="n"/>
      <c r="G54" s="16" t="n"/>
      <c r="H54" s="16" t="n"/>
      <c r="I54" s="16" t="n"/>
      <c r="J54" s="16" t="n"/>
      <c r="K54" s="16" t="n"/>
      <c r="L54" s="16" t="n"/>
      <c r="M54" s="16" t="n"/>
      <c r="N54" s="16" t="n"/>
      <c r="O54" s="16" t="n"/>
      <c r="P54" s="16" t="n"/>
      <c r="Q54" s="16" t="n"/>
      <c r="R54" s="17" t="n"/>
      <c r="U54" t="n">
        <v>55</v>
      </c>
      <c r="V54" t="n">
        <v>11.2</v>
      </c>
    </row>
    <row r="55">
      <c r="U55" t="n">
        <v>60</v>
      </c>
      <c r="V55" t="n">
        <v>15.85</v>
      </c>
    </row>
    <row r="56">
      <c r="U56" t="n">
        <v>65</v>
      </c>
      <c r="V56" t="n">
        <v>22.4</v>
      </c>
    </row>
    <row r="57">
      <c r="U57" t="n">
        <v>70</v>
      </c>
      <c r="V57" t="n">
        <v>31.75</v>
      </c>
    </row>
    <row r="58">
      <c r="U58" t="n">
        <v>75</v>
      </c>
      <c r="V58" t="n">
        <v>44.7</v>
      </c>
    </row>
  </sheetData>
  <mergeCells count="86">
    <mergeCell ref="L17:M17"/>
    <mergeCell ref="H21:M21"/>
    <mergeCell ref="K24:L24"/>
    <mergeCell ref="B22:C22"/>
    <mergeCell ref="D22:E22"/>
    <mergeCell ref="N22:O22"/>
    <mergeCell ref="J11:L11"/>
    <mergeCell ref="P22:Q22"/>
    <mergeCell ref="V28:W28"/>
    <mergeCell ref="B25:Q25"/>
    <mergeCell ref="B9:I9"/>
    <mergeCell ref="J2:Q2"/>
    <mergeCell ref="B41:C41"/>
    <mergeCell ref="B21:G21"/>
    <mergeCell ref="F52:I52"/>
    <mergeCell ref="B27:C27"/>
    <mergeCell ref="B15:Q15"/>
    <mergeCell ref="J9:Q9"/>
    <mergeCell ref="B11:C11"/>
    <mergeCell ref="G7:H7"/>
    <mergeCell ref="J27:K27"/>
    <mergeCell ref="F17:G17"/>
    <mergeCell ref="H17:I17"/>
    <mergeCell ref="H11:I11"/>
    <mergeCell ref="G24:H24"/>
    <mergeCell ref="I24:J24"/>
    <mergeCell ref="N28:O28"/>
    <mergeCell ref="O7:Q7"/>
    <mergeCell ref="P28:Q28"/>
    <mergeCell ref="D11:G11"/>
    <mergeCell ref="J22:K22"/>
    <mergeCell ref="N13:O13"/>
    <mergeCell ref="H26:M26"/>
    <mergeCell ref="L22:M22"/>
    <mergeCell ref="D41:Q45"/>
    <mergeCell ref="M24:N24"/>
    <mergeCell ref="V21:W21"/>
    <mergeCell ref="B7:C7"/>
    <mergeCell ref="G2:H2"/>
    <mergeCell ref="V23:W23"/>
    <mergeCell ref="B13:M13"/>
    <mergeCell ref="D7:F7"/>
    <mergeCell ref="Y32:AL36"/>
    <mergeCell ref="B5:Q5"/>
    <mergeCell ref="B20:Q20"/>
    <mergeCell ref="M11:N11"/>
    <mergeCell ref="D27:E27"/>
    <mergeCell ref="N18:O18"/>
    <mergeCell ref="P27:Q27"/>
    <mergeCell ref="B17:C17"/>
    <mergeCell ref="D17:E17"/>
    <mergeCell ref="Y24:AL28"/>
    <mergeCell ref="B51:D51"/>
    <mergeCell ref="N17:O17"/>
    <mergeCell ref="P17:Q17"/>
    <mergeCell ref="B50:D50"/>
    <mergeCell ref="B26:G26"/>
    <mergeCell ref="F22:G22"/>
    <mergeCell ref="H22:I22"/>
    <mergeCell ref="B16:G16"/>
    <mergeCell ref="F50:I50"/>
    <mergeCell ref="B2:F3"/>
    <mergeCell ref="I7:K7"/>
    <mergeCell ref="C24:D24"/>
    <mergeCell ref="E24:F24"/>
    <mergeCell ref="O24:P24"/>
    <mergeCell ref="B46:Q49"/>
    <mergeCell ref="H16:M16"/>
    <mergeCell ref="N23:O23"/>
    <mergeCell ref="P23:Q23"/>
    <mergeCell ref="G3:H3"/>
    <mergeCell ref="O11:Q11"/>
    <mergeCell ref="F51:I51"/>
    <mergeCell ref="V26:W26"/>
    <mergeCell ref="F27:G27"/>
    <mergeCell ref="H27:I27"/>
    <mergeCell ref="L7:N7"/>
    <mergeCell ref="P18:Q18"/>
    <mergeCell ref="V16:W16"/>
    <mergeCell ref="J50:Q50"/>
    <mergeCell ref="J3:Q3"/>
    <mergeCell ref="B52:D52"/>
    <mergeCell ref="L27:M27"/>
    <mergeCell ref="N27:O27"/>
    <mergeCell ref="V18:W18"/>
    <mergeCell ref="J17:K17"/>
  </mergeCells>
  <conditionalFormatting sqref="P18:Q18">
    <cfRule type="expression" priority="19" dxfId="0">
      <formula>$L$18&lt;$V$15</formula>
    </cfRule>
  </conditionalFormatting>
  <conditionalFormatting sqref="P23:Q23">
    <cfRule type="expression" priority="2" dxfId="0">
      <formula>$L$23&lt;$V$20</formula>
    </cfRule>
  </conditionalFormatting>
  <conditionalFormatting sqref="P28:Q28">
    <cfRule type="expression" priority="1" dxfId="0">
      <formula>$L$28&lt;$V$25</formula>
    </cfRule>
  </conditionalFormatting>
  <pageMargins left="0.5511811023622047" right="0.2362204724409449" top="0.3543307086614173" bottom="0.3543307086614173" header="0" footer="0"/>
  <pageSetup orientation="portrait" paperSize="9" scale="89"/>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AC54"/>
  <sheetViews>
    <sheetView topLeftCell="A13" zoomScale="85" zoomScaleNormal="85" workbookViewId="0">
      <selection activeCell="J10" sqref="J10"/>
    </sheetView>
  </sheetViews>
  <sheetFormatPr baseColWidth="8" defaultRowHeight="15"/>
  <cols>
    <col width="3.5703125" customWidth="1" style="227" min="1" max="1"/>
    <col width="5.42578125" customWidth="1" style="227" min="2" max="5"/>
    <col width="6.5703125" customWidth="1" style="227" min="6" max="6"/>
    <col width="5.42578125" customWidth="1" style="227" min="7" max="10"/>
    <col width="6" customWidth="1" style="227" min="11" max="17"/>
    <col width="3.5703125" customWidth="1" style="227" min="18" max="18"/>
    <col width="10.5703125" customWidth="1" style="227" min="19" max="19"/>
    <col width="12.28515625" customWidth="1" style="227" min="20" max="20"/>
    <col width="9.7109375" customWidth="1" style="227" min="21" max="21"/>
    <col width="9" customWidth="1" style="227" min="22" max="22"/>
    <col width="11.7109375" customWidth="1" style="227" min="23" max="23"/>
    <col width="11" customWidth="1" style="227" min="24" max="25"/>
  </cols>
  <sheetData>
    <row r="1">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row>
    <row r="4">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485" t="inlineStr">
        <is>
          <t>ÇEVİRME ORANI TEST SONUÇLARI</t>
        </is>
      </c>
      <c r="C5" s="99" t="n"/>
      <c r="D5" s="99" t="n"/>
      <c r="E5" s="99" t="n"/>
      <c r="F5" s="99" t="n"/>
      <c r="G5" s="99" t="n"/>
      <c r="H5" s="99" t="n"/>
      <c r="I5" s="99" t="n"/>
      <c r="J5" s="99" t="n"/>
      <c r="K5" s="99" t="n"/>
      <c r="L5" s="99" t="n"/>
      <c r="M5" s="99" t="n"/>
      <c r="N5" s="99" t="n"/>
      <c r="O5" s="99" t="n"/>
      <c r="P5" s="99" t="n"/>
      <c r="Q5" s="482" t="n"/>
      <c r="R5" s="11" t="n"/>
    </row>
    <row r="6">
      <c r="A6" s="10" t="n"/>
      <c r="B6" s="3" t="n"/>
      <c r="C6" s="127" t="n"/>
      <c r="D6" s="127" t="n"/>
      <c r="E6" s="127" t="n"/>
      <c r="F6" s="127" t="n"/>
      <c r="G6" s="127" t="n"/>
      <c r="H6" s="127" t="n"/>
      <c r="I6" s="127" t="n"/>
      <c r="J6" s="127" t="n"/>
      <c r="K6" s="127" t="n"/>
      <c r="L6" s="127" t="n"/>
      <c r="M6" s="127" t="n"/>
      <c r="N6" s="127" t="n"/>
      <c r="O6" s="127" t="n"/>
      <c r="P6" s="127" t="n"/>
      <c r="Q6" s="143" t="n"/>
      <c r="R6" s="11" t="n"/>
    </row>
    <row r="7">
      <c r="A7" s="10" t="n"/>
      <c r="B7" s="374" t="inlineStr">
        <is>
          <t>Üretici :</t>
        </is>
      </c>
      <c r="C7" s="482" t="n"/>
      <c r="D7" s="374">
        <f>'OG SARGI MEVCUT KADEME'!D7:F7</f>
        <v/>
      </c>
      <c r="E7" s="99" t="n"/>
      <c r="F7" s="482" t="n"/>
      <c r="G7" s="418" t="inlineStr">
        <is>
          <t>Model :</t>
        </is>
      </c>
      <c r="H7" s="482" t="n"/>
      <c r="I7" s="418">
        <f>'OG SARGI MEVCUT KADEME'!I7:K7</f>
        <v/>
      </c>
      <c r="J7" s="99" t="n"/>
      <c r="K7" s="482" t="n"/>
      <c r="L7" s="374" t="inlineStr">
        <is>
          <t>Seri Numarası :</t>
        </is>
      </c>
      <c r="M7" s="99" t="n"/>
      <c r="N7" s="482" t="n"/>
      <c r="O7" s="418">
        <f>'OG SARGI MEVCUT KADEME'!O7:Q7</f>
        <v/>
      </c>
      <c r="P7" s="99" t="n"/>
      <c r="Q7" s="482" t="n"/>
      <c r="R7" s="11" t="n"/>
    </row>
    <row r="8">
      <c r="A8" s="10" t="n"/>
      <c r="B8" s="3" t="n"/>
      <c r="C8" s="127" t="n"/>
      <c r="D8" s="127" t="n"/>
      <c r="E8" s="127" t="n"/>
      <c r="F8" s="127" t="n"/>
      <c r="G8" s="127" t="n"/>
      <c r="H8" s="127" t="n"/>
      <c r="I8" s="127" t="n"/>
      <c r="J8" s="127" t="n"/>
      <c r="K8" s="127" t="n"/>
      <c r="L8" s="127" t="n"/>
      <c r="M8" s="127" t="n"/>
      <c r="N8" s="127" t="n"/>
      <c r="O8" s="127" t="n"/>
      <c r="P8" s="127" t="n"/>
      <c r="Q8" s="143" t="n"/>
      <c r="R8" s="11" t="n"/>
    </row>
    <row r="9" ht="18.75" customHeight="1" s="227">
      <c r="A9" s="10" t="n"/>
      <c r="B9" s="402" t="inlineStr">
        <is>
          <t>OTURUM TARİHİ :</t>
        </is>
      </c>
      <c r="C9" s="99" t="n"/>
      <c r="D9" s="99" t="n"/>
      <c r="E9" s="99" t="n"/>
      <c r="F9" s="99" t="n"/>
      <c r="G9" s="99" t="n"/>
      <c r="H9" s="99" t="n"/>
      <c r="I9" s="99" t="n"/>
      <c r="J9" s="499">
        <f>'KAPAK SAYFASI'!D54</f>
        <v/>
      </c>
      <c r="K9" s="99" t="n"/>
      <c r="L9" s="99" t="n"/>
      <c r="M9" s="99" t="n"/>
      <c r="N9" s="99" t="n"/>
      <c r="O9" s="99" t="n"/>
      <c r="P9" s="99" t="n"/>
      <c r="Q9" s="482" t="n"/>
      <c r="R9" s="11" t="n"/>
    </row>
    <row r="10">
      <c r="A10" s="10" t="n"/>
      <c r="B10" s="3" t="n"/>
      <c r="C10" s="127" t="n"/>
      <c r="D10" s="127" t="n"/>
      <c r="E10" s="127" t="n"/>
      <c r="F10" s="127" t="n"/>
      <c r="G10" s="127" t="n"/>
      <c r="H10" s="127" t="n"/>
      <c r="I10" s="127" t="n"/>
      <c r="J10" s="127" t="n"/>
      <c r="K10" s="127" t="n"/>
      <c r="L10" s="127" t="n"/>
      <c r="M10" s="127" t="n"/>
      <c r="N10" s="127" t="n"/>
      <c r="O10" s="127" t="n"/>
      <c r="P10" s="127" t="n"/>
      <c r="Q10" s="143" t="n"/>
      <c r="R10" s="11" t="n"/>
    </row>
    <row r="11">
      <c r="A11" s="10" t="n"/>
      <c r="B11" s="421" t="inlineStr">
        <is>
          <t>Operatör :</t>
        </is>
      </c>
      <c r="C11" s="482" t="n"/>
      <c r="D11" s="422">
        <f>'OG SARGI MEVCUT KADEME'!D11</f>
        <v/>
      </c>
      <c r="E11" s="99" t="n"/>
      <c r="F11" s="99" t="n"/>
      <c r="G11" s="482" t="n"/>
      <c r="H11" s="421" t="inlineStr">
        <is>
          <t>Cihaz :</t>
        </is>
      </c>
      <c r="I11" s="482" t="n"/>
      <c r="J11" s="374" t="n"/>
      <c r="K11" s="99" t="n"/>
      <c r="L11" s="482" t="n"/>
      <c r="M11" s="374" t="inlineStr">
        <is>
          <t>Cihaz S/N :</t>
        </is>
      </c>
      <c r="N11" s="482" t="n"/>
      <c r="O11" s="374" t="n"/>
      <c r="P11" s="99" t="n"/>
      <c r="Q11" s="482" t="n"/>
      <c r="R11" s="11" t="n"/>
    </row>
    <row r="12">
      <c r="A12" s="10" t="n"/>
      <c r="B12" s="3" t="n"/>
      <c r="C12" s="127" t="n"/>
      <c r="D12" s="127" t="n"/>
      <c r="E12" s="127" t="n"/>
      <c r="F12" s="127" t="n"/>
      <c r="G12" s="127" t="n"/>
      <c r="H12" s="127" t="n"/>
      <c r="I12" s="127" t="n"/>
      <c r="J12" s="127" t="n"/>
      <c r="K12" s="127" t="n"/>
      <c r="L12" s="127" t="n"/>
      <c r="M12" s="127" t="n"/>
      <c r="N12" s="127" t="n"/>
      <c r="O12" s="127" t="n"/>
      <c r="P12" s="127" t="n"/>
      <c r="Q12" s="143" t="n"/>
      <c r="R12" s="11" t="n"/>
    </row>
    <row r="13" ht="18.75" customHeight="1" s="227">
      <c r="A13" s="10" t="n"/>
      <c r="B13" s="420" t="inlineStr">
        <is>
          <t>Sonuçlar</t>
        </is>
      </c>
      <c r="C13" s="99" t="n"/>
      <c r="D13" s="99" t="n"/>
      <c r="E13" s="99" t="n"/>
      <c r="F13" s="99" t="n"/>
      <c r="G13" s="99" t="n"/>
      <c r="H13" s="99" t="n"/>
      <c r="I13" s="99" t="n"/>
      <c r="J13" s="99" t="n"/>
      <c r="K13" s="99" t="n"/>
      <c r="L13" s="99" t="n"/>
      <c r="M13" s="99" t="n"/>
      <c r="N13" s="99" t="n"/>
      <c r="O13" s="99" t="n"/>
      <c r="P13" s="99" t="n"/>
      <c r="Q13" s="482" t="n"/>
      <c r="R13" s="11" t="n"/>
      <c r="AB13" t="inlineStr">
        <is>
          <t xml:space="preserve"> </t>
        </is>
      </c>
    </row>
    <row r="14">
      <c r="A14" s="10" t="n"/>
      <c r="B14" s="3" t="n"/>
      <c r="C14" s="127" t="n"/>
      <c r="D14" s="127" t="n"/>
      <c r="E14" s="127" t="n"/>
      <c r="F14" s="127" t="n"/>
      <c r="G14" s="127" t="n"/>
      <c r="H14" s="127" t="n"/>
      <c r="I14" s="127" t="n"/>
      <c r="J14" s="127" t="n"/>
      <c r="K14" s="127" t="n"/>
      <c r="L14" s="127" t="n"/>
      <c r="M14" s="127" t="n"/>
      <c r="N14" s="127" t="n"/>
      <c r="O14" s="127" t="n"/>
      <c r="P14" s="127" t="n"/>
      <c r="Q14" s="143" t="n"/>
      <c r="R14" s="11" t="n"/>
    </row>
    <row r="15" ht="18.75" customHeight="1" s="227">
      <c r="A15" s="10" t="n"/>
      <c r="B15" s="380" t="inlineStr">
        <is>
          <t>PT Her Bir Kademe Oran</t>
        </is>
      </c>
      <c r="C15" s="99" t="n"/>
      <c r="D15" s="99" t="n"/>
      <c r="E15" s="99" t="n"/>
      <c r="F15" s="99" t="n"/>
      <c r="G15" s="99" t="n"/>
      <c r="H15" s="99" t="n"/>
      <c r="I15" s="99" t="n"/>
      <c r="J15" s="128" t="inlineStr">
        <is>
          <t xml:space="preserve">Tap </t>
        </is>
      </c>
      <c r="K15" s="128">
        <f>'ANA SAYFA'!S11</f>
        <v/>
      </c>
      <c r="L15" s="128" t="n"/>
      <c r="M15" s="128" t="n"/>
      <c r="N15" s="382" t="inlineStr">
        <is>
          <t>Kademe #1</t>
        </is>
      </c>
      <c r="O15" s="99" t="n"/>
      <c r="P15" s="99" t="n"/>
      <c r="Q15" s="482" t="n"/>
      <c r="R15" s="11" t="n"/>
      <c r="T15">
        <f>'ANA SAYFA'!R59</f>
        <v/>
      </c>
      <c r="U15" t="inlineStr">
        <is>
          <t>A</t>
        </is>
      </c>
      <c r="V15" s="34">
        <f>O26</f>
        <v/>
      </c>
      <c r="X15" s="34" t="n"/>
    </row>
    <row r="16">
      <c r="A16" s="10" t="n"/>
      <c r="B16" s="3" t="n"/>
      <c r="C16" s="127" t="n"/>
      <c r="D16" s="127" t="n"/>
      <c r="E16" s="127" t="n"/>
      <c r="F16" s="127" t="n"/>
      <c r="G16" s="127" t="n"/>
      <c r="H16" s="127" t="n"/>
      <c r="I16" s="127" t="n"/>
      <c r="J16" s="127" t="n"/>
      <c r="K16" s="127" t="n"/>
      <c r="L16" s="127" t="n"/>
      <c r="M16" s="127" t="n"/>
      <c r="N16" s="127" t="n"/>
      <c r="O16" s="127" t="n"/>
      <c r="P16" s="127" t="n"/>
      <c r="Q16" s="143" t="n"/>
      <c r="R16" s="11" t="n"/>
      <c r="U16" t="inlineStr">
        <is>
          <t>B</t>
        </is>
      </c>
      <c r="V16" s="34">
        <f>O27</f>
        <v/>
      </c>
    </row>
    <row r="17">
      <c r="A17" s="10" t="n"/>
      <c r="B17" s="384" t="n"/>
      <c r="F17" s="446" t="n"/>
      <c r="J17" s="385" t="inlineStr">
        <is>
          <t>Test Değerleri</t>
        </is>
      </c>
      <c r="N17" s="319" t="n"/>
      <c r="Q17" s="212" t="n"/>
      <c r="R17" s="11" t="n"/>
      <c r="U17" t="inlineStr">
        <is>
          <t>C</t>
        </is>
      </c>
      <c r="V17" s="34">
        <f>O28</f>
        <v/>
      </c>
      <c r="X17" s="35" t="n"/>
    </row>
    <row r="18">
      <c r="A18" s="10" t="n"/>
      <c r="B18" s="377" t="n"/>
      <c r="F18" s="463">
        <f>'ANA SAYFA'!O59</f>
        <v/>
      </c>
      <c r="H18" s="127" t="inlineStr">
        <is>
          <t>V</t>
        </is>
      </c>
      <c r="I18" s="127" t="n"/>
      <c r="J18" s="446" t="inlineStr">
        <is>
          <t>Gerilim</t>
        </is>
      </c>
      <c r="N18" s="465" t="inlineStr">
        <is>
          <t>500,0 V</t>
        </is>
      </c>
      <c r="Q18" s="212" t="n"/>
      <c r="R18" s="11" t="n"/>
      <c r="U18" t="inlineStr">
        <is>
          <t>SINIR DEĞER</t>
        </is>
      </c>
      <c r="V18" t="n">
        <v>0.5</v>
      </c>
    </row>
    <row r="19" ht="15.75" customHeight="1" s="227">
      <c r="A19" s="10" t="n"/>
      <c r="B19" s="377" t="n"/>
      <c r="F19" s="461" t="n">
        <v>231</v>
      </c>
      <c r="H19" s="127" t="inlineStr">
        <is>
          <t>V</t>
        </is>
      </c>
      <c r="I19" s="127" t="n"/>
      <c r="J19" s="446" t="inlineStr">
        <is>
          <t>Frekans</t>
        </is>
      </c>
      <c r="N19" s="319" t="inlineStr">
        <is>
          <t>50, Hz</t>
        </is>
      </c>
      <c r="Q19" s="212" t="n"/>
      <c r="R19" s="11" t="n"/>
      <c r="W19" s="102" t="n">
        <v>0.5</v>
      </c>
      <c r="X19" s="102" t="n">
        <v>-0.5</v>
      </c>
      <c r="Y19" s="102" t="n"/>
      <c r="Z19" s="102" t="n"/>
      <c r="AA19" s="102" t="n"/>
      <c r="AB19" s="102" t="n"/>
      <c r="AC19" s="102" t="n"/>
    </row>
    <row r="20" ht="15.75" customHeight="1" s="227">
      <c r="A20" s="10" t="n"/>
      <c r="B20" s="377" t="n"/>
      <c r="F20" s="462">
        <f>F18/T15</f>
        <v/>
      </c>
      <c r="H20" s="127" t="n"/>
      <c r="I20" s="127" t="n"/>
      <c r="J20" s="446" t="n"/>
      <c r="N20" s="319" t="n"/>
      <c r="Q20" s="212" t="n"/>
      <c r="R20" s="11" t="n"/>
      <c r="W20" s="102" t="n"/>
      <c r="X20" s="102" t="n"/>
      <c r="Y20" s="102" t="n"/>
      <c r="Z20" s="102" t="n"/>
      <c r="AA20" s="102" t="n"/>
      <c r="AB20" s="102" t="n"/>
      <c r="AC20" s="102" t="n"/>
    </row>
    <row r="21" ht="15.75" customHeight="1" s="227">
      <c r="A21" s="10" t="n"/>
      <c r="B21" s="377" t="n"/>
      <c r="F21" s="446" t="n"/>
      <c r="J21" s="446" t="n"/>
      <c r="N21" s="319" t="n"/>
      <c r="Q21" s="212" t="n"/>
      <c r="R21" s="11" t="n"/>
      <c r="W21" s="102" t="n"/>
      <c r="X21" s="102" t="n"/>
      <c r="Y21" s="102" t="n"/>
      <c r="Z21" s="102" t="n"/>
      <c r="AA21" s="102" t="n"/>
      <c r="AB21" s="102" t="n"/>
      <c r="AC21" s="102" t="n"/>
    </row>
    <row r="22" ht="18.75" customHeight="1" s="227">
      <c r="A22" s="10" t="n"/>
      <c r="B22" s="508" t="inlineStr">
        <is>
          <t>Sonuçlar</t>
        </is>
      </c>
      <c r="Q22" s="212" t="n"/>
      <c r="R22" s="11" t="n"/>
      <c r="W22" s="102" t="n"/>
      <c r="X22" s="102" t="n"/>
      <c r="Y22" s="102" t="n"/>
      <c r="Z22" s="102" t="n"/>
      <c r="AA22" s="102" t="n"/>
      <c r="AB22" s="102" t="n"/>
      <c r="AC22" s="102" t="n"/>
    </row>
    <row r="23">
      <c r="A23" s="33" t="n"/>
      <c r="Q23" s="212" t="n"/>
      <c r="R23" s="11" t="n"/>
    </row>
    <row r="24" ht="15.75" customHeight="1" s="227">
      <c r="A24" s="10" t="n"/>
      <c r="B24" s="115" t="n"/>
      <c r="C24" s="19" t="n"/>
      <c r="D24" s="19" t="n"/>
      <c r="E24" s="19" t="n"/>
      <c r="F24" s="19" t="n"/>
      <c r="G24" s="19" t="n"/>
      <c r="H24" s="19" t="n"/>
      <c r="I24" s="19" t="n"/>
      <c r="J24" s="19" t="n"/>
      <c r="K24" s="19" t="n"/>
      <c r="L24" s="19" t="n"/>
      <c r="M24" s="19" t="n"/>
      <c r="N24" s="19" t="n"/>
      <c r="O24" s="19" t="n"/>
      <c r="P24" s="19" t="n"/>
      <c r="Q24" s="129" t="n"/>
      <c r="R24" s="11" t="n"/>
      <c r="W24" s="102" t="n"/>
      <c r="X24" s="102" t="n"/>
      <c r="Y24" s="102" t="n"/>
      <c r="Z24" s="102" t="n"/>
      <c r="AA24" s="102" t="n"/>
      <c r="AB24" s="102" t="n"/>
      <c r="AC24" s="102" t="n"/>
    </row>
    <row r="25">
      <c r="A25" s="10" t="n"/>
      <c r="B25" s="374" t="n"/>
      <c r="C25" s="440" t="inlineStr">
        <is>
          <t>Vn HV [V]</t>
        </is>
      </c>
      <c r="D25" s="482" t="n"/>
      <c r="E25" s="509" t="inlineStr">
        <is>
          <t>V HV[V]</t>
        </is>
      </c>
      <c r="F25" s="482" t="n"/>
      <c r="G25" s="509" t="inlineStr">
        <is>
          <t>I HV[A]</t>
        </is>
      </c>
      <c r="H25" s="482" t="n"/>
      <c r="I25" s="509" t="inlineStr">
        <is>
          <t>V LV[V]</t>
        </is>
      </c>
      <c r="J25" s="482" t="n"/>
      <c r="K25" s="510" t="inlineStr">
        <is>
          <t>ᶲV LV [°]</t>
        </is>
      </c>
      <c r="L25" s="482" t="n"/>
      <c r="M25" s="509" t="inlineStr">
        <is>
          <t>Ratio</t>
        </is>
      </c>
      <c r="N25" s="482" t="n"/>
      <c r="O25" s="509" t="inlineStr">
        <is>
          <t>Err %</t>
        </is>
      </c>
      <c r="P25" s="99" t="n"/>
      <c r="Q25" s="482" t="n"/>
      <c r="R25" s="11" t="n"/>
      <c r="V25" s="446" t="inlineStr">
        <is>
          <t>( A ) Fazına ait çevirme oranı hata yüzdesi uygundur.</t>
        </is>
      </c>
    </row>
    <row r="26" ht="15.75" customHeight="1" s="227">
      <c r="A26" s="10" t="n"/>
      <c r="B26" s="374" t="inlineStr">
        <is>
          <t>A</t>
        </is>
      </c>
      <c r="C26" s="445" t="n">
        <v>500</v>
      </c>
      <c r="D26" s="482" t="n"/>
      <c r="E26" s="370" t="n">
        <v>500</v>
      </c>
      <c r="F26" s="482" t="n"/>
      <c r="G26" s="511">
        <f>I26/M26</f>
        <v/>
      </c>
      <c r="H26" s="482" t="n"/>
      <c r="I26" s="370" t="n">
        <v>1.5</v>
      </c>
      <c r="J26" s="482" t="n"/>
      <c r="K26" s="370" t="inlineStr">
        <is>
          <t>26,0m</t>
        </is>
      </c>
      <c r="L26" s="482" t="n"/>
      <c r="M26" s="512">
        <f>'ANA SAYFA'!AF57</f>
        <v/>
      </c>
      <c r="N26" s="482" t="n"/>
      <c r="O26" s="513">
        <f>(M26-F20)/F20*100</f>
        <v/>
      </c>
      <c r="P26" s="99" t="n"/>
      <c r="Q26" s="482" t="n"/>
      <c r="R26" s="11" t="n"/>
      <c r="W26" s="102" t="n"/>
      <c r="X26" s="102" t="n"/>
      <c r="Y26" s="102" t="n"/>
      <c r="Z26" s="102" t="n"/>
      <c r="AA26" s="102" t="n"/>
      <c r="AB26" s="102" t="n"/>
      <c r="AC26" s="102" t="n"/>
    </row>
    <row r="27" ht="15.75" customHeight="1" s="227">
      <c r="A27" s="10" t="n"/>
      <c r="B27" s="374" t="inlineStr">
        <is>
          <t>B</t>
        </is>
      </c>
      <c r="C27" s="445" t="n">
        <v>500</v>
      </c>
      <c r="D27" s="482" t="n"/>
      <c r="E27" s="370" t="n">
        <v>500</v>
      </c>
      <c r="F27" s="482" t="n"/>
      <c r="G27" s="511">
        <f>I27/M27</f>
        <v/>
      </c>
      <c r="H27" s="482" t="n"/>
      <c r="I27" s="370" t="n">
        <v>1.5</v>
      </c>
      <c r="J27" s="482" t="n"/>
      <c r="K27" s="370" t="inlineStr">
        <is>
          <t>26,0m</t>
        </is>
      </c>
      <c r="L27" s="482" t="n"/>
      <c r="M27" s="512">
        <f>'ANA SAYFA'!AI57</f>
        <v/>
      </c>
      <c r="N27" s="482" t="n"/>
      <c r="O27" s="513">
        <f>(M27-F20)/F20*100</f>
        <v/>
      </c>
      <c r="P27" s="99" t="n"/>
      <c r="Q27" s="482" t="n"/>
      <c r="R27" s="11" t="n"/>
      <c r="V27" s="446" t="inlineStr">
        <is>
          <t>( A ) Fazına ait çevirme oranı hata yüzdesi hatalı olduğu tespit edilmiştir.</t>
        </is>
      </c>
    </row>
    <row r="28" ht="15.75" customHeight="1" s="227">
      <c r="A28" s="10" t="n"/>
      <c r="B28" s="374" t="inlineStr">
        <is>
          <t>C</t>
        </is>
      </c>
      <c r="C28" s="445" t="n">
        <v>500</v>
      </c>
      <c r="D28" s="482" t="n"/>
      <c r="E28" s="370" t="n">
        <v>500</v>
      </c>
      <c r="F28" s="482" t="n"/>
      <c r="G28" s="511">
        <f>I28/M28</f>
        <v/>
      </c>
      <c r="H28" s="482" t="n"/>
      <c r="I28" s="370" t="n">
        <v>1.5</v>
      </c>
      <c r="J28" s="482" t="n"/>
      <c r="K28" s="370" t="inlineStr">
        <is>
          <t>26,0m</t>
        </is>
      </c>
      <c r="L28" s="482" t="n"/>
      <c r="M28" s="512">
        <f>'ANA SAYFA'!AL57</f>
        <v/>
      </c>
      <c r="N28" s="482" t="n"/>
      <c r="O28" s="513">
        <f>(M28-F20)/F20*100</f>
        <v/>
      </c>
      <c r="P28" s="99" t="n"/>
      <c r="Q28" s="482" t="n"/>
      <c r="R28" s="11" t="n"/>
    </row>
    <row r="29">
      <c r="A29" s="33" t="n"/>
      <c r="Q29" s="212" t="n"/>
      <c r="R29" s="11" t="n"/>
      <c r="V29" s="446" t="inlineStr">
        <is>
          <t>( B ) Fazına ait çevirme oranı hata yüzdesi uygundur.</t>
        </is>
      </c>
    </row>
    <row r="30" ht="15.75" customHeight="1" s="227">
      <c r="A30" s="33" t="n"/>
      <c r="Q30" s="212" t="n"/>
      <c r="R30" s="11" t="n"/>
      <c r="W30" s="102" t="n"/>
      <c r="X30" s="102" t="n"/>
      <c r="Y30" s="102" t="n"/>
      <c r="Z30" s="102" t="n"/>
      <c r="AA30" s="102" t="n"/>
      <c r="AB30" s="102" t="n"/>
      <c r="AC30" s="102" t="n"/>
    </row>
    <row r="31">
      <c r="A31" s="33" t="n"/>
      <c r="Q31" s="212" t="n"/>
      <c r="R31" s="11" t="n"/>
      <c r="V31" s="446" t="inlineStr">
        <is>
          <t>( B ) Fazına ait çevirme oranı hata yüzdesi hatalı olduğu tespit edilmiştir.</t>
        </is>
      </c>
    </row>
    <row r="32" ht="15.75" customHeight="1" s="227">
      <c r="A32" s="10" t="n"/>
      <c r="B32" s="3" t="n"/>
      <c r="C32" s="127" t="n"/>
      <c r="D32" s="127" t="n"/>
      <c r="E32" s="127" t="n"/>
      <c r="F32" s="127" t="n"/>
      <c r="G32" s="127" t="n"/>
      <c r="H32" s="127" t="n"/>
      <c r="I32" s="127" t="n"/>
      <c r="J32" s="127" t="n"/>
      <c r="K32" s="127" t="n"/>
      <c r="L32" s="127" t="n"/>
      <c r="M32" s="127" t="n"/>
      <c r="N32" s="127" t="n"/>
      <c r="O32" s="127" t="n"/>
      <c r="P32" s="127" t="n"/>
      <c r="Q32" s="143" t="n"/>
      <c r="R32" s="11" t="n"/>
      <c r="W32" s="102" t="n"/>
      <c r="X32" s="102" t="n"/>
      <c r="Y32" s="102" t="n"/>
      <c r="Z32" s="102" t="n"/>
      <c r="AA32" s="102" t="n"/>
      <c r="AB32" s="102" t="n"/>
      <c r="AC32" s="102" t="n"/>
    </row>
    <row r="33" ht="15.75" customHeight="1" s="227">
      <c r="A33" s="10" t="n"/>
      <c r="B33" s="3" t="n"/>
      <c r="C33" s="127" t="n"/>
      <c r="D33" s="127" t="n"/>
      <c r="E33" s="127" t="n"/>
      <c r="F33" s="127" t="n"/>
      <c r="G33" s="127" t="n"/>
      <c r="H33" s="127" t="n"/>
      <c r="I33" s="127" t="n"/>
      <c r="J33" s="127" t="n"/>
      <c r="K33" s="127" t="n"/>
      <c r="L33" s="127" t="n"/>
      <c r="M33" s="127" t="n"/>
      <c r="N33" s="127" t="n"/>
      <c r="O33" s="127" t="n"/>
      <c r="P33" s="127" t="n"/>
      <c r="Q33" s="143" t="n"/>
      <c r="R33" s="11" t="n"/>
      <c r="W33" s="102" t="n"/>
      <c r="X33" s="102" t="n"/>
      <c r="Y33" s="102" t="n"/>
      <c r="Z33" s="102" t="n"/>
      <c r="AA33" s="102" t="n"/>
      <c r="AB33" s="102" t="n"/>
      <c r="AC33" s="102" t="n"/>
    </row>
    <row r="34">
      <c r="A34" s="10" t="n"/>
      <c r="B34" s="3" t="n"/>
      <c r="C34" s="127" t="n"/>
      <c r="D34" s="127" t="n"/>
      <c r="E34" s="127" t="n"/>
      <c r="F34" s="127" t="n"/>
      <c r="G34" s="127" t="n"/>
      <c r="H34" s="127" t="n"/>
      <c r="I34" s="127" t="n"/>
      <c r="J34" s="127" t="n"/>
      <c r="K34" s="127" t="n"/>
      <c r="L34" s="127" t="n"/>
      <c r="M34" s="127" t="n"/>
      <c r="N34" s="127" t="n"/>
      <c r="O34" s="127" t="n"/>
      <c r="P34" s="127" t="n"/>
      <c r="Q34" s="143" t="n"/>
      <c r="R34" s="11" t="n"/>
      <c r="V34" s="446" t="inlineStr">
        <is>
          <t>( C ) Fazına ait çevirme oranı hata yüzdesi uygundur.</t>
        </is>
      </c>
    </row>
    <row r="35">
      <c r="A35" s="10" t="n"/>
      <c r="B35" s="3" t="n"/>
      <c r="C35" s="127" t="n"/>
      <c r="D35" s="127" t="n"/>
      <c r="E35" s="127" t="n"/>
      <c r="F35" s="23" t="n"/>
      <c r="G35" s="127" t="n"/>
      <c r="H35" s="127" t="n"/>
      <c r="I35" s="127" t="n"/>
      <c r="J35" s="127" t="n"/>
      <c r="K35" s="127" t="n"/>
      <c r="L35" s="127" t="n"/>
      <c r="M35" s="127" t="n"/>
      <c r="N35" s="127" t="n"/>
      <c r="O35" s="127" t="n"/>
      <c r="P35" s="127" t="n"/>
      <c r="Q35" s="143" t="n"/>
      <c r="R35" s="11" t="n"/>
    </row>
    <row r="36">
      <c r="A36" s="10" t="n"/>
      <c r="B36" s="3" t="n"/>
      <c r="C36" s="127" t="n"/>
      <c r="D36" s="127" t="n"/>
      <c r="E36" s="127" t="n"/>
      <c r="F36" s="127" t="n"/>
      <c r="G36" s="127" t="n"/>
      <c r="H36" s="127" t="n"/>
      <c r="I36" s="127" t="n"/>
      <c r="J36" s="127" t="n"/>
      <c r="K36" s="127" t="n"/>
      <c r="L36" s="127" t="n"/>
      <c r="M36" s="127" t="n"/>
      <c r="N36" s="127" t="n"/>
      <c r="O36" s="127" t="n"/>
      <c r="P36" s="127" t="n"/>
      <c r="Q36" s="143" t="n"/>
      <c r="R36" s="11" t="n"/>
      <c r="V36" s="446" t="inlineStr">
        <is>
          <t>( C ) Fazına ait çevirme oranı hata yüzdesi hatalı olduğu tespit edilmiştir.</t>
        </is>
      </c>
    </row>
    <row r="37">
      <c r="A37" s="10" t="n"/>
      <c r="B37" s="3" t="n"/>
      <c r="C37" s="127" t="n"/>
      <c r="D37" s="127" t="n"/>
      <c r="E37" s="127" t="n"/>
      <c r="F37" s="127" t="n"/>
      <c r="G37" s="127" t="n"/>
      <c r="H37" s="127" t="n"/>
      <c r="I37" s="127" t="n"/>
      <c r="J37" s="127" t="n"/>
      <c r="K37" s="127" t="n"/>
      <c r="L37" s="127" t="n"/>
      <c r="M37" s="127" t="n"/>
      <c r="N37" s="127" t="n"/>
      <c r="O37" s="127" t="n"/>
      <c r="P37" s="127" t="n"/>
      <c r="Q37" s="143" t="n"/>
      <c r="R37" s="11" t="n"/>
    </row>
    <row r="38" s="227">
      <c r="A38" s="10" t="n"/>
      <c r="B38" s="3" t="n"/>
      <c r="C38" s="127" t="n"/>
      <c r="D38" s="127" t="n"/>
      <c r="E38" s="127" t="n"/>
      <c r="F38" s="127" t="n"/>
      <c r="G38" s="127" t="n"/>
      <c r="H38" s="127" t="n"/>
      <c r="I38" s="127" t="n"/>
      <c r="J38" s="127" t="n"/>
      <c r="K38" s="127" t="n"/>
      <c r="L38" s="127" t="n"/>
      <c r="M38" s="127" t="n"/>
      <c r="N38" s="127" t="n"/>
      <c r="O38" s="127" t="n"/>
      <c r="P38" s="127" t="n"/>
      <c r="Q38" s="143" t="n"/>
      <c r="R38" s="11" t="n"/>
    </row>
    <row r="39" s="227">
      <c r="A39" s="10" t="n"/>
      <c r="B39" s="3" t="n"/>
      <c r="C39" s="127" t="n"/>
      <c r="D39" s="127" t="n"/>
      <c r="E39" s="127" t="n"/>
      <c r="F39" s="127" t="n"/>
      <c r="G39" s="127" t="n"/>
      <c r="H39" s="127" t="n"/>
      <c r="I39" s="127" t="n"/>
      <c r="J39" s="127" t="n"/>
      <c r="K39" s="127" t="n"/>
      <c r="L39" s="127" t="n"/>
      <c r="M39" s="127" t="n"/>
      <c r="N39" s="127" t="n"/>
      <c r="O39" s="127" t="n"/>
      <c r="P39" s="127" t="n"/>
      <c r="Q39" s="143" t="n"/>
      <c r="R39" s="11" t="n"/>
    </row>
    <row r="40" s="227">
      <c r="A40" s="10" t="n"/>
      <c r="B40" s="3" t="n"/>
      <c r="C40" s="127" t="n"/>
      <c r="D40" s="127" t="n"/>
      <c r="E40" s="127" t="n"/>
      <c r="F40" s="127" t="n"/>
      <c r="G40" s="127" t="n"/>
      <c r="H40" s="127" t="n"/>
      <c r="I40" s="127" t="n"/>
      <c r="J40" s="127" t="n"/>
      <c r="K40" s="127" t="n"/>
      <c r="L40" s="127" t="n"/>
      <c r="M40" s="127" t="n"/>
      <c r="N40" s="127" t="n"/>
      <c r="O40" s="127" t="n"/>
      <c r="P40" s="127" t="n"/>
      <c r="Q40" s="143" t="n"/>
      <c r="R40" s="11" t="n"/>
    </row>
    <row r="41" s="227">
      <c r="A41" s="10" t="n"/>
      <c r="B41" s="3" t="n"/>
      <c r="C41" s="127" t="n"/>
      <c r="D41" s="127" t="n"/>
      <c r="E41" s="127" t="n"/>
      <c r="F41" s="127" t="n"/>
      <c r="G41" s="127" t="n"/>
      <c r="H41" s="127" t="n"/>
      <c r="I41" s="127" t="n"/>
      <c r="J41" s="127" t="n"/>
      <c r="K41" s="127" t="n"/>
      <c r="L41" s="127" t="n"/>
      <c r="M41" s="127" t="n"/>
      <c r="N41" s="127" t="n"/>
      <c r="O41" s="127" t="n"/>
      <c r="P41" s="127" t="n"/>
      <c r="Q41" s="143" t="n"/>
      <c r="R41" s="11" t="n"/>
    </row>
    <row r="42">
      <c r="A42" s="10" t="n"/>
      <c r="B42" s="118" t="n"/>
      <c r="C42" s="27" t="n"/>
      <c r="D42" s="27" t="n"/>
      <c r="E42" s="127" t="n"/>
      <c r="F42" s="127" t="n"/>
      <c r="G42" s="127" t="n"/>
      <c r="H42" s="127" t="n"/>
      <c r="I42" s="127" t="n"/>
      <c r="J42" s="127" t="n"/>
      <c r="K42" s="127" t="n"/>
      <c r="L42" s="127" t="n"/>
      <c r="M42" s="127" t="n"/>
      <c r="N42" s="127" t="n"/>
      <c r="O42" s="127" t="n"/>
      <c r="P42" s="127" t="n"/>
      <c r="Q42" s="117" t="n"/>
      <c r="R42" s="11" t="n"/>
    </row>
    <row r="43">
      <c r="A43" s="10" t="n"/>
      <c r="B43" s="118" t="n"/>
      <c r="C43" s="23" t="n"/>
      <c r="D43" s="23" t="n"/>
      <c r="E43" s="23" t="n"/>
      <c r="F43" s="23" t="n"/>
      <c r="G43" s="23" t="n"/>
      <c r="H43" s="23" t="n"/>
      <c r="I43" s="23" t="n"/>
      <c r="J43" s="23" t="n"/>
      <c r="K43" s="23" t="n"/>
      <c r="L43" s="23" t="n"/>
      <c r="M43" s="23" t="n"/>
      <c r="N43" s="23" t="n"/>
      <c r="O43" s="23" t="n"/>
      <c r="P43" s="23" t="n"/>
      <c r="Q43" s="117" t="n"/>
      <c r="R43" s="11" t="n"/>
    </row>
    <row r="44" ht="15.75" customHeight="1" s="227">
      <c r="A44" s="10" t="n"/>
      <c r="B44" s="357" t="inlineStr">
        <is>
          <t>Sonuç :</t>
        </is>
      </c>
      <c r="C44" s="47" t="n"/>
      <c r="D44" s="297">
        <f>IF(OR(O26&gt;W19,O26&lt;X19),V27,V25)</f>
        <v/>
      </c>
      <c r="E44" s="47" t="n"/>
      <c r="F44" s="47" t="n"/>
      <c r="G44" s="47" t="n"/>
      <c r="H44" s="47" t="n"/>
      <c r="I44" s="47" t="n"/>
      <c r="J44" s="47" t="n"/>
      <c r="K44" s="47" t="n"/>
      <c r="L44" s="47" t="n"/>
      <c r="M44" s="47" t="n"/>
      <c r="N44" s="47" t="n"/>
      <c r="O44" s="47" t="n"/>
      <c r="P44" s="47" t="n"/>
      <c r="Q44" s="211" t="n"/>
      <c r="R44" s="11" t="n"/>
    </row>
    <row r="45" ht="4.5" customHeight="1" s="227">
      <c r="A45" s="10" t="n"/>
      <c r="B45" s="118" t="n"/>
      <c r="C45" s="23" t="n"/>
      <c r="D45" s="102" t="n"/>
      <c r="E45" s="102" t="n"/>
      <c r="F45" s="102" t="n"/>
      <c r="G45" s="102" t="n"/>
      <c r="H45" s="102" t="n"/>
      <c r="I45" s="102" t="n"/>
      <c r="J45" s="102" t="n"/>
      <c r="K45" s="102" t="n"/>
      <c r="L45" s="102" t="n"/>
      <c r="M45" s="102" t="n"/>
      <c r="N45" s="102" t="n"/>
      <c r="O45" s="102" t="n"/>
      <c r="P45" s="102" t="n"/>
      <c r="Q45" s="103" t="n"/>
      <c r="R45" s="11" t="n"/>
    </row>
    <row r="46" ht="15" customHeight="1" s="227">
      <c r="A46" s="10" t="n"/>
      <c r="B46" s="3" t="n"/>
      <c r="C46" s="127" t="n"/>
      <c r="D46" s="295">
        <f>IF(OR(O27&gt;W19,O27&lt;X19),V31,V29)</f>
        <v/>
      </c>
      <c r="Q46" s="212" t="n"/>
      <c r="R46" s="11" t="n"/>
    </row>
    <row r="47" ht="4.5" customHeight="1" s="227">
      <c r="A47" s="10" t="n"/>
      <c r="B47" s="3" t="n"/>
      <c r="C47" s="127" t="n"/>
      <c r="D47" s="102" t="n"/>
      <c r="E47" s="102" t="n"/>
      <c r="F47" s="102" t="n"/>
      <c r="G47" s="102" t="n"/>
      <c r="H47" s="102" t="n"/>
      <c r="I47" s="102" t="n"/>
      <c r="J47" s="102" t="n"/>
      <c r="K47" s="102" t="n"/>
      <c r="L47" s="102" t="n"/>
      <c r="M47" s="102" t="n"/>
      <c r="N47" s="102" t="n"/>
      <c r="O47" s="102" t="n"/>
      <c r="P47" s="102" t="n"/>
      <c r="Q47" s="103" t="n"/>
      <c r="R47" s="11" t="n"/>
    </row>
    <row r="48" ht="15.75" customHeight="1" s="227">
      <c r="A48" s="10" t="n"/>
      <c r="B48" s="62" t="n"/>
      <c r="D48" s="448">
        <f>IF(OR(O28&gt;W19,O28&lt;X19),V36,V34)</f>
        <v/>
      </c>
      <c r="Q48" s="212" t="n"/>
      <c r="R48" s="11" t="n"/>
    </row>
    <row r="49">
      <c r="A49" s="10" t="n"/>
      <c r="B49" s="62" t="n"/>
      <c r="J49" s="50" t="n"/>
      <c r="K49" s="50" t="n"/>
      <c r="L49" s="50" t="n"/>
      <c r="M49" s="50" t="n"/>
      <c r="N49" s="50" t="n"/>
      <c r="O49" s="50" t="n"/>
      <c r="P49" s="50" t="n"/>
      <c r="Q49" s="213" t="n"/>
      <c r="R49" s="11" t="n"/>
    </row>
    <row r="50" ht="22.5" customHeight="1" s="227">
      <c r="A50" s="10" t="n"/>
      <c r="B50" s="355" t="n"/>
      <c r="C50" s="99" t="n"/>
      <c r="D50" s="99" t="n"/>
      <c r="E50" s="79" t="n"/>
      <c r="F50" s="364" t="n"/>
      <c r="G50" s="99" t="n"/>
      <c r="H50" s="99" t="n"/>
      <c r="I50" s="482" t="n"/>
      <c r="J50" s="290" t="inlineStr">
        <is>
          <t>ONAYLAYAN</t>
        </is>
      </c>
      <c r="K50" s="99" t="n"/>
      <c r="L50" s="99" t="n"/>
      <c r="M50" s="99" t="n"/>
      <c r="N50" s="99" t="n"/>
      <c r="O50" s="99" t="n"/>
      <c r="P50" s="99" t="n"/>
      <c r="Q50" s="482" t="n"/>
      <c r="R50" s="11" t="n"/>
    </row>
    <row r="51" ht="22.5" customHeight="1" s="227">
      <c r="A51" s="10" t="n"/>
      <c r="B51" s="365" t="inlineStr">
        <is>
          <t>UNVAN</t>
        </is>
      </c>
      <c r="C51" s="47" t="n"/>
      <c r="D51" s="47" t="n"/>
      <c r="E51" s="134" t="inlineStr">
        <is>
          <t>:</t>
        </is>
      </c>
      <c r="F51" s="368" t="inlineStr">
        <is>
          <t>Elektrik Mühendisi</t>
        </is>
      </c>
      <c r="G51" s="47" t="n"/>
      <c r="H51" s="47" t="n"/>
      <c r="I51" s="211" t="n"/>
      <c r="J51" s="54" t="n"/>
      <c r="K51" s="54" t="n"/>
      <c r="L51" s="134" t="n"/>
      <c r="M51" s="134" t="n"/>
      <c r="N51" s="134" t="n"/>
      <c r="O51" s="134" t="n"/>
      <c r="P51" s="134" t="n"/>
      <c r="Q51" s="135" t="n"/>
      <c r="R51" s="11" t="n"/>
    </row>
    <row r="52" ht="22.5" customHeight="1" s="227">
      <c r="A52" s="10" t="n"/>
      <c r="B52" s="351" t="inlineStr">
        <is>
          <t>TEST TARİHİ</t>
        </is>
      </c>
      <c r="E52" s="134" t="inlineStr">
        <is>
          <t>:</t>
        </is>
      </c>
      <c r="F52" s="502">
        <f>'ANA SAYFA'!F79</f>
        <v/>
      </c>
      <c r="I52" s="212" t="n"/>
      <c r="J52" s="134" t="n"/>
      <c r="K52" s="54" t="n"/>
      <c r="L52" s="134" t="n"/>
      <c r="M52" s="134" t="n"/>
      <c r="N52" s="134" t="n"/>
      <c r="O52" s="134" t="n"/>
      <c r="P52" s="134" t="n"/>
      <c r="Q52" s="135" t="n"/>
      <c r="R52" s="11" t="n"/>
    </row>
    <row r="53" ht="22.5" customHeight="1" s="227">
      <c r="A53" s="10" t="n"/>
      <c r="B53" s="233" t="n"/>
      <c r="C53" s="234" t="n"/>
      <c r="D53" s="234" t="n"/>
      <c r="E53" s="234" t="n"/>
      <c r="F53" s="234" t="n"/>
      <c r="G53" s="234" t="n"/>
      <c r="H53" s="234" t="n"/>
      <c r="I53" s="235" t="n"/>
      <c r="J53" s="139" t="n"/>
      <c r="K53" s="139" t="n"/>
      <c r="L53" s="139" t="n"/>
      <c r="M53" s="139" t="n"/>
      <c r="N53" s="139" t="n"/>
      <c r="O53" s="139" t="n"/>
      <c r="P53" s="139" t="n"/>
      <c r="Q53" s="136" t="n"/>
      <c r="R53" s="11" t="n"/>
    </row>
    <row r="54" ht="15.75" customHeight="1" s="227" thickBot="1">
      <c r="A54" s="15" t="n"/>
      <c r="B54" s="16" t="n"/>
      <c r="C54" s="16" t="n"/>
      <c r="D54" s="16" t="n"/>
      <c r="E54" s="16" t="n"/>
      <c r="F54" s="16" t="n"/>
      <c r="G54" s="16" t="n"/>
      <c r="H54" s="16" t="n"/>
      <c r="I54" s="16" t="n"/>
      <c r="J54" s="16" t="n"/>
      <c r="K54" s="16" t="n"/>
      <c r="L54" s="16" t="n"/>
      <c r="M54" s="16" t="n"/>
      <c r="N54" s="16" t="n"/>
      <c r="O54" s="16" t="n"/>
      <c r="P54" s="16" t="n"/>
      <c r="Q54" s="16" t="n"/>
      <c r="R54" s="17" t="n"/>
    </row>
  </sheetData>
  <mergeCells count="89">
    <mergeCell ref="I26:J26"/>
    <mergeCell ref="J18:M18"/>
    <mergeCell ref="K26:L26"/>
    <mergeCell ref="J11:L11"/>
    <mergeCell ref="J17:M17"/>
    <mergeCell ref="I25:J25"/>
    <mergeCell ref="N20:Q20"/>
    <mergeCell ref="J19:M19"/>
    <mergeCell ref="M25:N25"/>
    <mergeCell ref="C27:D27"/>
    <mergeCell ref="B21:E21"/>
    <mergeCell ref="E27:F27"/>
    <mergeCell ref="V27:AC27"/>
    <mergeCell ref="B9:I9"/>
    <mergeCell ref="V25:AC25"/>
    <mergeCell ref="K28:L28"/>
    <mergeCell ref="C28:D28"/>
    <mergeCell ref="J2:Q2"/>
    <mergeCell ref="F19:G19"/>
    <mergeCell ref="F52:I52"/>
    <mergeCell ref="J9:Q9"/>
    <mergeCell ref="G7:H7"/>
    <mergeCell ref="B11:C11"/>
    <mergeCell ref="V29:AC29"/>
    <mergeCell ref="F20:G20"/>
    <mergeCell ref="F18:G18"/>
    <mergeCell ref="V31:AC31"/>
    <mergeCell ref="H11:I11"/>
    <mergeCell ref="B18:E18"/>
    <mergeCell ref="K27:L27"/>
    <mergeCell ref="O7:Q7"/>
    <mergeCell ref="M27:N27"/>
    <mergeCell ref="D11:G11"/>
    <mergeCell ref="E26:F26"/>
    <mergeCell ref="G26:H26"/>
    <mergeCell ref="F17:I17"/>
    <mergeCell ref="E25:F25"/>
    <mergeCell ref="G25:H25"/>
    <mergeCell ref="J20:M20"/>
    <mergeCell ref="K25:L25"/>
    <mergeCell ref="B7:C7"/>
    <mergeCell ref="G2:H2"/>
    <mergeCell ref="J21:M21"/>
    <mergeCell ref="D7:F7"/>
    <mergeCell ref="O25:Q25"/>
    <mergeCell ref="N15:Q15"/>
    <mergeCell ref="D46:Q46"/>
    <mergeCell ref="B5:Q5"/>
    <mergeCell ref="M11:N11"/>
    <mergeCell ref="O27:Q27"/>
    <mergeCell ref="V34:AC34"/>
    <mergeCell ref="B51:D51"/>
    <mergeCell ref="B44:C44"/>
    <mergeCell ref="B50:D50"/>
    <mergeCell ref="M26:N26"/>
    <mergeCell ref="N18:Q18"/>
    <mergeCell ref="B17:E17"/>
    <mergeCell ref="F50:I50"/>
    <mergeCell ref="B15:I15"/>
    <mergeCell ref="B2:F3"/>
    <mergeCell ref="N17:Q17"/>
    <mergeCell ref="B19:E19"/>
    <mergeCell ref="I7:K7"/>
    <mergeCell ref="N19:Q19"/>
    <mergeCell ref="D44:Q44"/>
    <mergeCell ref="O26:Q26"/>
    <mergeCell ref="G27:H27"/>
    <mergeCell ref="I27:J27"/>
    <mergeCell ref="B20:E20"/>
    <mergeCell ref="C26:D26"/>
    <mergeCell ref="C25:D25"/>
    <mergeCell ref="E28:F28"/>
    <mergeCell ref="G28:H28"/>
    <mergeCell ref="I28:J28"/>
    <mergeCell ref="G3:H3"/>
    <mergeCell ref="O11:Q11"/>
    <mergeCell ref="D48:Q48"/>
    <mergeCell ref="B22:Q22"/>
    <mergeCell ref="M28:N28"/>
    <mergeCell ref="N21:Q21"/>
    <mergeCell ref="F21:I21"/>
    <mergeCell ref="V36:AC36"/>
    <mergeCell ref="F51:I51"/>
    <mergeCell ref="L7:N7"/>
    <mergeCell ref="O28:Q28"/>
    <mergeCell ref="J50:Q50"/>
    <mergeCell ref="J3:Q3"/>
    <mergeCell ref="B52:D52"/>
    <mergeCell ref="B13:Q13"/>
  </mergeCells>
  <pageMargins left="0.5511811023622047" right="0.2362204724409449" top="0.3543307086614173" bottom="0.3543307086614173" header="0" footer="0"/>
  <pageSetup orientation="portrait" paperSize="9" scale="93"/>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AI51"/>
  <sheetViews>
    <sheetView zoomScale="82" zoomScaleNormal="82" workbookViewId="0">
      <selection activeCell="A1" sqref="A1"/>
    </sheetView>
  </sheetViews>
  <sheetFormatPr baseColWidth="8" defaultRowHeight="15"/>
  <cols>
    <col width="3.5546875" customWidth="1" style="227" min="1" max="1"/>
    <col width="5.109375" customWidth="1" style="227" min="2" max="2"/>
    <col width="5.44140625" customWidth="1" style="227" min="4" max="4"/>
    <col width="4.88671875" customWidth="1" style="227" min="8" max="8"/>
    <col width="4.6640625" customWidth="1" style="227" min="10" max="10"/>
    <col width="5.88671875" customWidth="1" style="227" min="11" max="11"/>
    <col width="3.5546875" customWidth="1" style="227" min="18" max="18"/>
  </cols>
  <sheetData>
    <row r="1" ht="1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46" t="n"/>
      <c r="C2" s="47" t="n"/>
      <c r="D2" s="47" t="n"/>
      <c r="E2" s="47" t="n"/>
      <c r="F2" s="48"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51" t="n"/>
      <c r="G3" s="391" t="inlineStr">
        <is>
          <t xml:space="preserve">  LOKASYON</t>
        </is>
      </c>
      <c r="H3" s="50" t="n"/>
      <c r="I3" s="193" t="inlineStr">
        <is>
          <t>:</t>
        </is>
      </c>
      <c r="J3" s="396">
        <f>'ANA SAYFA'!K5</f>
        <v/>
      </c>
      <c r="K3" s="50" t="n"/>
      <c r="L3" s="50" t="n"/>
      <c r="M3" s="50" t="n"/>
      <c r="N3" s="50" t="n"/>
      <c r="O3" s="50" t="n"/>
      <c r="P3" s="50" t="n"/>
      <c r="Q3" s="213" t="n"/>
      <c r="R3" s="11" t="n"/>
    </row>
    <row r="4" ht="15" customHeight="1" s="227">
      <c r="A4" s="10" t="n"/>
      <c r="B4" s="3" t="n"/>
      <c r="C4" s="127" t="n"/>
      <c r="D4" s="127" t="n"/>
      <c r="E4" s="127" t="n"/>
      <c r="F4" s="127" t="n"/>
      <c r="G4" s="127" t="n"/>
      <c r="H4" s="127" t="n"/>
      <c r="I4" s="127" t="n"/>
      <c r="J4" s="127" t="n"/>
      <c r="K4" s="127" t="n"/>
      <c r="L4" s="127" t="n"/>
      <c r="M4" s="127" t="n"/>
      <c r="N4" s="127" t="n"/>
      <c r="O4" s="127" t="n"/>
      <c r="P4" s="127" t="n"/>
      <c r="Q4" s="143" t="n"/>
      <c r="R4" s="11" t="n"/>
    </row>
    <row r="5" ht="18" customHeight="1" s="227">
      <c r="A5" s="10" t="n"/>
      <c r="B5" s="514" t="inlineStr">
        <is>
          <t>Dosya Adı :</t>
        </is>
      </c>
      <c r="C5" s="99" t="n"/>
      <c r="D5" s="99" t="n"/>
      <c r="E5" s="382" t="inlineStr">
        <is>
          <t>TOPRAKLAMA ÖLÇÜM SONUÇLARI</t>
        </is>
      </c>
      <c r="F5" s="99" t="n"/>
      <c r="G5" s="99" t="n"/>
      <c r="H5" s="99" t="n"/>
      <c r="I5" s="99" t="n"/>
      <c r="J5" s="99" t="n"/>
      <c r="K5" s="99" t="n"/>
      <c r="L5" s="99" t="n"/>
      <c r="M5" s="99" t="n"/>
      <c r="N5" s="99" t="n"/>
      <c r="O5" s="99" t="n"/>
      <c r="P5" s="99" t="n"/>
      <c r="Q5" s="482" t="n"/>
      <c r="R5" s="11" t="n"/>
    </row>
    <row r="6" ht="15" customHeight="1" s="227">
      <c r="A6" s="10" t="n"/>
      <c r="B6" s="3" t="n"/>
      <c r="C6" s="127" t="n"/>
      <c r="D6" s="127" t="n"/>
      <c r="E6" s="127" t="n"/>
      <c r="F6" s="127" t="n"/>
      <c r="G6" s="127" t="n"/>
      <c r="H6" s="127" t="n"/>
      <c r="I6" s="127" t="n"/>
      <c r="J6" s="127" t="n"/>
      <c r="K6" s="127" t="n"/>
      <c r="L6" s="127" t="n"/>
      <c r="M6" s="127" t="n"/>
      <c r="N6" s="127" t="n"/>
      <c r="O6" s="127" t="n"/>
      <c r="P6" s="127" t="n"/>
      <c r="Q6" s="143" t="n"/>
      <c r="R6" s="11" t="n"/>
    </row>
    <row r="7" ht="18" customHeight="1" s="227">
      <c r="A7" s="10" t="n"/>
      <c r="B7" s="402" t="inlineStr">
        <is>
          <t>OTURUM TARİHİ :</t>
        </is>
      </c>
      <c r="C7" s="99" t="n"/>
      <c r="D7" s="99" t="n"/>
      <c r="E7" s="99" t="n"/>
      <c r="F7" s="99" t="n"/>
      <c r="G7" s="99" t="n"/>
      <c r="H7" s="99" t="n"/>
      <c r="I7" s="99" t="n"/>
      <c r="J7" s="499">
        <f>'ANA SAYFA'!F78</f>
        <v/>
      </c>
      <c r="K7" s="99" t="n"/>
      <c r="L7" s="99" t="n"/>
      <c r="M7" s="99" t="n"/>
      <c r="N7" s="99" t="n"/>
      <c r="O7" s="99" t="n"/>
      <c r="P7" s="99" t="n"/>
      <c r="Q7" s="482" t="n"/>
      <c r="R7" s="11" t="n"/>
    </row>
    <row r="8" ht="11.25" customHeight="1" s="227">
      <c r="A8" s="10" t="n"/>
      <c r="B8" s="3" t="n"/>
      <c r="C8" s="127" t="n"/>
      <c r="D8" s="127" t="n"/>
      <c r="E8" s="127" t="n"/>
      <c r="F8" s="127" t="n"/>
      <c r="G8" s="127" t="n"/>
      <c r="H8" s="127" t="n"/>
      <c r="I8" s="127" t="n"/>
      <c r="J8" s="127" t="n"/>
      <c r="K8" s="127" t="n"/>
      <c r="L8" s="127" t="n"/>
      <c r="M8" s="127" t="n"/>
      <c r="N8" s="127" t="n"/>
      <c r="O8" s="127" t="n"/>
      <c r="P8" s="127" t="n"/>
      <c r="Q8" s="143" t="n"/>
      <c r="R8" s="11" t="n"/>
    </row>
    <row r="9" ht="15" customHeight="1" s="227">
      <c r="A9" s="10" t="n"/>
      <c r="B9" s="421" t="inlineStr">
        <is>
          <t>Operatör :</t>
        </is>
      </c>
      <c r="C9" s="482" t="n"/>
      <c r="D9" s="422">
        <f>'OG SARGI MEVCUT KADEME'!D11</f>
        <v/>
      </c>
      <c r="E9" s="99" t="n"/>
      <c r="F9" s="99" t="n"/>
      <c r="G9" s="482" t="n"/>
      <c r="H9" s="421" t="inlineStr">
        <is>
          <t>Cihaz :</t>
        </is>
      </c>
      <c r="I9" s="482" t="n"/>
      <c r="J9" s="374" t="n"/>
      <c r="K9" s="99" t="n"/>
      <c r="L9" s="482" t="n"/>
      <c r="M9" s="374" t="inlineStr">
        <is>
          <t>Cihaz S/N :</t>
        </is>
      </c>
      <c r="N9" s="482" t="n"/>
      <c r="O9" s="374" t="n"/>
      <c r="P9" s="99" t="n"/>
      <c r="Q9" s="482" t="n"/>
      <c r="R9" s="11" t="n"/>
    </row>
    <row r="10" ht="7.5" customHeight="1" s="227">
      <c r="A10" s="10" t="n"/>
      <c r="B10" s="3" t="n"/>
      <c r="C10" s="127" t="n"/>
      <c r="D10" s="127" t="n"/>
      <c r="E10" s="127" t="n"/>
      <c r="F10" s="127" t="n"/>
      <c r="G10" s="127" t="n"/>
      <c r="H10" s="127" t="n"/>
      <c r="I10" s="127" t="n"/>
      <c r="J10" s="127" t="n"/>
      <c r="K10" s="127" t="n"/>
      <c r="L10" s="127" t="n"/>
      <c r="M10" s="127" t="n"/>
      <c r="N10" s="127" t="n"/>
      <c r="O10" s="127" t="n"/>
      <c r="P10" s="127" t="n"/>
      <c r="Q10" s="143" t="n"/>
      <c r="R10" s="11" t="n"/>
    </row>
    <row r="11" ht="18" customHeight="1" s="227">
      <c r="A11" s="10" t="n"/>
      <c r="B11" s="420" t="inlineStr">
        <is>
          <t>Sonuçlar</t>
        </is>
      </c>
      <c r="C11" s="99" t="n"/>
      <c r="D11" s="99" t="n"/>
      <c r="E11" s="99" t="n"/>
      <c r="F11" s="99" t="n"/>
      <c r="G11" s="99" t="n"/>
      <c r="H11" s="99" t="n"/>
      <c r="I11" s="99" t="n"/>
      <c r="J11" s="99" t="n"/>
      <c r="K11" s="99" t="n"/>
      <c r="L11" s="99" t="n"/>
      <c r="M11" s="99" t="n"/>
      <c r="N11" s="99" t="n"/>
      <c r="O11" s="99" t="n"/>
      <c r="P11" s="99" t="n"/>
      <c r="Q11" s="482" t="n"/>
      <c r="R11" s="11" t="n"/>
    </row>
    <row r="12" ht="7.5" customHeight="1" s="227">
      <c r="A12" s="10" t="n"/>
      <c r="B12" s="3" t="n"/>
      <c r="C12" s="127" t="n"/>
      <c r="D12" s="127" t="n"/>
      <c r="E12" s="127" t="n"/>
      <c r="F12" s="127" t="n"/>
      <c r="G12" s="127" t="n"/>
      <c r="H12" s="127" t="n"/>
      <c r="I12" s="127" t="n"/>
      <c r="J12" s="127" t="n"/>
      <c r="K12" s="127" t="n"/>
      <c r="L12" s="127" t="n"/>
      <c r="M12" s="127" t="n"/>
      <c r="N12" s="127" t="n"/>
      <c r="O12" s="127" t="n"/>
      <c r="P12" s="127" t="n"/>
      <c r="Q12" s="143" t="n"/>
      <c r="R12" s="11" t="n"/>
    </row>
    <row r="13" ht="18" customHeight="1" s="227">
      <c r="A13" s="10" t="n"/>
      <c r="B13" s="485" t="inlineStr">
        <is>
          <t>İŞLETME (NÖTR) TOPRAK DİRENCİ</t>
        </is>
      </c>
      <c r="C13" s="99" t="n"/>
      <c r="D13" s="99" t="n"/>
      <c r="E13" s="99" t="n"/>
      <c r="F13" s="99" t="n"/>
      <c r="G13" s="99" t="n"/>
      <c r="H13" s="99" t="n"/>
      <c r="I13" s="99" t="n"/>
      <c r="J13" s="99" t="n"/>
      <c r="K13" s="99" t="n"/>
      <c r="L13" s="99" t="n"/>
      <c r="M13" s="99" t="n"/>
      <c r="N13" s="99" t="n"/>
      <c r="O13" s="99" t="n"/>
      <c r="P13" s="99" t="n"/>
      <c r="Q13" s="482" t="n"/>
      <c r="R13" s="11" t="n"/>
    </row>
    <row r="14" ht="7.5" customHeight="1" s="227">
      <c r="A14" s="10" t="n"/>
      <c r="B14" s="3" t="n"/>
      <c r="C14" s="127" t="n"/>
      <c r="D14" s="127" t="n"/>
      <c r="E14" s="127" t="n"/>
      <c r="F14" s="127" t="n"/>
      <c r="G14" s="127" t="n"/>
      <c r="H14" s="127" t="n"/>
      <c r="I14" s="127" t="n"/>
      <c r="J14" s="127" t="n"/>
      <c r="K14" s="127" t="n"/>
      <c r="L14" s="127" t="n"/>
      <c r="M14" s="127" t="n"/>
      <c r="N14" s="127" t="n"/>
      <c r="O14" s="127" t="n"/>
      <c r="P14" s="127" t="n"/>
      <c r="Q14" s="143" t="n"/>
      <c r="R14" s="11" t="n"/>
    </row>
    <row r="15" ht="15" customHeight="1" s="227">
      <c r="A15" s="10" t="n"/>
      <c r="B15" s="345" t="n"/>
      <c r="C15" s="99" t="n"/>
      <c r="D15" s="99" t="n"/>
      <c r="E15" s="99" t="n"/>
      <c r="F15" s="99" t="n"/>
      <c r="G15" s="99" t="n"/>
      <c r="H15" s="346" t="n"/>
      <c r="I15" s="99" t="n"/>
      <c r="J15" s="99" t="n"/>
      <c r="K15" s="347" t="n"/>
      <c r="L15" s="99" t="n"/>
      <c r="M15" s="482" t="n"/>
      <c r="N15" s="347" t="inlineStr">
        <is>
          <t>Sonuç</t>
        </is>
      </c>
      <c r="O15" s="99" t="n"/>
      <c r="P15" s="99" t="n"/>
      <c r="Q15" s="482" t="n"/>
      <c r="R15" s="11" t="n"/>
    </row>
    <row r="16" ht="15" customHeight="1" s="227">
      <c r="A16" s="10" t="n"/>
      <c r="B16" s="515" t="inlineStr">
        <is>
          <t>Max. Ω</t>
        </is>
      </c>
      <c r="C16" s="482" t="n"/>
      <c r="D16" s="515" t="n">
        <v>4</v>
      </c>
      <c r="E16" s="482" t="n"/>
      <c r="F16" s="516" t="inlineStr">
        <is>
          <t>Ω</t>
        </is>
      </c>
      <c r="G16" s="482" t="n"/>
      <c r="H16" s="397" t="inlineStr">
        <is>
          <t>Ölçülen</t>
        </is>
      </c>
      <c r="I16" s="99" t="n"/>
      <c r="J16" s="517" t="inlineStr">
        <is>
          <t>Ω</t>
        </is>
      </c>
      <c r="K16" s="375">
        <f>'ANA SAYFA'!H48</f>
        <v/>
      </c>
      <c r="L16" s="99" t="n"/>
      <c r="M16" s="517" t="inlineStr">
        <is>
          <t>Ω</t>
        </is>
      </c>
      <c r="N16" s="440">
        <f>IF(K16&lt;D16,W18,Y18)</f>
        <v/>
      </c>
      <c r="O16" s="99" t="n"/>
      <c r="P16" s="99" t="n"/>
      <c r="Q16" s="482" t="n"/>
      <c r="R16" s="11" t="n"/>
    </row>
    <row r="17" ht="15" customHeight="1" s="227">
      <c r="A17" s="10" t="n"/>
      <c r="B17" s="518" t="n"/>
      <c r="C17" s="519" t="n"/>
      <c r="D17" s="519" t="n"/>
      <c r="E17" s="519" t="n"/>
      <c r="F17" s="519" t="n"/>
      <c r="G17" s="519" t="n"/>
      <c r="H17" s="40" t="n"/>
      <c r="I17" s="40" t="n"/>
      <c r="J17" s="40" t="n"/>
      <c r="K17" s="52" t="n"/>
      <c r="L17" s="52" t="n"/>
      <c r="M17" s="40" t="n"/>
      <c r="N17" s="520" t="n"/>
      <c r="O17" s="520" t="n"/>
      <c r="P17" s="47" t="n"/>
      <c r="Q17" s="428" t="n"/>
      <c r="R17" s="11" t="n"/>
    </row>
    <row r="18" ht="15" customHeight="1" s="227">
      <c r="A18" s="10" t="n"/>
      <c r="B18" s="521" t="n"/>
      <c r="C18" s="45" t="n"/>
      <c r="D18" s="45" t="n"/>
      <c r="E18" s="45" t="n"/>
      <c r="F18" s="45" t="n"/>
      <c r="G18" s="45" t="n"/>
      <c r="H18" s="45" t="n"/>
      <c r="I18" s="45" t="n"/>
      <c r="J18" s="45" t="n"/>
      <c r="K18" s="45" t="n"/>
      <c r="L18" s="45" t="n"/>
      <c r="M18" s="45" t="n"/>
      <c r="N18" s="45" t="n"/>
      <c r="O18" s="45" t="n"/>
      <c r="P18" s="45" t="n"/>
      <c r="Q18" s="522" t="n"/>
      <c r="R18" s="11" t="n"/>
      <c r="W18" s="303" t="inlineStr">
        <is>
          <t>UYGUN</t>
        </is>
      </c>
      <c r="Y18" s="303" t="inlineStr">
        <is>
          <t>UYGUN DEĞİL</t>
        </is>
      </c>
    </row>
    <row r="19" ht="15" customHeight="1" s="227">
      <c r="A19" s="10" t="n"/>
      <c r="B19" s="521" t="n"/>
      <c r="C19" s="45" t="n"/>
      <c r="D19" s="45" t="n"/>
      <c r="E19" s="45" t="n"/>
      <c r="F19" s="45" t="n"/>
      <c r="G19" s="45" t="n"/>
      <c r="H19" s="45" t="n"/>
      <c r="I19" s="45" t="n"/>
      <c r="J19" s="45" t="n"/>
      <c r="K19" s="45" t="n"/>
      <c r="L19" s="45" t="n"/>
      <c r="M19" s="45" t="n"/>
      <c r="N19" s="45" t="n"/>
      <c r="O19" s="45" t="n"/>
      <c r="P19" s="45" t="n"/>
      <c r="Q19" s="522" t="n"/>
      <c r="R19" s="11" t="n"/>
    </row>
    <row r="20" ht="15" customHeight="1" s="227">
      <c r="A20" s="10" t="n"/>
      <c r="B20" s="521" t="n"/>
      <c r="C20" s="45" t="n"/>
      <c r="D20" s="45" t="n"/>
      <c r="E20" s="45" t="n"/>
      <c r="F20" s="45" t="n"/>
      <c r="G20" s="45" t="n"/>
      <c r="H20" s="45" t="n"/>
      <c r="I20" s="45" t="n"/>
      <c r="J20" s="45" t="n"/>
      <c r="K20" s="45" t="n"/>
      <c r="L20" s="45" t="n"/>
      <c r="M20" s="45" t="n"/>
      <c r="N20" s="45" t="n"/>
      <c r="O20" s="45" t="n"/>
      <c r="P20" s="45" t="n"/>
      <c r="Q20" s="522" t="n"/>
      <c r="R20" s="11" t="n"/>
    </row>
    <row r="21" ht="15" customHeight="1" s="227">
      <c r="A21" s="10" t="n"/>
      <c r="B21" s="521" t="n"/>
      <c r="C21" s="45" t="n"/>
      <c r="D21" s="45" t="n"/>
      <c r="E21" s="45" t="n"/>
      <c r="F21" s="45" t="n"/>
      <c r="G21" s="45" t="n"/>
      <c r="H21" s="45" t="n"/>
      <c r="I21" s="45" t="n"/>
      <c r="J21" s="45" t="n"/>
      <c r="K21" s="45" t="n"/>
      <c r="L21" s="45" t="n"/>
      <c r="M21" s="45" t="n"/>
      <c r="N21" s="45" t="n"/>
      <c r="O21" s="45" t="n"/>
      <c r="P21" s="45" t="n"/>
      <c r="Q21" s="522" t="n"/>
      <c r="R21" s="11" t="n"/>
    </row>
    <row r="22" ht="15" customHeight="1" s="227">
      <c r="A22" s="10" t="n"/>
      <c r="B22" s="521" t="n"/>
      <c r="C22" s="45" t="n"/>
      <c r="D22" s="45" t="n"/>
      <c r="E22" s="45" t="n"/>
      <c r="F22" s="45" t="n"/>
      <c r="G22" s="45" t="n"/>
      <c r="H22" s="45" t="n"/>
      <c r="I22" s="45" t="n"/>
      <c r="J22" s="45" t="n"/>
      <c r="K22" s="45" t="n"/>
      <c r="L22" s="45" t="n"/>
      <c r="M22" s="45" t="n"/>
      <c r="N22" s="45" t="n"/>
      <c r="O22" s="45" t="n"/>
      <c r="P22" s="45" t="n"/>
      <c r="Q22" s="522" t="n"/>
      <c r="R22" s="11" t="n"/>
    </row>
    <row r="23" ht="18" customHeight="1" s="227">
      <c r="A23" s="10" t="n"/>
      <c r="B23" s="485" t="inlineStr">
        <is>
          <t>KORUMA TOPRAK DİRENCİ</t>
        </is>
      </c>
      <c r="C23" s="99" t="n"/>
      <c r="D23" s="99" t="n"/>
      <c r="E23" s="99" t="n"/>
      <c r="F23" s="99" t="n"/>
      <c r="G23" s="99" t="n"/>
      <c r="H23" s="99" t="n"/>
      <c r="I23" s="99" t="n"/>
      <c r="J23" s="99" t="n"/>
      <c r="K23" s="99" t="n"/>
      <c r="L23" s="99" t="n"/>
      <c r="M23" s="99" t="n"/>
      <c r="N23" s="99" t="n"/>
      <c r="O23" s="99" t="n"/>
      <c r="P23" s="99" t="n"/>
      <c r="Q23" s="482" t="n"/>
      <c r="R23" s="11" t="n"/>
    </row>
    <row r="24" ht="7.5" customHeight="1" s="227">
      <c r="A24" s="10" t="n"/>
      <c r="B24" s="3" t="n"/>
      <c r="C24" s="127" t="n"/>
      <c r="D24" s="127" t="n"/>
      <c r="E24" s="127" t="n"/>
      <c r="F24" s="127" t="n"/>
      <c r="G24" s="127" t="n"/>
      <c r="H24" s="127" t="n"/>
      <c r="I24" s="127" t="n"/>
      <c r="J24" s="127" t="n"/>
      <c r="K24" s="127" t="n"/>
      <c r="L24" s="127" t="n"/>
      <c r="M24" s="127" t="n"/>
      <c r="N24" s="127" t="n"/>
      <c r="O24" s="127" t="n"/>
      <c r="P24" s="127" t="n"/>
      <c r="Q24" s="143" t="n"/>
      <c r="R24" s="11" t="n"/>
    </row>
    <row r="25" ht="15.6" customHeight="1" s="227">
      <c r="A25" s="10" t="n"/>
      <c r="B25" s="345" t="n"/>
      <c r="C25" s="99" t="n"/>
      <c r="D25" s="99" t="n"/>
      <c r="E25" s="99" t="n"/>
      <c r="F25" s="99" t="n"/>
      <c r="G25" s="99" t="n"/>
      <c r="H25" s="346" t="n"/>
      <c r="I25" s="99" t="n"/>
      <c r="J25" s="99" t="n"/>
      <c r="K25" s="347" t="n"/>
      <c r="L25" s="99" t="n"/>
      <c r="M25" s="482" t="n"/>
      <c r="N25" s="347" t="inlineStr">
        <is>
          <t>Sonuç</t>
        </is>
      </c>
      <c r="O25" s="99" t="n"/>
      <c r="P25" s="99" t="n"/>
      <c r="Q25" s="482" t="n"/>
      <c r="R25" s="11" t="n"/>
      <c r="V25" s="361" t="inlineStr">
        <is>
          <t>İşletme (NÖTR) topraklaması direnç değeri normaldir.</t>
        </is>
      </c>
    </row>
    <row r="26" ht="15.6" customHeight="1" s="227">
      <c r="A26" s="10" t="n"/>
      <c r="B26" s="523" t="inlineStr">
        <is>
          <t>Trafo</t>
        </is>
      </c>
      <c r="C26" s="482" t="n"/>
      <c r="D26" s="524" t="inlineStr">
        <is>
          <t>Max. Ω</t>
        </is>
      </c>
      <c r="E26" s="99" t="n"/>
      <c r="F26" s="525" t="n">
        <v>4</v>
      </c>
      <c r="G26" s="526" t="inlineStr">
        <is>
          <t>Ω</t>
        </is>
      </c>
      <c r="H26" s="397" t="inlineStr">
        <is>
          <t>Ölçülen</t>
        </is>
      </c>
      <c r="I26" s="99" t="n"/>
      <c r="J26" s="517" t="inlineStr">
        <is>
          <t>Ω</t>
        </is>
      </c>
      <c r="K26" s="527">
        <f>'ANA SAYFA'!H46</f>
        <v/>
      </c>
      <c r="L26" s="99" t="n"/>
      <c r="M26" s="517" t="inlineStr">
        <is>
          <t>Ω</t>
        </is>
      </c>
      <c r="N26" s="440">
        <f>IF(K26&lt;F26,W18,Y18)</f>
        <v/>
      </c>
      <c r="O26" s="99" t="n"/>
      <c r="P26" s="99" t="n"/>
      <c r="Q26" s="482" t="n"/>
      <c r="R26" s="11" t="n"/>
      <c r="V26" s="361" t="inlineStr">
        <is>
          <t>İşletme (NÖTR) topraklaması direnç değeri yüksek bulunmuştur.</t>
        </is>
      </c>
    </row>
    <row r="27" ht="15.6" customHeight="1" s="227">
      <c r="A27" s="10" t="n"/>
      <c r="B27" s="523" t="inlineStr">
        <is>
          <t>Hücre</t>
        </is>
      </c>
      <c r="C27" s="482" t="n"/>
      <c r="D27" s="524" t="inlineStr">
        <is>
          <t>Max. Ω</t>
        </is>
      </c>
      <c r="E27" s="99" t="n"/>
      <c r="F27" s="525" t="n">
        <v>4</v>
      </c>
      <c r="G27" s="526" t="inlineStr">
        <is>
          <t>Ω</t>
        </is>
      </c>
      <c r="H27" s="397" t="inlineStr">
        <is>
          <t>Ölçülen</t>
        </is>
      </c>
      <c r="I27" s="99" t="n"/>
      <c r="J27" s="517" t="inlineStr">
        <is>
          <t>Ω</t>
        </is>
      </c>
      <c r="K27" s="527">
        <f>'ANA SAYFA'!H50</f>
        <v/>
      </c>
      <c r="L27" s="99" t="n"/>
      <c r="M27" s="517" t="inlineStr">
        <is>
          <t>Ω</t>
        </is>
      </c>
      <c r="N27" s="440">
        <f>IF(K27&lt;F27,W18,Y18)</f>
        <v/>
      </c>
      <c r="O27" s="99" t="n"/>
      <c r="P27" s="99" t="n"/>
      <c r="Q27" s="482" t="n"/>
      <c r="R27" s="11" t="n"/>
      <c r="V27" s="361" t="inlineStr">
        <is>
          <t>Trafo topraklaması direnç değeri normaldir.</t>
        </is>
      </c>
    </row>
    <row r="28" ht="15.6" customHeight="1" s="227">
      <c r="A28" s="10" t="n"/>
      <c r="B28" s="523" t="inlineStr">
        <is>
          <t>Kapılar</t>
        </is>
      </c>
      <c r="C28" s="482" t="n"/>
      <c r="D28" s="524" t="inlineStr">
        <is>
          <t>Max. Ω</t>
        </is>
      </c>
      <c r="E28" s="99" t="n"/>
      <c r="F28" s="525" t="n">
        <v>4</v>
      </c>
      <c r="G28" s="526" t="inlineStr">
        <is>
          <t>Ω</t>
        </is>
      </c>
      <c r="H28" s="397" t="inlineStr">
        <is>
          <t>Ölçülen</t>
        </is>
      </c>
      <c r="I28" s="99" t="n"/>
      <c r="J28" s="517" t="inlineStr">
        <is>
          <t>Ω</t>
        </is>
      </c>
      <c r="K28" s="527">
        <f>'ANA SAYFA'!Q48</f>
        <v/>
      </c>
      <c r="L28" s="99" t="n"/>
      <c r="M28" s="517" t="inlineStr">
        <is>
          <t>Ω</t>
        </is>
      </c>
      <c r="N28" s="440">
        <f>IF(K28&lt;F28,W18,Y18)</f>
        <v/>
      </c>
      <c r="O28" s="99" t="n"/>
      <c r="P28" s="99" t="n"/>
      <c r="Q28" s="482" t="n"/>
      <c r="R28" s="11" t="n"/>
      <c r="V28" s="361" t="inlineStr">
        <is>
          <t>Trafo topraklaması direnç değeri yüksek bulunmuştur.</t>
        </is>
      </c>
    </row>
    <row r="29" ht="15.6" customHeight="1" s="227">
      <c r="A29" s="10" t="n"/>
      <c r="B29" s="523" t="inlineStr">
        <is>
          <t>AG. Pano</t>
        </is>
      </c>
      <c r="C29" s="482" t="n"/>
      <c r="D29" s="524" t="inlineStr">
        <is>
          <t>Max. Ω</t>
        </is>
      </c>
      <c r="E29" s="99" t="n"/>
      <c r="F29" s="525" t="n">
        <v>4</v>
      </c>
      <c r="G29" s="526" t="inlineStr">
        <is>
          <t>Ω</t>
        </is>
      </c>
      <c r="H29" s="397" t="inlineStr">
        <is>
          <t>Ölçülen</t>
        </is>
      </c>
      <c r="I29" s="99" t="n"/>
      <c r="J29" s="517" t="inlineStr">
        <is>
          <t>Ω</t>
        </is>
      </c>
      <c r="K29" s="527">
        <f>'ANA SAYFA'!Q46</f>
        <v/>
      </c>
      <c r="L29" s="99" t="n"/>
      <c r="M29" s="517" t="inlineStr">
        <is>
          <t>Ω</t>
        </is>
      </c>
      <c r="N29" s="440">
        <f>IF(K29&lt;F29,W18,Y18)</f>
        <v/>
      </c>
      <c r="O29" s="99" t="n"/>
      <c r="P29" s="99" t="n"/>
      <c r="Q29" s="482" t="n"/>
      <c r="R29" s="11" t="n"/>
      <c r="V29" s="361" t="n"/>
      <c r="W29" s="361" t="n"/>
      <c r="X29" s="361" t="n"/>
      <c r="Y29" s="361" t="n"/>
      <c r="Z29" s="361" t="n"/>
      <c r="AA29" s="361" t="n"/>
      <c r="AB29" s="361" t="n"/>
      <c r="AC29" s="361" t="n"/>
      <c r="AD29" s="361" t="n"/>
      <c r="AE29" s="361" t="n"/>
      <c r="AF29" s="361" t="n"/>
      <c r="AG29" s="361" t="n"/>
      <c r="AH29" s="361" t="n"/>
      <c r="AI29" s="361" t="n"/>
    </row>
    <row r="30" ht="15.6" customHeight="1" s="227">
      <c r="A30" s="10" t="n"/>
      <c r="B30" s="3" t="n"/>
      <c r="C30" s="127" t="n"/>
      <c r="D30" s="127" t="n"/>
      <c r="E30" s="127" t="n"/>
      <c r="F30" s="127" t="n"/>
      <c r="G30" s="127" t="n"/>
      <c r="H30" s="127" t="n"/>
      <c r="I30" s="127" t="n"/>
      <c r="J30" s="127" t="n"/>
      <c r="K30" s="127" t="n"/>
      <c r="L30" s="127" t="n"/>
      <c r="M30" s="127" t="n"/>
      <c r="N30" s="127" t="n"/>
      <c r="O30" s="127" t="n"/>
      <c r="P30" s="127" t="n"/>
      <c r="Q30" s="143" t="n"/>
      <c r="R30" s="11" t="n"/>
      <c r="V30" s="361" t="inlineStr">
        <is>
          <t>Hücre topraklaması direnç değeri normaldir.</t>
        </is>
      </c>
    </row>
    <row r="31" ht="15.6" customHeight="1" s="227">
      <c r="A31" s="10" t="n"/>
      <c r="B31" s="3" t="n"/>
      <c r="C31" s="127" t="n"/>
      <c r="D31" s="127" t="n"/>
      <c r="E31" s="127" t="n"/>
      <c r="F31" s="23" t="n"/>
      <c r="G31" s="127" t="n"/>
      <c r="H31" s="127" t="n"/>
      <c r="I31" s="127" t="n"/>
      <c r="J31" s="127" t="n"/>
      <c r="K31" s="127" t="n"/>
      <c r="L31" s="127" t="n"/>
      <c r="M31" s="127" t="n"/>
      <c r="N31" s="127" t="n"/>
      <c r="O31" s="127" t="n"/>
      <c r="P31" s="127" t="n"/>
      <c r="Q31" s="143" t="n"/>
      <c r="R31" s="11" t="n"/>
      <c r="V31" s="361" t="inlineStr">
        <is>
          <t>Hücre topraklaması direnç değeri yüksek bulunmuştur.</t>
        </is>
      </c>
    </row>
    <row r="32" ht="15" customHeight="1" s="227">
      <c r="A32" s="10" t="n"/>
      <c r="B32" s="3" t="n"/>
      <c r="C32" s="127" t="n"/>
      <c r="D32" s="127" t="n"/>
      <c r="E32" s="127" t="n"/>
      <c r="F32" s="23" t="n"/>
      <c r="G32" s="127" t="n"/>
      <c r="H32" s="127" t="n"/>
      <c r="I32" s="127" t="n"/>
      <c r="J32" s="127" t="n"/>
      <c r="K32" s="127" t="n"/>
      <c r="L32" s="127" t="n"/>
      <c r="M32" s="127" t="n"/>
      <c r="N32" s="127" t="n"/>
      <c r="O32" s="127" t="n"/>
      <c r="P32" s="127" t="n"/>
      <c r="Q32" s="143" t="n"/>
      <c r="R32" s="11" t="n"/>
    </row>
    <row r="33" ht="18" customHeight="1" s="227">
      <c r="A33" s="10" t="n"/>
      <c r="B33" s="53" t="n"/>
      <c r="C33" s="54" t="n"/>
      <c r="D33" s="54" t="n"/>
      <c r="E33" s="54" t="n"/>
      <c r="F33" s="54" t="n"/>
      <c r="G33" s="54" t="n"/>
      <c r="H33" s="54" t="n"/>
      <c r="I33" s="54" t="n"/>
      <c r="J33" s="54" t="n"/>
      <c r="K33" s="54" t="n"/>
      <c r="L33" s="54" t="n"/>
      <c r="M33" s="54" t="n"/>
      <c r="N33" s="54" t="n"/>
      <c r="O33" s="54" t="n"/>
      <c r="P33" s="54" t="n"/>
      <c r="Q33" s="55" t="n"/>
      <c r="R33" s="11" t="n"/>
      <c r="V33" s="361" t="inlineStr">
        <is>
          <t>A.G. Pano topraklaması direnç değeri normaldir.</t>
        </is>
      </c>
    </row>
    <row r="34" ht="18" customHeight="1" s="227">
      <c r="A34" s="10" t="n"/>
      <c r="B34" s="335" t="n"/>
      <c r="C34" s="336" t="n"/>
      <c r="D34" s="336" t="n"/>
      <c r="E34" s="336" t="n"/>
      <c r="F34" s="336" t="n"/>
      <c r="G34" s="336" t="n"/>
      <c r="H34" s="336" t="n"/>
      <c r="I34" s="336" t="n"/>
      <c r="J34" s="336" t="n"/>
      <c r="K34" s="336" t="n"/>
      <c r="L34" s="336" t="n"/>
      <c r="M34" s="336" t="n"/>
      <c r="N34" s="336" t="n"/>
      <c r="O34" s="336" t="n"/>
      <c r="P34" s="336" t="n"/>
      <c r="Q34" s="337" t="n"/>
      <c r="R34" s="11" t="n"/>
      <c r="V34" s="361" t="inlineStr">
        <is>
          <t>A.G. Pano topraklaması direnç değeri yüksek bulunmuştur.</t>
        </is>
      </c>
    </row>
    <row r="35" ht="15" customHeight="1" s="227">
      <c r="A35" s="10" t="n"/>
      <c r="B35" s="3" t="n"/>
      <c r="C35" s="127" t="n"/>
      <c r="D35" s="127" t="n"/>
      <c r="E35" s="127" t="n"/>
      <c r="F35" s="127" t="n"/>
      <c r="G35" s="127" t="n"/>
      <c r="H35" s="127" t="n"/>
      <c r="I35" s="127" t="n"/>
      <c r="J35" s="127" t="n"/>
      <c r="K35" s="127" t="n"/>
      <c r="L35" s="127" t="n"/>
      <c r="M35" s="127" t="n"/>
      <c r="N35" s="127" t="n"/>
      <c r="O35" s="127" t="n"/>
      <c r="P35" s="127" t="n"/>
      <c r="Q35" s="143" t="n"/>
      <c r="R35" s="11" t="n"/>
    </row>
    <row r="36" ht="15.6" customHeight="1" s="227">
      <c r="A36" s="10" t="n"/>
      <c r="B36" s="528" t="n"/>
      <c r="C36" s="127" t="n"/>
      <c r="D36" s="127" t="n"/>
      <c r="E36" s="127" t="n"/>
      <c r="F36" s="127" t="n"/>
      <c r="G36" s="127" t="n"/>
      <c r="H36" s="127" t="n"/>
      <c r="I36" s="127" t="n"/>
      <c r="J36" s="127" t="n"/>
      <c r="K36" s="127" t="n"/>
      <c r="L36" s="45" t="n"/>
      <c r="M36" s="45" t="n"/>
      <c r="N36" s="127" t="n"/>
      <c r="O36" s="45" t="n"/>
      <c r="P36" s="45" t="n"/>
      <c r="Q36" s="143" t="n"/>
      <c r="R36" s="11" t="n"/>
      <c r="V36" s="361" t="inlineStr">
        <is>
          <t>Kapı topraklaması direnç değeri normaldir.</t>
        </is>
      </c>
    </row>
    <row r="37" ht="15.6" customHeight="1" s="227">
      <c r="A37" s="10" t="n"/>
      <c r="B37" s="528" t="n"/>
      <c r="C37" s="127" t="n"/>
      <c r="D37" s="127" t="n"/>
      <c r="E37" s="127" t="n"/>
      <c r="F37" s="127" t="n"/>
      <c r="G37" s="127" t="n"/>
      <c r="H37" s="127" t="n"/>
      <c r="I37" s="127" t="n"/>
      <c r="J37" s="127" t="n"/>
      <c r="K37" s="127" t="n"/>
      <c r="L37" s="45" t="n"/>
      <c r="M37" s="45" t="n"/>
      <c r="N37" s="127" t="n"/>
      <c r="O37" s="45" t="n"/>
      <c r="P37" s="45" t="n"/>
      <c r="Q37" s="143" t="n"/>
      <c r="R37" s="11" t="n"/>
      <c r="V37" s="361" t="inlineStr">
        <is>
          <t>Kapı topraklaması direnç değeri yüksek bulunmuştur.</t>
        </is>
      </c>
    </row>
    <row r="38" ht="15.6" customHeight="1" s="227">
      <c r="A38" s="10" t="n"/>
      <c r="B38" s="528" t="n"/>
      <c r="C38" s="127" t="n"/>
      <c r="D38" s="127" t="n"/>
      <c r="E38" s="127" t="n"/>
      <c r="F38" s="127" t="n"/>
      <c r="G38" s="127" t="n"/>
      <c r="H38" s="127" t="n"/>
      <c r="I38" s="127" t="n"/>
      <c r="J38" s="127" t="n"/>
      <c r="K38" s="127" t="n"/>
      <c r="L38" s="45" t="n"/>
      <c r="M38" s="45" t="n"/>
      <c r="N38" s="127" t="n"/>
      <c r="O38" s="45" t="n"/>
      <c r="P38" s="45" t="n"/>
      <c r="Q38" s="143" t="n"/>
      <c r="R38" s="11" t="n"/>
      <c r="V38" s="361" t="inlineStr">
        <is>
          <t>Direk topraklaması direnç değeri normaldir.</t>
        </is>
      </c>
    </row>
    <row r="39" ht="15.6" customHeight="1" s="227">
      <c r="A39" s="10" t="n"/>
      <c r="B39" s="118" t="n"/>
      <c r="C39" s="23" t="n"/>
      <c r="D39" s="23" t="n"/>
      <c r="E39" s="23" t="n"/>
      <c r="F39" s="23" t="n"/>
      <c r="G39" s="23" t="n"/>
      <c r="H39" s="23" t="n"/>
      <c r="I39" s="23" t="n"/>
      <c r="J39" s="23" t="n"/>
      <c r="K39" s="23" t="n"/>
      <c r="L39" s="23" t="n"/>
      <c r="M39" s="23" t="n"/>
      <c r="N39" s="23" t="n"/>
      <c r="O39" s="23" t="n"/>
      <c r="P39" s="23" t="n"/>
      <c r="Q39" s="117" t="n"/>
      <c r="R39" s="11" t="n"/>
      <c r="V39" s="361" t="inlineStr">
        <is>
          <t>Direk topraklaması direnç değeri yüksek bulunmuştur.</t>
        </is>
      </c>
    </row>
    <row r="40" ht="9" customHeight="1" s="227">
      <c r="A40" s="10" t="n"/>
      <c r="B40" s="310" t="n"/>
      <c r="C40" s="529" t="n"/>
      <c r="D40" s="23" t="n"/>
      <c r="E40" s="23" t="n"/>
      <c r="F40" s="23" t="n"/>
      <c r="G40" s="23" t="n"/>
      <c r="H40" s="23" t="n"/>
      <c r="I40" s="23" t="n"/>
      <c r="J40" s="23" t="n"/>
      <c r="K40" s="23" t="n"/>
      <c r="L40" s="23" t="n"/>
      <c r="M40" s="23" t="n"/>
      <c r="N40" s="23" t="n"/>
      <c r="O40" s="23" t="n"/>
      <c r="P40" s="23" t="n"/>
      <c r="Q40" s="117" t="n"/>
      <c r="R40" s="11" t="n"/>
      <c r="V40" s="361" t="n"/>
      <c r="W40" s="361" t="n"/>
      <c r="X40" s="361" t="n"/>
      <c r="Y40" s="361" t="n"/>
      <c r="Z40" s="361" t="n"/>
      <c r="AA40" s="361" t="n"/>
      <c r="AB40" s="361" t="n"/>
      <c r="AC40" s="361" t="n"/>
      <c r="AD40" s="361" t="n"/>
      <c r="AE40" s="361" t="n"/>
      <c r="AF40" s="361" t="n"/>
      <c r="AG40" s="361" t="n"/>
      <c r="AH40" s="361" t="n"/>
      <c r="AI40" s="361" t="n"/>
    </row>
    <row r="41" ht="15.75" customHeight="1" s="227">
      <c r="A41" s="10" t="n"/>
      <c r="B41" s="432" t="inlineStr">
        <is>
          <t>Sonuç :</t>
        </is>
      </c>
      <c r="C41" s="482" t="n"/>
      <c r="D41" s="530">
        <f>IF(K16&lt;D16,V25,V26)</f>
        <v/>
      </c>
      <c r="E41" s="47" t="n"/>
      <c r="F41" s="47" t="n"/>
      <c r="G41" s="47" t="n"/>
      <c r="H41" s="47" t="n"/>
      <c r="I41" s="47" t="n"/>
      <c r="J41" s="47" t="n"/>
      <c r="K41" s="47" t="n"/>
      <c r="L41" s="47" t="n"/>
      <c r="M41" s="47" t="n"/>
      <c r="N41" s="47" t="n"/>
      <c r="O41" s="47" t="n"/>
      <c r="P41" s="47" t="n"/>
      <c r="Q41" s="211" t="n"/>
      <c r="R41" s="11" t="n"/>
    </row>
    <row r="42" ht="15" customHeight="1" s="227">
      <c r="A42" s="10" t="n"/>
      <c r="B42" s="118" t="n"/>
      <c r="C42" s="23" t="n"/>
      <c r="D42" s="295">
        <f>IF(K26&lt;F26,V27,V28)</f>
        <v/>
      </c>
      <c r="Q42" s="212" t="n"/>
      <c r="R42" s="11" t="n"/>
    </row>
    <row r="43" ht="15.6" customHeight="1" s="227">
      <c r="A43" s="10" t="n"/>
      <c r="B43" s="118" t="n"/>
      <c r="C43" s="23" t="n"/>
      <c r="D43" s="295">
        <f>IF(K27&lt;F27,V30,V31)</f>
        <v/>
      </c>
      <c r="Q43" s="212" t="n"/>
      <c r="R43" s="11" t="n"/>
    </row>
    <row r="44" ht="15.6" customHeight="1" s="227">
      <c r="A44" s="10" t="n"/>
      <c r="B44" s="118" t="n"/>
      <c r="C44" s="23" t="n"/>
      <c r="D44" s="295">
        <f>IF(K28&lt;F28,V36,V37)</f>
        <v/>
      </c>
      <c r="Q44" s="212" t="n"/>
      <c r="R44" s="11" t="n"/>
    </row>
    <row r="45" ht="15.6" customHeight="1" s="227">
      <c r="A45" s="10" t="n"/>
      <c r="B45" s="118" t="n"/>
      <c r="C45" s="23" t="n"/>
      <c r="D45" s="295">
        <f>IF(K29&lt;F29,V33,V34)</f>
        <v/>
      </c>
      <c r="Q45" s="212" t="n"/>
      <c r="R45" s="11" t="n"/>
    </row>
    <row r="46" ht="9" customHeight="1" s="227">
      <c r="A46" s="10" t="n"/>
      <c r="B46" s="181" t="n"/>
      <c r="C46" s="50" t="n"/>
      <c r="D46" s="315" t="n"/>
      <c r="E46" s="50" t="n"/>
      <c r="F46" s="50" t="n"/>
      <c r="G46" s="50" t="n"/>
      <c r="H46" s="50" t="n"/>
      <c r="I46" s="50" t="n"/>
      <c r="J46" s="50" t="n"/>
      <c r="K46" s="50" t="n"/>
      <c r="L46" s="50" t="n"/>
      <c r="M46" s="50" t="n"/>
      <c r="N46" s="50" t="n"/>
      <c r="O46" s="50" t="n"/>
      <c r="P46" s="50" t="n"/>
      <c r="Q46" s="213" t="n"/>
      <c r="R46" s="11" t="n"/>
    </row>
    <row r="47" ht="22.5" customHeight="1" s="227">
      <c r="A47" s="10" t="n"/>
      <c r="B47" s="365" t="inlineStr">
        <is>
          <t>UNVAN</t>
        </is>
      </c>
      <c r="C47" s="47" t="n"/>
      <c r="D47" s="47" t="n"/>
      <c r="E47" s="531" t="inlineStr">
        <is>
          <t>:</t>
        </is>
      </c>
      <c r="F47" s="532" t="inlineStr">
        <is>
          <t>Elektrik Mühendisi</t>
        </is>
      </c>
      <c r="G47" s="99" t="n"/>
      <c r="H47" s="99" t="n"/>
      <c r="I47" s="482" t="n"/>
      <c r="J47" s="485" t="inlineStr">
        <is>
          <t>ONAYLAYAN</t>
        </is>
      </c>
      <c r="K47" s="99" t="n"/>
      <c r="L47" s="99" t="n"/>
      <c r="M47" s="99" t="n"/>
      <c r="N47" s="99" t="n"/>
      <c r="O47" s="99" t="n"/>
      <c r="P47" s="99" t="n"/>
      <c r="Q47" s="482" t="n"/>
      <c r="R47" s="11" t="n"/>
    </row>
    <row r="48" ht="22.5" customHeight="1" s="227">
      <c r="A48" s="10" t="n"/>
      <c r="B48" s="365" t="inlineStr">
        <is>
          <t>TEST TARİHİ</t>
        </is>
      </c>
      <c r="C48" s="47" t="n"/>
      <c r="D48" s="47" t="n"/>
      <c r="E48" s="531" t="inlineStr">
        <is>
          <t>:</t>
        </is>
      </c>
      <c r="F48" s="533">
        <f>'ANA SAYFA'!F79</f>
        <v/>
      </c>
      <c r="G48" s="47" t="n"/>
      <c r="H48" s="47" t="n"/>
      <c r="I48" s="211" t="n"/>
      <c r="J48" s="53" t="n"/>
      <c r="K48" s="54" t="n"/>
      <c r="L48" s="134" t="n"/>
      <c r="M48" s="134" t="n"/>
      <c r="N48" s="134" t="n"/>
      <c r="O48" s="134" t="n"/>
      <c r="P48" s="134" t="n"/>
      <c r="Q48" s="135" t="n"/>
      <c r="R48" s="11" t="n"/>
    </row>
    <row r="49" ht="22.5" customHeight="1" s="227">
      <c r="A49" s="10" t="n"/>
      <c r="B49" s="355" t="inlineStr">
        <is>
          <t>ODA SİCİL NO</t>
        </is>
      </c>
      <c r="C49" s="99" t="n"/>
      <c r="D49" s="99" t="n"/>
      <c r="E49" s="366" t="inlineStr">
        <is>
          <t>:</t>
        </is>
      </c>
      <c r="F49" s="534">
        <f>'ANA SAYFA'!F81:J81</f>
        <v/>
      </c>
      <c r="G49" s="47" t="n"/>
      <c r="H49" s="47" t="n"/>
      <c r="I49" s="211" t="n"/>
      <c r="J49" s="53" t="n"/>
      <c r="K49" s="54" t="n"/>
      <c r="L49" s="134" t="n"/>
      <c r="M49" s="134" t="n"/>
      <c r="N49" s="134" t="n"/>
      <c r="O49" s="134" t="n"/>
      <c r="P49" s="134" t="n"/>
      <c r="Q49" s="135" t="n"/>
      <c r="R49" s="11" t="n"/>
    </row>
    <row r="50" ht="22.5" customHeight="1" s="227">
      <c r="A50" s="10" t="n"/>
      <c r="B50" s="355" t="inlineStr">
        <is>
          <t>EKİPNET NO</t>
        </is>
      </c>
      <c r="C50" s="99" t="n"/>
      <c r="D50" s="99" t="n"/>
      <c r="E50" s="356" t="inlineStr">
        <is>
          <t>:</t>
        </is>
      </c>
      <c r="F50" s="383">
        <f>'ANA SAYFA'!F82:J82</f>
        <v/>
      </c>
      <c r="G50" s="99" t="n"/>
      <c r="H50" s="99" t="n"/>
      <c r="I50" s="482" t="n"/>
      <c r="J50" s="535" t="n"/>
      <c r="K50" s="139" t="n"/>
      <c r="L50" s="139" t="n"/>
      <c r="M50" s="139" t="n"/>
      <c r="N50" s="139" t="n"/>
      <c r="O50" s="139" t="n"/>
      <c r="P50" s="139" t="n"/>
      <c r="Q50" s="136" t="n"/>
      <c r="R50" s="11" t="n"/>
    </row>
    <row r="51" ht="15" customHeight="1" s="227">
      <c r="A51" s="15" t="n"/>
      <c r="B51" s="16" t="n"/>
      <c r="C51" s="16" t="n"/>
      <c r="D51" s="16" t="n"/>
      <c r="E51" s="16" t="n"/>
      <c r="F51" s="16" t="n"/>
      <c r="G51" s="16" t="n"/>
      <c r="H51" s="16" t="n"/>
      <c r="I51" s="16" t="n"/>
      <c r="J51" s="16" t="n"/>
      <c r="K51" s="16" t="n"/>
      <c r="L51" s="16" t="n"/>
      <c r="M51" s="16" t="n"/>
      <c r="N51" s="16" t="n"/>
      <c r="O51" s="16" t="n"/>
      <c r="P51" s="16" t="n"/>
      <c r="Q51" s="16" t="n"/>
      <c r="R51" s="17" t="n"/>
    </row>
  </sheetData>
  <mergeCells count="80">
    <mergeCell ref="F16:G16"/>
    <mergeCell ref="V33:AI33"/>
    <mergeCell ref="H9:I9"/>
    <mergeCell ref="K26:L26"/>
    <mergeCell ref="N27:Q27"/>
    <mergeCell ref="V39:AI39"/>
    <mergeCell ref="J7:Q7"/>
    <mergeCell ref="Y18:Z18"/>
    <mergeCell ref="B11:Q11"/>
    <mergeCell ref="K25:M25"/>
    <mergeCell ref="K28:L28"/>
    <mergeCell ref="O9:Q9"/>
    <mergeCell ref="J2:Q2"/>
    <mergeCell ref="B26:C26"/>
    <mergeCell ref="B41:C41"/>
    <mergeCell ref="D26:E26"/>
    <mergeCell ref="V37:AI37"/>
    <mergeCell ref="B16:C16"/>
    <mergeCell ref="B27:C27"/>
    <mergeCell ref="V38:AI38"/>
    <mergeCell ref="N26:Q26"/>
    <mergeCell ref="N16:Q16"/>
    <mergeCell ref="N25:Q25"/>
    <mergeCell ref="B5:D5"/>
    <mergeCell ref="B29:C29"/>
    <mergeCell ref="K27:L27"/>
    <mergeCell ref="H28:I28"/>
    <mergeCell ref="V27:AI27"/>
    <mergeCell ref="B47:D47"/>
    <mergeCell ref="V36:AI36"/>
    <mergeCell ref="B25:G25"/>
    <mergeCell ref="J47:Q47"/>
    <mergeCell ref="D29:E29"/>
    <mergeCell ref="F47:I47"/>
    <mergeCell ref="N29:Q29"/>
    <mergeCell ref="B48:D48"/>
    <mergeCell ref="K16:L16"/>
    <mergeCell ref="D9:G9"/>
    <mergeCell ref="G2:H2"/>
    <mergeCell ref="F48:I48"/>
    <mergeCell ref="M9:N9"/>
    <mergeCell ref="N15:Q15"/>
    <mergeCell ref="D46:Q46"/>
    <mergeCell ref="K29:L29"/>
    <mergeCell ref="B49:D49"/>
    <mergeCell ref="D27:E27"/>
    <mergeCell ref="B15:G15"/>
    <mergeCell ref="V31:AI31"/>
    <mergeCell ref="H15:J15"/>
    <mergeCell ref="D41:Q41"/>
    <mergeCell ref="H16:I16"/>
    <mergeCell ref="E5:Q5"/>
    <mergeCell ref="B50:D50"/>
    <mergeCell ref="B28:C28"/>
    <mergeCell ref="D28:E28"/>
    <mergeCell ref="D43:Q43"/>
    <mergeCell ref="B9:C9"/>
    <mergeCell ref="K15:M15"/>
    <mergeCell ref="V26:AI26"/>
    <mergeCell ref="F50:I50"/>
    <mergeCell ref="D42:Q42"/>
    <mergeCell ref="V25:AI25"/>
    <mergeCell ref="J9:L9"/>
    <mergeCell ref="N28:Q28"/>
    <mergeCell ref="D44:Q44"/>
    <mergeCell ref="B7:I7"/>
    <mergeCell ref="H29:I29"/>
    <mergeCell ref="F49:I49"/>
    <mergeCell ref="D45:Q45"/>
    <mergeCell ref="V34:AI34"/>
    <mergeCell ref="V28:AI28"/>
    <mergeCell ref="G3:H3"/>
    <mergeCell ref="D16:E16"/>
    <mergeCell ref="V30:AI30"/>
    <mergeCell ref="H27:I27"/>
    <mergeCell ref="J3:Q3"/>
    <mergeCell ref="B23:Q23"/>
    <mergeCell ref="B13:Q13"/>
    <mergeCell ref="H25:J25"/>
    <mergeCell ref="H26:I26"/>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AN85"/>
  <sheetViews>
    <sheetView zoomScale="82" zoomScaleNormal="82" workbookViewId="0">
      <selection activeCell="A1" sqref="A1"/>
    </sheetView>
  </sheetViews>
  <sheetFormatPr baseColWidth="8" defaultRowHeight="15"/>
  <cols>
    <col width="1.5546875" customWidth="1" style="227" min="1" max="1"/>
    <col width="5" customWidth="1" style="227" min="2" max="2"/>
    <col width="1.5546875" customWidth="1" style="227" min="20" max="20"/>
    <col width="9.109375" customWidth="1" style="227" min="21" max="21"/>
    <col width="5" customWidth="1" style="227" min="22" max="22"/>
    <col width="5.33203125" customWidth="1" style="227" min="25" max="25"/>
    <col width="10.6640625" customWidth="1" style="227" min="27" max="27"/>
    <col width="5.33203125" customWidth="1" style="227" min="28" max="28"/>
    <col width="5" customWidth="1" style="227" min="31" max="31"/>
    <col width="9.109375" customWidth="1" style="227" min="50" max="50"/>
  </cols>
  <sheetData>
    <row r="1" ht="5.25" customHeight="1" s="227">
      <c r="A1" s="12" t="n"/>
      <c r="B1" s="13" t="n"/>
      <c r="C1" s="13" t="n"/>
      <c r="D1" s="13" t="n"/>
      <c r="E1" s="13" t="n"/>
      <c r="F1" s="13" t="n"/>
      <c r="G1" s="13" t="n"/>
      <c r="H1" s="13" t="n"/>
      <c r="I1" s="13" t="n"/>
      <c r="J1" s="13" t="n"/>
      <c r="K1" s="13" t="n"/>
      <c r="L1" s="13" t="n"/>
      <c r="M1" s="13" t="n"/>
      <c r="N1" s="13" t="n"/>
      <c r="O1" s="13" t="n"/>
      <c r="P1" s="13" t="n"/>
      <c r="Q1" s="13" t="n"/>
      <c r="R1" s="13" t="n"/>
      <c r="S1" s="13" t="n"/>
      <c r="T1" s="14" t="n"/>
    </row>
    <row r="2" ht="18" customHeight="1" s="227">
      <c r="A2" s="10" t="n"/>
      <c r="B2" s="46" t="n"/>
      <c r="C2" s="47" t="n"/>
      <c r="D2" s="47" t="n"/>
      <c r="E2" s="47" t="n"/>
      <c r="F2" s="47" t="n"/>
      <c r="G2" s="536" t="n"/>
      <c r="H2" s="298" t="inlineStr">
        <is>
          <t xml:space="preserve">  ŞALT SAHASI          </t>
        </is>
      </c>
      <c r="I2" s="47" t="n"/>
      <c r="J2" s="47" t="n"/>
      <c r="K2" s="537">
        <f>'ANA SAYFA'!K2</f>
        <v/>
      </c>
      <c r="L2" s="47" t="n"/>
      <c r="M2" s="47" t="n"/>
      <c r="N2" s="47" t="n"/>
      <c r="O2" s="47" t="n"/>
      <c r="P2" s="47" t="n"/>
      <c r="Q2" s="47" t="n"/>
      <c r="R2" s="47" t="n"/>
      <c r="S2" s="211" t="n"/>
      <c r="T2" s="11" t="n"/>
    </row>
    <row r="3" ht="18" customHeight="1" s="227">
      <c r="A3" s="10" t="n"/>
      <c r="B3" s="62" t="n"/>
      <c r="G3" s="538" t="n"/>
      <c r="H3" s="62" t="n"/>
      <c r="K3" s="486" t="n"/>
      <c r="L3" s="486" t="n"/>
      <c r="M3" s="486" t="n"/>
      <c r="N3" s="486" t="n"/>
      <c r="O3" s="486" t="n"/>
      <c r="P3" s="486" t="n"/>
      <c r="Q3" s="486" t="n"/>
      <c r="R3" s="486" t="n"/>
      <c r="S3" s="487" t="n"/>
      <c r="T3" s="11" t="n"/>
    </row>
    <row r="4" ht="3" customHeight="1" s="227">
      <c r="A4" s="10" t="n"/>
      <c r="B4" s="62" t="n"/>
      <c r="G4" s="538" t="n"/>
      <c r="H4" s="539" t="n"/>
      <c r="I4" s="540" t="n"/>
      <c r="J4" s="540" t="n"/>
      <c r="K4" s="193" t="n"/>
      <c r="L4" s="193" t="n"/>
      <c r="M4" s="193" t="n"/>
      <c r="N4" s="193" t="n"/>
      <c r="O4" s="193" t="n"/>
      <c r="P4" s="193" t="n"/>
      <c r="Q4" s="193" t="n"/>
      <c r="R4" s="193" t="n"/>
      <c r="S4" s="541" t="n"/>
      <c r="T4" s="11" t="n"/>
    </row>
    <row r="5" ht="18" customHeight="1" s="227">
      <c r="A5" s="10" t="n"/>
      <c r="B5" s="62" t="n"/>
      <c r="G5" s="538" t="n"/>
      <c r="H5" s="391" t="inlineStr">
        <is>
          <t xml:space="preserve">  LOKASYON</t>
        </is>
      </c>
      <c r="K5" s="537">
        <f>'ANA SAYFA'!K5</f>
        <v/>
      </c>
      <c r="L5" s="47" t="n"/>
      <c r="M5" s="47" t="n"/>
      <c r="N5" s="47" t="n"/>
      <c r="O5" s="47" t="n"/>
      <c r="P5" s="47" t="n"/>
      <c r="Q5" s="47" t="n"/>
      <c r="R5" s="47" t="n"/>
      <c r="S5" s="211" t="n"/>
      <c r="T5" s="11" t="n"/>
    </row>
    <row r="6" ht="18" customHeight="1" s="227">
      <c r="A6" s="10" t="n"/>
      <c r="B6" s="62" t="n"/>
      <c r="G6" s="538" t="n"/>
      <c r="H6" s="62" t="n"/>
      <c r="K6" s="486" t="n"/>
      <c r="L6" s="486" t="n"/>
      <c r="M6" s="486" t="n"/>
      <c r="N6" s="486" t="n"/>
      <c r="O6" s="486" t="n"/>
      <c r="P6" s="486" t="n"/>
      <c r="Q6" s="486" t="n"/>
      <c r="R6" s="486" t="n"/>
      <c r="S6" s="487" t="n"/>
      <c r="T6" s="11" t="n"/>
    </row>
    <row r="7" ht="3" customHeight="1" s="227">
      <c r="A7" s="10" t="n"/>
      <c r="B7" s="49" t="n"/>
      <c r="C7" s="50" t="n"/>
      <c r="D7" s="50" t="n"/>
      <c r="E7" s="50" t="n"/>
      <c r="F7" s="50" t="n"/>
      <c r="G7" s="64" t="n"/>
      <c r="H7" s="49" t="n"/>
      <c r="I7" s="50" t="n"/>
      <c r="J7" s="50" t="n"/>
      <c r="K7" s="51" t="n"/>
      <c r="L7" s="51" t="n"/>
      <c r="M7" s="51" t="n"/>
      <c r="N7" s="51" t="n"/>
      <c r="O7" s="51" t="n"/>
      <c r="P7" s="51" t="n"/>
      <c r="Q7" s="51" t="n"/>
      <c r="R7" s="51" t="n"/>
      <c r="S7" s="64" t="n"/>
      <c r="T7" s="11" t="n"/>
    </row>
    <row r="8" ht="3" customHeight="1" s="227">
      <c r="A8" s="10" t="n"/>
      <c r="B8" s="3" t="n"/>
      <c r="C8" s="127" t="n"/>
      <c r="D8" s="127" t="n"/>
      <c r="E8" s="127" t="n"/>
      <c r="F8" s="127" t="n"/>
      <c r="G8" s="43" t="n"/>
      <c r="H8" s="43" t="n"/>
      <c r="I8" s="127" t="n"/>
      <c r="J8" s="127" t="n"/>
      <c r="K8" s="43" t="n"/>
      <c r="L8" s="127" t="n"/>
      <c r="M8" s="127" t="n"/>
      <c r="N8" s="127" t="n"/>
      <c r="O8" s="127" t="n"/>
      <c r="P8" s="127" t="n"/>
      <c r="Q8" s="127" t="n"/>
      <c r="R8" s="127" t="n"/>
      <c r="S8" s="143" t="n"/>
      <c r="T8" s="11" t="n"/>
    </row>
    <row r="9" ht="15.75" customHeight="1" s="227">
      <c r="A9" s="10" t="n"/>
      <c r="B9" s="485" t="inlineStr">
        <is>
          <t>KESİCİ BİLGİLERİ</t>
        </is>
      </c>
      <c r="C9" s="99" t="n"/>
      <c r="D9" s="99" t="n"/>
      <c r="E9" s="99" t="n"/>
      <c r="F9" s="99" t="n"/>
      <c r="G9" s="99" t="n"/>
      <c r="H9" s="99" t="n"/>
      <c r="I9" s="99" t="n"/>
      <c r="J9" s="99" t="n"/>
      <c r="K9" s="99" t="n"/>
      <c r="L9" s="99" t="n"/>
      <c r="M9" s="99" t="n"/>
      <c r="N9" s="99" t="n"/>
      <c r="O9" s="99" t="n"/>
      <c r="P9" s="99" t="n"/>
      <c r="Q9" s="99" t="n"/>
      <c r="R9" s="99" t="n"/>
      <c r="S9" s="482" t="n"/>
      <c r="T9" s="11" t="n"/>
    </row>
    <row r="10" ht="3" customHeight="1" s="227">
      <c r="A10" s="10" t="n"/>
      <c r="B10" s="39" t="n"/>
      <c r="C10" s="40" t="n"/>
      <c r="D10" s="40" t="n"/>
      <c r="E10" s="40" t="n"/>
      <c r="F10" s="40" t="n"/>
      <c r="G10" s="40" t="n"/>
      <c r="H10" s="40" t="n"/>
      <c r="I10" s="40" t="n"/>
      <c r="J10" s="40" t="n"/>
      <c r="K10" s="80" t="n"/>
      <c r="L10" s="80" t="n"/>
      <c r="M10" s="81" t="n"/>
      <c r="N10" s="40" t="n"/>
      <c r="O10" s="40" t="n"/>
      <c r="P10" s="40" t="n"/>
      <c r="Q10" s="40" t="n"/>
      <c r="R10" s="40" t="n"/>
      <c r="S10" s="41" t="n"/>
      <c r="T10" s="11" t="n"/>
    </row>
    <row r="11" ht="15" customHeight="1" s="227">
      <c r="A11" s="10" t="n"/>
      <c r="B11" s="280" t="inlineStr">
        <is>
          <t>Kesici Markası</t>
        </is>
      </c>
      <c r="F11" s="89" t="inlineStr">
        <is>
          <t>:</t>
        </is>
      </c>
      <c r="G11" s="542" t="n"/>
      <c r="H11" s="486" t="n"/>
      <c r="I11" s="486" t="n"/>
      <c r="J11" s="486" t="n"/>
      <c r="K11" s="291" t="inlineStr">
        <is>
          <t>Kesici Tipi</t>
        </is>
      </c>
      <c r="N11" s="91" t="inlineStr">
        <is>
          <t xml:space="preserve">: </t>
        </is>
      </c>
      <c r="O11" s="543" t="n"/>
      <c r="P11" s="486" t="n"/>
      <c r="Q11" s="486" t="n"/>
      <c r="R11" s="486" t="n"/>
      <c r="S11" s="544" t="n"/>
      <c r="T11" s="11" t="n"/>
    </row>
    <row r="12" ht="3" customHeight="1" s="227">
      <c r="A12" s="10" t="n"/>
      <c r="B12" s="280" t="n"/>
      <c r="C12" s="291" t="n"/>
      <c r="D12" s="291" t="n"/>
      <c r="E12" s="291" t="n"/>
      <c r="F12" s="67" t="n"/>
      <c r="G12" s="545" t="n"/>
      <c r="H12" s="545" t="n"/>
      <c r="I12" s="545" t="n"/>
      <c r="J12" s="545" t="n"/>
      <c r="K12" s="277" t="n"/>
      <c r="L12" s="277" t="n"/>
      <c r="M12" s="317" t="n"/>
      <c r="N12" s="127" t="n"/>
      <c r="O12" s="546" t="n"/>
      <c r="P12" s="546" t="n"/>
      <c r="Q12" s="546" t="n"/>
      <c r="R12" s="546" t="n"/>
      <c r="S12" s="547" t="n"/>
      <c r="T12" s="11" t="n"/>
    </row>
    <row r="13" ht="15" customHeight="1" s="227">
      <c r="A13" s="10" t="n"/>
      <c r="B13" s="247" t="inlineStr">
        <is>
          <t>Anma Akımı (A)</t>
        </is>
      </c>
      <c r="F13" s="89" t="inlineStr">
        <is>
          <t>:</t>
        </is>
      </c>
      <c r="G13" s="548" t="n"/>
      <c r="H13" s="486" t="n"/>
      <c r="I13" s="486" t="n"/>
      <c r="J13" s="486" t="n"/>
      <c r="K13" s="277" t="inlineStr">
        <is>
          <t>İmal Yılı</t>
        </is>
      </c>
      <c r="N13" s="549" t="inlineStr">
        <is>
          <t>:</t>
        </is>
      </c>
      <c r="O13" s="550" t="n"/>
      <c r="P13" s="486" t="n"/>
      <c r="Q13" s="486" t="n"/>
      <c r="R13" s="486" t="n"/>
      <c r="S13" s="487" t="n"/>
      <c r="T13" s="11" t="n"/>
    </row>
    <row r="14" ht="3" customHeight="1" s="227">
      <c r="A14" s="10" t="n"/>
      <c r="B14" s="280" t="n"/>
      <c r="C14" s="291" t="n"/>
      <c r="D14" s="291" t="n"/>
      <c r="E14" s="291" t="n"/>
      <c r="F14" s="67" t="n"/>
      <c r="G14" s="545" t="n"/>
      <c r="H14" s="545" t="n"/>
      <c r="I14" s="545" t="n"/>
      <c r="J14" s="545" t="n"/>
      <c r="K14" s="277" t="n"/>
      <c r="L14" s="277" t="n"/>
      <c r="M14" s="317" t="n"/>
      <c r="N14" s="127" t="n"/>
      <c r="O14" s="546" t="n"/>
      <c r="P14" s="546" t="n"/>
      <c r="Q14" s="546" t="n"/>
      <c r="R14" s="546" t="n"/>
      <c r="S14" s="547" t="n"/>
      <c r="T14" s="11" t="n"/>
    </row>
    <row r="15" ht="15" customHeight="1" s="227">
      <c r="A15" s="10" t="n"/>
      <c r="B15" s="280" t="inlineStr">
        <is>
          <t>Gerilim Seviyesi (V)</t>
        </is>
      </c>
      <c r="F15" s="89" t="inlineStr">
        <is>
          <t xml:space="preserve">:  </t>
        </is>
      </c>
      <c r="G15" s="548" t="n"/>
      <c r="H15" s="486" t="n"/>
      <c r="I15" s="486" t="n"/>
      <c r="J15" s="486" t="n"/>
      <c r="K15" s="277" t="inlineStr">
        <is>
          <t>Seri Numarası</t>
        </is>
      </c>
      <c r="N15" s="549" t="inlineStr">
        <is>
          <t>:</t>
        </is>
      </c>
      <c r="O15" s="551" t="n"/>
      <c r="P15" s="486" t="n"/>
      <c r="Q15" s="486" t="n"/>
      <c r="R15" s="486" t="n"/>
      <c r="S15" s="487" t="n"/>
      <c r="T15" s="11" t="n"/>
    </row>
    <row r="16" ht="3" customHeight="1" s="227">
      <c r="A16" s="10" t="n"/>
      <c r="B16" s="280" t="n"/>
      <c r="C16" s="291" t="n"/>
      <c r="D16" s="291" t="n"/>
      <c r="E16" s="291" t="n"/>
      <c r="F16" s="67" t="n"/>
      <c r="G16" s="545" t="n"/>
      <c r="H16" s="545" t="n"/>
      <c r="I16" s="545" t="n"/>
      <c r="J16" s="545" t="n"/>
      <c r="K16" s="277" t="n"/>
      <c r="L16" s="277" t="n"/>
      <c r="M16" s="317" t="n"/>
      <c r="N16" s="127" t="n"/>
      <c r="O16" s="546" t="n"/>
      <c r="P16" s="546" t="n"/>
      <c r="Q16" s="546" t="n"/>
      <c r="R16" s="546" t="n"/>
      <c r="S16" s="547" t="n"/>
      <c r="T16" s="11" t="n"/>
    </row>
    <row r="17" ht="15" customHeight="1" s="227">
      <c r="A17" s="10" t="n"/>
      <c r="B17" s="267" t="inlineStr">
        <is>
          <t>Motor Gerilimi</t>
        </is>
      </c>
      <c r="F17" s="549" t="inlineStr">
        <is>
          <t>:</t>
        </is>
      </c>
      <c r="G17" s="548" t="n"/>
      <c r="H17" s="486" t="n"/>
      <c r="I17" s="486" t="n"/>
      <c r="J17" s="486" t="n"/>
      <c r="K17" s="277" t="inlineStr">
        <is>
          <t>Bobin Gerilimi</t>
        </is>
      </c>
      <c r="N17" s="549" t="inlineStr">
        <is>
          <t>:</t>
        </is>
      </c>
      <c r="O17" s="551" t="n"/>
      <c r="P17" s="486" t="n"/>
      <c r="Q17" s="486" t="n"/>
      <c r="R17" s="486" t="n"/>
      <c r="S17" s="487" t="n"/>
      <c r="T17" s="11" t="n"/>
    </row>
    <row r="18" ht="3" customHeight="1" s="227">
      <c r="A18" s="10" t="n"/>
      <c r="B18" s="280" t="n"/>
      <c r="C18" s="291" t="n"/>
      <c r="D18" s="291" t="n"/>
      <c r="E18" s="291" t="n"/>
      <c r="F18" s="67" t="n"/>
      <c r="G18" s="127" t="n"/>
      <c r="H18" s="127" t="n"/>
      <c r="I18" s="127" t="n"/>
      <c r="J18" s="127" t="n"/>
      <c r="K18" s="277" t="n"/>
      <c r="L18" s="277" t="n"/>
      <c r="M18" s="317" t="n"/>
      <c r="N18" s="127" t="n"/>
      <c r="O18" s="127" t="n"/>
      <c r="P18" s="127" t="n"/>
      <c r="Q18" s="127" t="n"/>
      <c r="R18" s="127" t="n"/>
      <c r="S18" s="143" t="n"/>
      <c r="T18" s="11" t="n"/>
    </row>
    <row r="19" ht="3" customHeight="1" s="227">
      <c r="A19" s="10" t="n"/>
      <c r="B19" s="82" t="n"/>
      <c r="C19" s="83" t="n"/>
      <c r="D19" s="83" t="n"/>
      <c r="E19" s="83" t="n"/>
      <c r="F19" s="50" t="n"/>
      <c r="G19" s="50" t="n"/>
      <c r="H19" s="50" t="n"/>
      <c r="I19" s="50" t="n"/>
      <c r="J19" s="50" t="n"/>
      <c r="K19" s="430" t="n"/>
      <c r="L19" s="430" t="n"/>
      <c r="M19" s="430" t="n"/>
      <c r="N19" s="50" t="n"/>
      <c r="O19" s="50" t="n"/>
      <c r="P19" s="50" t="n"/>
      <c r="Q19" s="50" t="n"/>
      <c r="R19" s="50" t="n"/>
      <c r="S19" s="213" t="n"/>
      <c r="T19" s="11" t="n"/>
    </row>
    <row r="20" ht="3" customHeight="1" s="227">
      <c r="A20" s="10" t="n"/>
      <c r="B20" s="280" t="n"/>
      <c r="C20" s="291" t="n"/>
      <c r="D20" s="291" t="n"/>
      <c r="E20" s="291" t="n"/>
      <c r="F20" s="67" t="n"/>
      <c r="G20" s="127" t="n"/>
      <c r="H20" s="127" t="n"/>
      <c r="I20" s="127" t="n"/>
      <c r="J20" s="127" t="n"/>
      <c r="K20" s="277" t="n"/>
      <c r="L20" s="277" t="n"/>
      <c r="M20" s="317" t="n"/>
      <c r="N20" s="127" t="n"/>
      <c r="O20" s="127" t="n"/>
      <c r="P20" s="127" t="n"/>
      <c r="Q20" s="127" t="n"/>
      <c r="R20" s="127" t="n"/>
      <c r="S20" s="143" t="n"/>
      <c r="T20" s="11" t="n"/>
    </row>
    <row r="21" ht="15.75" customHeight="1" s="227">
      <c r="A21" s="10" t="n"/>
      <c r="B21" s="485" t="inlineStr">
        <is>
          <t>KONTROLLER</t>
        </is>
      </c>
      <c r="C21" s="99" t="n"/>
      <c r="D21" s="99" t="n"/>
      <c r="E21" s="99" t="n"/>
      <c r="F21" s="99" t="n"/>
      <c r="G21" s="99" t="n"/>
      <c r="H21" s="99" t="n"/>
      <c r="I21" s="99" t="n"/>
      <c r="J21" s="99" t="n"/>
      <c r="K21" s="99" t="n"/>
      <c r="L21" s="99" t="n"/>
      <c r="M21" s="99" t="n"/>
      <c r="N21" s="99" t="n"/>
      <c r="O21" s="99" t="n"/>
      <c r="P21" s="99" t="n"/>
      <c r="Q21" s="99" t="n"/>
      <c r="R21" s="99" t="n"/>
      <c r="S21" s="482" t="n"/>
      <c r="T21" s="11" t="n"/>
    </row>
    <row r="22" ht="15" customHeight="1" s="227">
      <c r="A22" s="10" t="n"/>
      <c r="B22" s="3" t="n"/>
      <c r="C22" s="127" t="n"/>
      <c r="D22" s="127" t="n"/>
      <c r="E22" s="127" t="n"/>
      <c r="F22" s="127" t="n"/>
      <c r="G22" s="127" t="n"/>
      <c r="H22" s="127" t="n"/>
      <c r="I22" s="44" t="inlineStr">
        <is>
          <t>Evet</t>
        </is>
      </c>
      <c r="J22" s="44" t="inlineStr">
        <is>
          <t>Hayır</t>
        </is>
      </c>
      <c r="K22" s="127" t="n"/>
      <c r="L22" s="127" t="n"/>
      <c r="M22" s="127" t="n"/>
      <c r="N22" s="127" t="n"/>
      <c r="O22" s="127" t="n"/>
      <c r="P22" s="127" t="n"/>
      <c r="Q22" s="127" t="n"/>
      <c r="R22" s="44" t="inlineStr">
        <is>
          <t>Evet</t>
        </is>
      </c>
      <c r="S22" s="44" t="inlineStr">
        <is>
          <t>Hayır</t>
        </is>
      </c>
      <c r="T22" s="11" t="n"/>
    </row>
    <row r="23" ht="3.75" customHeight="1" s="227">
      <c r="A23" s="10" t="n"/>
      <c r="B23" s="3" t="n"/>
      <c r="C23" s="127" t="n"/>
      <c r="D23" s="127" t="n"/>
      <c r="E23" s="127" t="n"/>
      <c r="F23" s="127" t="n"/>
      <c r="G23" s="127" t="n"/>
      <c r="H23" s="127" t="n"/>
      <c r="I23" s="127" t="n"/>
      <c r="J23" s="127" t="n"/>
      <c r="K23" s="127" t="n"/>
      <c r="L23" s="127" t="n"/>
      <c r="M23" s="127" t="n"/>
      <c r="N23" s="127" t="n"/>
      <c r="O23" s="127" t="n"/>
      <c r="P23" s="127" t="n"/>
      <c r="Q23" s="127" t="n"/>
      <c r="R23" s="127" t="n"/>
      <c r="S23" s="143" t="n"/>
      <c r="T23" s="11" t="n"/>
    </row>
    <row r="24" ht="15" customHeight="1" s="227">
      <c r="A24" s="10" t="n"/>
      <c r="B24" s="280" t="inlineStr">
        <is>
          <t xml:space="preserve">Kesici Görsel Kontrolü </t>
        </is>
      </c>
      <c r="F24" s="89" t="inlineStr">
        <is>
          <t>:</t>
        </is>
      </c>
      <c r="G24" s="552" t="n"/>
      <c r="H24" s="487" t="n"/>
      <c r="I24" s="553" t="n"/>
      <c r="J24" s="554" t="n"/>
      <c r="K24" s="291" t="inlineStr">
        <is>
          <t>Kesici Temizliği</t>
        </is>
      </c>
      <c r="O24" s="89" t="inlineStr">
        <is>
          <t>:</t>
        </is>
      </c>
      <c r="P24" s="552" t="n"/>
      <c r="Q24" s="487" t="n"/>
      <c r="R24" s="553" t="n"/>
      <c r="S24" s="554" t="n"/>
      <c r="T24" s="11" t="n"/>
    </row>
    <row r="25" ht="3.75" customHeight="1" s="227">
      <c r="A25" s="10" t="n"/>
      <c r="B25" s="70" t="n"/>
      <c r="C25" s="67" t="n"/>
      <c r="D25" s="67" t="n"/>
      <c r="E25" s="67" t="n"/>
      <c r="F25" s="67" t="n"/>
      <c r="G25" s="555" t="n"/>
      <c r="H25" s="555" t="n"/>
      <c r="I25" s="556" t="n"/>
      <c r="J25" s="94" t="n"/>
      <c r="K25" s="67" t="n"/>
      <c r="L25" s="67" t="n"/>
      <c r="M25" s="67" t="n"/>
      <c r="N25" s="67" t="n"/>
      <c r="O25" s="67" t="n"/>
      <c r="P25" s="556" t="n"/>
      <c r="Q25" s="556" t="n"/>
      <c r="R25" s="556" t="n"/>
      <c r="S25" s="120" t="n"/>
      <c r="T25" s="11" t="n"/>
    </row>
    <row r="26" ht="15" customHeight="1" s="227">
      <c r="A26" s="10" t="n"/>
      <c r="B26" s="280" t="inlineStr">
        <is>
          <t>DC Redresör Kontrolü</t>
        </is>
      </c>
      <c r="F26" s="89" t="inlineStr">
        <is>
          <t>:</t>
        </is>
      </c>
      <c r="G26" s="557" t="n"/>
      <c r="H26" s="552" t="n"/>
      <c r="I26" s="553" t="n"/>
      <c r="J26" s="554" t="n"/>
      <c r="K26" s="291" t="inlineStr">
        <is>
          <t>Hücre Temizliği</t>
        </is>
      </c>
      <c r="O26" s="89" t="inlineStr">
        <is>
          <t>:</t>
        </is>
      </c>
      <c r="P26" s="552" t="n"/>
      <c r="Q26" s="487" t="n"/>
      <c r="R26" s="553" t="n"/>
      <c r="S26" s="554" t="n"/>
      <c r="T26" s="11" t="n"/>
    </row>
    <row r="27" ht="3.75" customHeight="1" s="227">
      <c r="A27" s="10" t="n"/>
      <c r="B27" s="70" t="n"/>
      <c r="C27" s="67" t="n"/>
      <c r="D27" s="67" t="n"/>
      <c r="E27" s="67" t="n"/>
      <c r="F27" s="67" t="n"/>
      <c r="G27" s="555" t="n"/>
      <c r="H27" s="555" t="n"/>
      <c r="I27" s="556" t="n"/>
      <c r="J27" s="94" t="n"/>
      <c r="K27" s="67" t="n"/>
      <c r="L27" s="67" t="n"/>
      <c r="M27" s="67" t="n"/>
      <c r="N27" s="67" t="n"/>
      <c r="O27" s="67" t="n"/>
      <c r="P27" s="556" t="n"/>
      <c r="Q27" s="556" t="n"/>
      <c r="R27" s="556" t="n"/>
      <c r="S27" s="120" t="n"/>
      <c r="T27" s="11" t="n"/>
    </row>
    <row r="28" ht="15" customHeight="1" s="227">
      <c r="A28" s="10" t="n"/>
      <c r="B28" s="280" t="inlineStr">
        <is>
          <t>İndikatör Kontrolü</t>
        </is>
      </c>
      <c r="F28" s="89" t="inlineStr">
        <is>
          <t>:</t>
        </is>
      </c>
      <c r="G28" s="552" t="n"/>
      <c r="H28" s="487" t="n"/>
      <c r="I28" s="553" t="n"/>
      <c r="J28" s="93" t="n"/>
      <c r="K28" s="291" t="inlineStr">
        <is>
          <t>Bara Kontrolü</t>
        </is>
      </c>
      <c r="O28" s="116" t="inlineStr">
        <is>
          <t xml:space="preserve">: </t>
        </is>
      </c>
      <c r="P28" s="552" t="n"/>
      <c r="Q28" s="487" t="n"/>
      <c r="R28" s="553" t="n"/>
      <c r="S28" s="93" t="n"/>
      <c r="T28" s="11" t="n"/>
    </row>
    <row r="29" ht="3.75" customHeight="1" s="227">
      <c r="A29" s="10" t="n"/>
      <c r="B29" s="70" t="n"/>
      <c r="C29" s="67" t="n"/>
      <c r="D29" s="67" t="n"/>
      <c r="E29" s="67" t="n"/>
      <c r="F29" s="67" t="n"/>
      <c r="G29" s="555" t="n"/>
      <c r="H29" s="555" t="n"/>
      <c r="I29" s="556" t="n"/>
      <c r="J29" s="94" t="n"/>
      <c r="K29" s="67" t="n"/>
      <c r="L29" s="67" t="n"/>
      <c r="M29" s="67" t="n"/>
      <c r="N29" s="67" t="n"/>
      <c r="O29" s="67" t="n"/>
      <c r="P29" s="556" t="n"/>
      <c r="Q29" s="556" t="n"/>
      <c r="R29" s="556" t="n"/>
      <c r="S29" s="120" t="n"/>
      <c r="T29" s="11" t="n"/>
    </row>
    <row r="30" ht="15" customHeight="1" s="227">
      <c r="A30" s="10" t="n"/>
      <c r="B30" s="280" t="inlineStr">
        <is>
          <t>Mekanik Konrolü</t>
        </is>
      </c>
      <c r="F30" s="89" t="inlineStr">
        <is>
          <t>:</t>
        </is>
      </c>
      <c r="G30" s="552" t="n"/>
      <c r="H30" s="487" t="n"/>
      <c r="I30" s="553" t="n"/>
      <c r="J30" s="93" t="n"/>
      <c r="K30" s="291" t="inlineStr">
        <is>
          <t>Isıtıcı Kontrolü</t>
        </is>
      </c>
      <c r="O30" s="89" t="inlineStr">
        <is>
          <t>:</t>
        </is>
      </c>
      <c r="P30" s="552" t="n"/>
      <c r="Q30" s="487" t="n"/>
      <c r="R30" s="553" t="n"/>
      <c r="S30" s="93" t="n"/>
      <c r="T30" s="11" t="n"/>
    </row>
    <row r="31" ht="3.75" customHeight="1" s="227">
      <c r="A31" s="10" t="n"/>
      <c r="B31" s="70" t="n"/>
      <c r="C31" s="67" t="n"/>
      <c r="D31" s="67" t="n"/>
      <c r="E31" s="67" t="n"/>
      <c r="F31" s="67" t="n"/>
      <c r="G31" s="555" t="n"/>
      <c r="H31" s="555" t="n"/>
      <c r="I31" s="556" t="n"/>
      <c r="J31" s="94" t="n"/>
      <c r="K31" s="67" t="n"/>
      <c r="L31" s="67" t="n"/>
      <c r="M31" s="67" t="n"/>
      <c r="N31" s="67" t="n"/>
      <c r="O31" s="67" t="n"/>
      <c r="P31" s="556" t="n"/>
      <c r="Q31" s="556" t="n"/>
      <c r="R31" s="556" t="n"/>
      <c r="S31" s="120" t="n"/>
      <c r="T31" s="11" t="n"/>
    </row>
    <row r="32" ht="15" customHeight="1" s="227">
      <c r="A32" s="10" t="n"/>
      <c r="B32" s="280" t="inlineStr">
        <is>
          <t>Kablo Başlığı Kontrolü</t>
        </is>
      </c>
      <c r="F32" s="110" t="inlineStr">
        <is>
          <t>:</t>
        </is>
      </c>
      <c r="G32" s="552" t="n"/>
      <c r="H32" s="487" t="n"/>
      <c r="I32" s="553" t="n"/>
      <c r="J32" s="93" t="n"/>
      <c r="K32" s="291" t="inlineStr">
        <is>
          <t>A.A Röle Kontrolü</t>
        </is>
      </c>
      <c r="O32" s="111" t="inlineStr">
        <is>
          <t>:</t>
        </is>
      </c>
      <c r="P32" s="552" t="n"/>
      <c r="Q32" s="487" t="n"/>
      <c r="R32" s="553" t="n"/>
      <c r="S32" s="93" t="n"/>
      <c r="T32" s="11" t="n"/>
    </row>
    <row r="33" ht="3.75" customHeight="1" s="227">
      <c r="A33" s="10" t="n"/>
      <c r="B33" s="70" t="n"/>
      <c r="C33" s="67" t="n"/>
      <c r="D33" s="67" t="n"/>
      <c r="E33" s="67" t="n"/>
      <c r="F33" s="67" t="n"/>
      <c r="G33" s="67" t="n"/>
      <c r="H33" s="67" t="n"/>
      <c r="I33" s="94" t="n"/>
      <c r="J33" s="94" t="n"/>
      <c r="K33" s="67" t="n"/>
      <c r="L33" s="67" t="n"/>
      <c r="M33" s="67" t="n"/>
      <c r="N33" s="67" t="n"/>
      <c r="O33" s="67" t="n"/>
      <c r="P33" s="94" t="n"/>
      <c r="Q33" s="94" t="n"/>
      <c r="R33" s="94" t="n"/>
      <c r="S33" s="120" t="n"/>
      <c r="T33" s="11" t="n"/>
    </row>
    <row r="34" ht="15" customHeight="1" s="227">
      <c r="A34" s="10" t="n"/>
      <c r="B34" s="558" t="n"/>
      <c r="C34" s="559" t="n"/>
      <c r="D34" s="559" t="n"/>
      <c r="E34" s="559" t="n"/>
      <c r="F34" s="559" t="n"/>
      <c r="G34" s="559" t="n"/>
      <c r="H34" s="559" t="n"/>
      <c r="I34" s="559" t="n"/>
      <c r="J34" s="559" t="n"/>
      <c r="K34" s="559" t="n"/>
      <c r="L34" s="559" t="n"/>
      <c r="M34" s="559" t="n"/>
      <c r="N34" s="559" t="n"/>
      <c r="O34" s="559" t="n"/>
      <c r="P34" s="559" t="n"/>
      <c r="Q34" s="559" t="n"/>
      <c r="R34" s="559" t="n"/>
      <c r="S34" s="560" t="n"/>
      <c r="T34" s="11" t="n"/>
    </row>
    <row r="35" ht="15.75" customHeight="1" s="227">
      <c r="A35" s="10" t="n"/>
      <c r="B35" s="485" t="n"/>
      <c r="C35" s="47" t="n"/>
      <c r="D35" s="47" t="n"/>
      <c r="E35" s="47" t="n"/>
      <c r="F35" s="47" t="n"/>
      <c r="G35" s="47" t="n"/>
      <c r="H35" s="47" t="n"/>
      <c r="I35" s="47" t="n"/>
      <c r="J35" s="47" t="n"/>
      <c r="K35" s="47" t="n"/>
      <c r="L35" s="47" t="n"/>
      <c r="M35" s="47" t="n"/>
      <c r="N35" s="47" t="n"/>
      <c r="O35" s="47" t="n"/>
      <c r="P35" s="47" t="n"/>
      <c r="Q35" s="47" t="n"/>
      <c r="R35" s="47" t="n"/>
      <c r="S35" s="211" t="n"/>
      <c r="T35" s="11" t="n"/>
      <c r="V35" s="54" t="n"/>
      <c r="W35" s="54" t="n"/>
      <c r="X35" s="54" t="n"/>
      <c r="AE35" s="54" t="n"/>
      <c r="AF35" s="54" t="n"/>
      <c r="AG35" s="54" t="n"/>
      <c r="AH35" s="54" t="n"/>
      <c r="AI35" s="54" t="n"/>
      <c r="AJ35" s="54" t="n"/>
      <c r="AK35" s="54" t="n"/>
      <c r="AL35" s="54" t="n"/>
      <c r="AM35" s="54" t="n"/>
      <c r="AN35" s="54" t="n"/>
    </row>
    <row r="36" ht="3" customHeight="1" s="227">
      <c r="A36" s="10" t="n"/>
      <c r="B36" s="62" t="n"/>
      <c r="S36" s="212" t="n"/>
      <c r="T36" s="11" t="n"/>
      <c r="V36" s="54" t="n"/>
      <c r="W36" s="54" t="n"/>
      <c r="X36" s="54" t="n"/>
      <c r="Y36" s="54" t="n"/>
      <c r="Z36" s="54" t="n"/>
      <c r="AA36" s="54" t="n"/>
      <c r="AB36" s="54" t="n"/>
      <c r="AC36" s="54" t="n"/>
      <c r="AD36" s="54" t="n"/>
      <c r="AE36" s="54" t="n"/>
      <c r="AF36" s="54" t="n"/>
      <c r="AG36" s="54" t="n"/>
      <c r="AH36" s="54" t="n"/>
      <c r="AI36" s="54" t="n"/>
      <c r="AJ36" s="54" t="n"/>
      <c r="AK36" s="54" t="n"/>
      <c r="AL36" s="54" t="n"/>
      <c r="AM36" s="54" t="n"/>
      <c r="AN36" s="54" t="n"/>
    </row>
    <row r="37" ht="15" customHeight="1" s="227">
      <c r="A37" s="10" t="n"/>
      <c r="B37" s="62" t="n"/>
      <c r="S37" s="212" t="n"/>
      <c r="T37" s="11" t="n"/>
      <c r="V37" s="54" t="n"/>
      <c r="W37" s="54" t="n"/>
      <c r="X37" s="54" t="n"/>
      <c r="Y37" s="54" t="n"/>
      <c r="Z37" s="54" t="n"/>
      <c r="AA37" s="54" t="n"/>
      <c r="AB37" s="54" t="n"/>
      <c r="AC37" s="54" t="n"/>
      <c r="AD37" s="54" t="n"/>
      <c r="AE37" s="54" t="n"/>
      <c r="AF37" s="54" t="n"/>
      <c r="AG37" s="54" t="n"/>
      <c r="AH37" s="54" t="n"/>
      <c r="AI37" s="54" t="n"/>
      <c r="AJ37" s="54" t="n"/>
      <c r="AK37" s="54" t="n"/>
      <c r="AL37" s="54" t="n"/>
      <c r="AM37" s="54" t="n"/>
      <c r="AN37" s="54" t="n"/>
    </row>
    <row r="38" ht="3" customHeight="1" s="227">
      <c r="A38" s="10" t="n"/>
      <c r="B38" s="62" t="n"/>
      <c r="S38" s="212" t="n"/>
      <c r="T38" s="11" t="n"/>
      <c r="V38" s="54" t="n"/>
      <c r="W38" s="54" t="n"/>
      <c r="X38" s="54" t="n"/>
      <c r="Y38" s="54" t="n"/>
      <c r="Z38" s="54" t="n"/>
      <c r="AA38" s="54" t="n"/>
      <c r="AB38" s="54" t="n"/>
      <c r="AC38" s="54" t="n"/>
      <c r="AD38" s="54" t="n"/>
      <c r="AE38" s="54" t="n"/>
      <c r="AF38" s="54" t="n"/>
      <c r="AG38" s="54" t="n"/>
      <c r="AH38" s="54" t="n"/>
      <c r="AI38" s="54" t="n"/>
      <c r="AJ38" s="54" t="n"/>
      <c r="AK38" s="54" t="n"/>
      <c r="AL38" s="54" t="n"/>
      <c r="AM38" s="54" t="n"/>
      <c r="AN38" s="54" t="n"/>
    </row>
    <row r="39" ht="15" customHeight="1" s="227">
      <c r="A39" s="10" t="n"/>
      <c r="B39" s="62" t="n"/>
      <c r="S39" s="212" t="n"/>
      <c r="T39" s="11" t="n"/>
      <c r="V39" s="54" t="n"/>
      <c r="W39" s="54" t="n"/>
      <c r="X39" s="54" t="n"/>
      <c r="Y39" s="54" t="n"/>
      <c r="Z39" s="54" t="n"/>
      <c r="AA39" s="54" t="n"/>
      <c r="AB39" s="54" t="n"/>
      <c r="AC39" s="54" t="n"/>
      <c r="AD39" s="54" t="n"/>
      <c r="AE39" s="54" t="n"/>
      <c r="AF39" s="54" t="n"/>
      <c r="AG39" s="54" t="n"/>
      <c r="AH39" s="54" t="n"/>
      <c r="AI39" s="54" t="n"/>
      <c r="AJ39" s="54" t="n"/>
      <c r="AK39" s="54" t="n"/>
      <c r="AL39" s="54" t="n"/>
      <c r="AM39" s="54" t="n"/>
      <c r="AN39" s="54" t="n"/>
    </row>
    <row r="40" ht="3" customHeight="1" s="227">
      <c r="A40" s="10" t="n"/>
      <c r="B40" s="62" t="n"/>
      <c r="S40" s="212" t="n"/>
      <c r="T40" s="11" t="n"/>
      <c r="V40" s="54" t="n"/>
      <c r="W40" s="54" t="n"/>
      <c r="X40" s="54" t="n"/>
      <c r="Y40" s="54" t="n"/>
      <c r="Z40" s="54" t="n"/>
      <c r="AA40" s="54" t="n"/>
      <c r="AB40" s="54" t="n"/>
      <c r="AC40" s="54" t="n"/>
      <c r="AD40" s="54" t="n"/>
      <c r="AE40" s="54" t="n"/>
      <c r="AF40" s="54" t="n"/>
      <c r="AG40" s="54" t="n"/>
      <c r="AH40" s="54" t="n"/>
      <c r="AI40" s="54" t="n"/>
      <c r="AJ40" s="54" t="n"/>
      <c r="AK40" s="54" t="n"/>
      <c r="AL40" s="54" t="n"/>
      <c r="AM40" s="54" t="n"/>
      <c r="AN40" s="54" t="n"/>
    </row>
    <row r="41" ht="15" customHeight="1" s="227">
      <c r="A41" s="10" t="n"/>
      <c r="B41" s="62" t="n"/>
      <c r="S41" s="212" t="n"/>
      <c r="T41" s="11" t="n"/>
      <c r="V41" s="54" t="n"/>
      <c r="W41" s="54" t="n"/>
      <c r="X41" s="54" t="n"/>
      <c r="Y41" s="54" t="n"/>
      <c r="Z41" s="54" t="n"/>
      <c r="AA41" s="54" t="n"/>
      <c r="AB41" s="54" t="n"/>
      <c r="AC41" s="54" t="n"/>
      <c r="AD41" s="54" t="n"/>
      <c r="AE41" s="54" t="n"/>
      <c r="AF41" s="54" t="n"/>
      <c r="AG41" s="54" t="n"/>
      <c r="AH41" s="54" t="n"/>
      <c r="AI41" s="54" t="n"/>
      <c r="AJ41" s="54" t="n"/>
      <c r="AK41" s="54" t="n"/>
      <c r="AL41" s="54" t="n"/>
      <c r="AM41" s="54" t="n"/>
      <c r="AN41" s="54" t="n"/>
    </row>
    <row r="42" ht="3" customHeight="1" s="227">
      <c r="A42" s="10" t="n"/>
      <c r="B42" s="62" t="n"/>
      <c r="S42" s="212" t="n"/>
      <c r="T42" s="11" t="n"/>
      <c r="V42" s="54" t="n"/>
      <c r="W42" s="54" t="n"/>
      <c r="X42" s="54" t="n"/>
      <c r="Y42" s="54" t="n"/>
      <c r="Z42" s="54" t="n"/>
      <c r="AA42" s="54" t="n"/>
      <c r="AB42" s="54" t="n"/>
      <c r="AC42" s="54" t="n"/>
      <c r="AD42" s="54" t="n"/>
      <c r="AE42" s="54" t="n"/>
      <c r="AF42" s="54" t="n"/>
      <c r="AG42" s="54" t="n"/>
      <c r="AH42" s="54" t="n"/>
      <c r="AI42" s="54" t="n"/>
      <c r="AJ42" s="54" t="n"/>
      <c r="AK42" s="54" t="n"/>
      <c r="AL42" s="54" t="n"/>
      <c r="AM42" s="54" t="n"/>
      <c r="AN42" s="54" t="n"/>
    </row>
    <row r="43" ht="15" customHeight="1" s="227">
      <c r="A43" s="10" t="n"/>
      <c r="B43" s="49" t="n"/>
      <c r="C43" s="50" t="n"/>
      <c r="D43" s="50" t="n"/>
      <c r="E43" s="50" t="n"/>
      <c r="F43" s="50" t="n"/>
      <c r="G43" s="50" t="n"/>
      <c r="H43" s="50" t="n"/>
      <c r="I43" s="50" t="n"/>
      <c r="J43" s="50" t="n"/>
      <c r="K43" s="50" t="n"/>
      <c r="L43" s="50" t="n"/>
      <c r="M43" s="50" t="n"/>
      <c r="N43" s="50" t="n"/>
      <c r="O43" s="50" t="n"/>
      <c r="P43" s="50" t="n"/>
      <c r="Q43" s="50" t="n"/>
      <c r="R43" s="50" t="n"/>
      <c r="S43" s="213" t="n"/>
      <c r="T43" s="11" t="n"/>
      <c r="V43" s="54" t="n"/>
      <c r="W43" s="54" t="n"/>
      <c r="X43" s="54" t="n"/>
      <c r="Y43" s="54" t="n"/>
      <c r="Z43" s="54" t="n"/>
      <c r="AA43" s="54" t="n"/>
      <c r="AB43" s="54" t="n"/>
      <c r="AC43" s="54" t="n"/>
      <c r="AD43" s="54" t="n"/>
      <c r="AE43" s="54" t="n"/>
      <c r="AF43" s="54" t="n"/>
      <c r="AG43" s="54" t="n"/>
      <c r="AH43" s="54" t="n"/>
      <c r="AI43" s="54" t="n"/>
      <c r="AJ43" s="54" t="n"/>
      <c r="AK43" s="54" t="n"/>
      <c r="AL43" s="54" t="n"/>
      <c r="AM43" s="54" t="n"/>
      <c r="AN43" s="54" t="n"/>
    </row>
    <row r="44" ht="3" customHeight="1" s="227">
      <c r="A44" s="10" t="n"/>
      <c r="B44" s="42" t="n"/>
      <c r="C44" s="43" t="n"/>
      <c r="D44" s="43" t="n"/>
      <c r="E44" s="43" t="n"/>
      <c r="F44" s="43" t="n"/>
      <c r="G44" s="43" t="n"/>
      <c r="H44" s="43" t="n"/>
      <c r="I44" s="43" t="n"/>
      <c r="J44" s="43" t="n"/>
      <c r="K44" s="43" t="n"/>
      <c r="L44" s="43" t="n"/>
      <c r="M44" s="43" t="n"/>
      <c r="N44" s="43" t="n"/>
      <c r="O44" s="43" t="n"/>
      <c r="P44" s="43" t="n"/>
      <c r="Q44" s="43" t="n"/>
      <c r="R44" s="43" t="n"/>
      <c r="S44" s="75" t="n"/>
      <c r="T44" s="11" t="n"/>
      <c r="V44" s="54" t="n"/>
      <c r="W44" s="54" t="n"/>
      <c r="X44" s="54" t="n"/>
      <c r="Y44" s="54" t="n"/>
      <c r="Z44" s="54" t="n"/>
      <c r="AA44" s="54" t="n"/>
      <c r="AB44" s="54" t="n"/>
      <c r="AC44" s="54" t="n"/>
      <c r="AD44" s="54" t="n"/>
      <c r="AE44" s="54" t="n"/>
      <c r="AF44" s="54" t="n"/>
      <c r="AG44" s="54" t="n"/>
      <c r="AH44" s="54" t="n"/>
      <c r="AI44" s="54" t="n"/>
      <c r="AJ44" s="54" t="n"/>
      <c r="AK44" s="54" t="n"/>
      <c r="AL44" s="54" t="n"/>
      <c r="AM44" s="54" t="n"/>
      <c r="AN44" s="54" t="n"/>
    </row>
    <row r="45" ht="15" customHeight="1" s="227">
      <c r="A45" s="10" t="n"/>
      <c r="B45" s="3" t="n"/>
      <c r="C45" s="127" t="n"/>
      <c r="D45" s="127" t="n"/>
      <c r="E45" s="127" t="n"/>
      <c r="F45" s="127" t="n"/>
      <c r="G45" s="127" t="n"/>
      <c r="H45" s="127" t="n"/>
      <c r="I45" s="127" t="n"/>
      <c r="J45" s="127" t="n"/>
      <c r="K45" s="127" t="n"/>
      <c r="L45" s="127" t="n"/>
      <c r="M45" s="127" t="n"/>
      <c r="N45" s="127" t="n"/>
      <c r="O45" s="127" t="n"/>
      <c r="P45" s="127" t="n"/>
      <c r="Q45" s="127" t="n"/>
      <c r="R45" s="127" t="n"/>
      <c r="S45" s="143" t="n"/>
      <c r="T45" s="11" t="n"/>
      <c r="V45" s="317" t="n"/>
      <c r="X45" s="54" t="n"/>
      <c r="Y45" s="54" t="n"/>
      <c r="Z45" s="54" t="n"/>
      <c r="AA45" s="54" t="n"/>
      <c r="AB45" s="54" t="n"/>
      <c r="AC45" s="54" t="n"/>
      <c r="AD45" s="54" t="n"/>
      <c r="AE45" s="54" t="n"/>
      <c r="AF45" s="54" t="n"/>
      <c r="AG45" s="54" t="n"/>
      <c r="AH45" s="54" t="n"/>
      <c r="AI45" s="54" t="n"/>
      <c r="AJ45" s="54" t="n"/>
      <c r="AK45" s="54" t="n"/>
      <c r="AL45" s="54" t="n"/>
      <c r="AM45" s="54" t="n"/>
      <c r="AN45" s="54" t="n"/>
    </row>
    <row r="46" ht="15.75" customHeight="1" s="227">
      <c r="A46" s="10" t="n"/>
      <c r="B46" s="485" t="inlineStr">
        <is>
          <t>KESİCİ İZOLASYON DİRENCİ (GΩ)</t>
        </is>
      </c>
      <c r="C46" s="99" t="n"/>
      <c r="D46" s="99" t="n"/>
      <c r="E46" s="99" t="n"/>
      <c r="F46" s="99" t="n"/>
      <c r="G46" s="99" t="n"/>
      <c r="H46" s="99" t="n"/>
      <c r="I46" s="99" t="n"/>
      <c r="J46" s="482" t="n"/>
      <c r="K46" s="485" t="inlineStr">
        <is>
          <t>KESİCİ KONTAK DİRENCİ (Ω)</t>
        </is>
      </c>
      <c r="L46" s="99" t="n"/>
      <c r="M46" s="99" t="n"/>
      <c r="N46" s="99" t="n"/>
      <c r="O46" s="99" t="n"/>
      <c r="P46" s="99" t="n"/>
      <c r="Q46" s="99" t="n"/>
      <c r="R46" s="99" t="n"/>
      <c r="S46" s="482" t="n"/>
      <c r="T46" s="11" t="n"/>
      <c r="V46" s="54" t="n"/>
      <c r="W46" s="54" t="n"/>
      <c r="X46" s="54" t="n"/>
      <c r="Y46" s="54" t="n"/>
      <c r="Z46" s="54" t="n"/>
      <c r="AA46" s="54" t="n"/>
      <c r="AB46" s="54" t="n"/>
      <c r="AC46" s="54" t="n"/>
      <c r="AD46" s="54" t="n"/>
      <c r="AE46" s="54" t="n"/>
      <c r="AF46" s="54" t="n"/>
      <c r="AG46" s="54" t="n"/>
      <c r="AH46" s="54" t="n"/>
      <c r="AI46" s="54" t="n"/>
      <c r="AJ46" s="54" t="n"/>
      <c r="AK46" s="54" t="n"/>
      <c r="AL46" s="54" t="n"/>
      <c r="AM46" s="54" t="n"/>
      <c r="AN46" s="54" t="n"/>
    </row>
    <row r="47" ht="3" customHeight="1" s="227">
      <c r="A47" s="10" t="n"/>
      <c r="B47" s="3" t="n"/>
      <c r="C47" s="127" t="n"/>
      <c r="D47" s="127" t="n"/>
      <c r="E47" s="127" t="n"/>
      <c r="F47" s="127" t="n"/>
      <c r="G47" s="127" t="n"/>
      <c r="H47" s="127" t="n"/>
      <c r="I47" s="127" t="n"/>
      <c r="J47" s="143" t="n"/>
      <c r="K47" s="3" t="n"/>
      <c r="L47" s="127" t="n"/>
      <c r="M47" s="127" t="n"/>
      <c r="N47" s="40" t="n"/>
      <c r="O47" s="127" t="n"/>
      <c r="P47" s="127" t="n"/>
      <c r="Q47" s="40" t="n"/>
      <c r="R47" s="127" t="n"/>
      <c r="S47" s="143" t="n"/>
      <c r="T47" s="11" t="n"/>
      <c r="V47" s="54" t="n"/>
      <c r="W47" s="54" t="n"/>
      <c r="X47" s="54" t="n"/>
      <c r="Y47" s="54" t="n"/>
      <c r="Z47" s="54" t="n"/>
      <c r="AA47" s="54" t="n"/>
      <c r="AB47" s="54" t="n"/>
      <c r="AC47" s="54" t="n"/>
      <c r="AD47" s="54" t="n"/>
      <c r="AE47" s="54" t="n"/>
      <c r="AF47" s="54" t="n"/>
      <c r="AG47" s="54" t="n"/>
      <c r="AH47" s="54" t="n"/>
      <c r="AI47" s="54" t="n"/>
      <c r="AJ47" s="54" t="n"/>
      <c r="AK47" s="54" t="n"/>
      <c r="AL47" s="54" t="n"/>
      <c r="AM47" s="54" t="n"/>
      <c r="AN47" s="54" t="n"/>
    </row>
    <row r="48" ht="15" customHeight="1" s="227">
      <c r="A48" s="10" t="n"/>
      <c r="B48" s="3" t="n"/>
      <c r="C48" s="374" t="inlineStr">
        <is>
          <t>TEST VOLTAJI</t>
        </is>
      </c>
      <c r="D48" s="99" t="n"/>
      <c r="E48" s="99" t="n"/>
      <c r="F48" s="482" t="n"/>
      <c r="G48" s="374" t="inlineStr">
        <is>
          <t>SONUÇ</t>
        </is>
      </c>
      <c r="H48" s="99" t="n"/>
      <c r="I48" s="99" t="n"/>
      <c r="J48" s="482" t="n"/>
      <c r="K48" s="374" t="inlineStr">
        <is>
          <t>TEST AKIMI</t>
        </is>
      </c>
      <c r="L48" s="99" t="n"/>
      <c r="M48" s="99" t="n"/>
      <c r="N48" s="482" t="n"/>
      <c r="O48" s="374" t="inlineStr">
        <is>
          <t>SONUÇ</t>
        </is>
      </c>
      <c r="P48" s="99" t="n"/>
      <c r="Q48" s="99" t="n"/>
      <c r="R48" s="99" t="n"/>
      <c r="S48" s="482" t="n"/>
      <c r="T48" s="11" t="n"/>
      <c r="V48" s="54" t="n"/>
      <c r="W48" s="54" t="n"/>
      <c r="X48" s="54" t="n"/>
      <c r="Y48" s="54" t="n"/>
      <c r="Z48" s="54" t="n"/>
      <c r="AA48" s="54" t="n"/>
      <c r="AB48" s="54" t="n"/>
      <c r="AC48" s="54" t="n"/>
      <c r="AD48" s="54" t="n"/>
      <c r="AE48" s="54" t="n"/>
      <c r="AF48" s="54" t="n"/>
      <c r="AG48" s="54" t="n"/>
      <c r="AH48" s="54" t="n"/>
      <c r="AI48" s="54" t="n"/>
      <c r="AJ48" s="54" t="n"/>
      <c r="AK48" s="54" t="n"/>
      <c r="AL48" s="54" t="n"/>
      <c r="AM48" s="54" t="n"/>
      <c r="AN48" s="54" t="n"/>
    </row>
    <row r="49" ht="3" customHeight="1" s="227">
      <c r="A49" s="10" t="n"/>
      <c r="B49" s="3" t="n"/>
      <c r="C49" s="127" t="n"/>
      <c r="D49" s="127" t="n"/>
      <c r="E49" s="127" t="n"/>
      <c r="F49" s="127" t="n"/>
      <c r="G49" s="127" t="n"/>
      <c r="H49" s="127" t="n"/>
      <c r="I49" s="127" t="n"/>
      <c r="J49" s="143" t="n"/>
      <c r="K49" s="3" t="n"/>
      <c r="L49" s="127" t="n"/>
      <c r="M49" s="127" t="n"/>
      <c r="N49" s="127" t="n"/>
      <c r="O49" s="127" t="n"/>
      <c r="P49" s="127" t="n"/>
      <c r="Q49" s="127" t="n"/>
      <c r="R49" s="127" t="n"/>
      <c r="S49" s="143" t="n"/>
      <c r="T49" s="11" t="n"/>
      <c r="V49" s="54" t="n"/>
      <c r="W49" s="54" t="n"/>
      <c r="X49" s="54" t="n"/>
      <c r="Y49" s="54" t="n"/>
      <c r="Z49" s="54" t="n"/>
      <c r="AA49" s="54" t="n"/>
      <c r="AB49" s="54" t="n"/>
      <c r="AC49" s="54" t="n"/>
      <c r="AD49" s="54" t="n"/>
      <c r="AE49" s="54" t="n"/>
      <c r="AF49" s="54" t="n"/>
      <c r="AG49" s="54" t="n"/>
      <c r="AH49" s="54" t="n"/>
      <c r="AI49" s="54" t="n"/>
      <c r="AJ49" s="54" t="n"/>
      <c r="AK49" s="54" t="n"/>
      <c r="AL49" s="54" t="n"/>
      <c r="AM49" s="54" t="n"/>
      <c r="AN49" s="54" t="n"/>
    </row>
    <row r="50" ht="15" customHeight="1" s="227">
      <c r="A50" s="10" t="n"/>
      <c r="B50" s="376" t="inlineStr">
        <is>
          <t>L-1</t>
        </is>
      </c>
      <c r="C50" s="561" t="n"/>
      <c r="D50" s="99" t="n"/>
      <c r="E50" s="99" t="n"/>
      <c r="F50" s="562" t="inlineStr">
        <is>
          <t>kV</t>
        </is>
      </c>
      <c r="G50" s="563" t="n"/>
      <c r="H50" s="99" t="n"/>
      <c r="I50" s="564" t="inlineStr">
        <is>
          <t>GΩ</t>
        </is>
      </c>
      <c r="J50" s="565">
        <f>IF(G50&gt;50,1,0)</f>
        <v/>
      </c>
      <c r="K50" s="376" t="n"/>
      <c r="L50" s="99" t="n"/>
      <c r="M50" s="99" t="n"/>
      <c r="N50" s="482" t="n"/>
      <c r="O50" s="566" t="n"/>
      <c r="P50" s="99" t="n"/>
      <c r="Q50" s="99" t="n"/>
      <c r="R50" s="564" t="inlineStr">
        <is>
          <t>µΩ</t>
        </is>
      </c>
      <c r="S50" s="374">
        <f>IF(O50&lt;150,1,0)</f>
        <v/>
      </c>
      <c r="T50" s="69" t="n"/>
      <c r="V50" s="54" t="n"/>
      <c r="W50" s="54" t="n"/>
      <c r="X50" s="54" t="n"/>
      <c r="Y50" s="54" t="n"/>
      <c r="Z50" s="54" t="n"/>
      <c r="AA50" s="54" t="n"/>
      <c r="AB50" s="54" t="n"/>
      <c r="AC50" s="54" t="n"/>
      <c r="AD50" s="54" t="n"/>
      <c r="AE50" s="54" t="n"/>
      <c r="AF50" s="54" t="n"/>
      <c r="AG50" s="54" t="n"/>
      <c r="AH50" s="54" t="n"/>
      <c r="AI50" s="54" t="n"/>
      <c r="AJ50" s="54" t="n"/>
      <c r="AK50" s="54" t="n"/>
      <c r="AL50" s="54" t="n"/>
      <c r="AM50" s="54" t="n"/>
      <c r="AN50" s="54" t="n"/>
    </row>
    <row r="51" ht="3" customHeight="1" s="227">
      <c r="A51" s="10" t="n"/>
      <c r="B51" s="567" t="n"/>
      <c r="C51" s="27" t="n"/>
      <c r="D51" s="27" t="n"/>
      <c r="E51" s="27" t="n"/>
      <c r="F51" s="568" t="n"/>
      <c r="G51" s="569" t="n"/>
      <c r="H51" s="569" t="n"/>
      <c r="I51" s="27" t="n"/>
      <c r="J51" s="27" t="n"/>
      <c r="K51" s="27" t="n"/>
      <c r="L51" s="27" t="n"/>
      <c r="M51" s="27" t="n"/>
      <c r="N51" s="27" t="n"/>
      <c r="O51" s="570" t="n"/>
      <c r="P51" s="570" t="n"/>
      <c r="Q51" s="570" t="n"/>
      <c r="R51" s="27" t="n"/>
      <c r="S51" s="143" t="n"/>
      <c r="T51" s="11" t="n"/>
      <c r="V51" s="54" t="n"/>
      <c r="W51" s="54" t="n"/>
      <c r="X51" s="54" t="n"/>
      <c r="Y51" s="54" t="n"/>
      <c r="Z51" s="54" t="n"/>
      <c r="AA51" s="54" t="n"/>
      <c r="AB51" s="54" t="n"/>
      <c r="AC51" s="54" t="n"/>
      <c r="AD51" s="54" t="n"/>
      <c r="AE51" s="54" t="n"/>
      <c r="AF51" s="54" t="n"/>
      <c r="AG51" s="54" t="n"/>
      <c r="AH51" s="54" t="n"/>
      <c r="AI51" s="54" t="n"/>
      <c r="AJ51" s="54" t="n"/>
      <c r="AK51" s="54" t="n"/>
      <c r="AL51" s="54" t="n"/>
      <c r="AM51" s="54" t="n"/>
      <c r="AN51" s="54" t="n"/>
    </row>
    <row r="52" ht="15" customHeight="1" s="227">
      <c r="A52" s="10" t="n"/>
      <c r="B52" s="376" t="inlineStr">
        <is>
          <t>L-2</t>
        </is>
      </c>
      <c r="C52" s="561" t="n"/>
      <c r="D52" s="99" t="n"/>
      <c r="E52" s="99" t="n"/>
      <c r="F52" s="562" t="inlineStr">
        <is>
          <t>kV</t>
        </is>
      </c>
      <c r="G52" s="563" t="n"/>
      <c r="H52" s="99" t="n"/>
      <c r="I52" s="564" t="inlineStr">
        <is>
          <t>GΩ</t>
        </is>
      </c>
      <c r="J52" s="565">
        <f>IF(G52&gt;50,1,0)</f>
        <v/>
      </c>
      <c r="K52" s="376" t="n"/>
      <c r="L52" s="99" t="n"/>
      <c r="M52" s="99" t="n"/>
      <c r="N52" s="482" t="n"/>
      <c r="O52" s="571" t="n"/>
      <c r="P52" s="99" t="n"/>
      <c r="Q52" s="99" t="n"/>
      <c r="R52" s="564" t="inlineStr">
        <is>
          <t>µΩ</t>
        </is>
      </c>
      <c r="S52" s="374">
        <f>IF(O52&lt;150,1,0)</f>
        <v/>
      </c>
      <c r="T52" s="11" t="n"/>
      <c r="V52" s="54" t="n"/>
      <c r="W52" s="54" t="n"/>
      <c r="X52" s="54" t="n"/>
      <c r="Y52" s="54" t="n"/>
      <c r="Z52" s="54" t="n"/>
      <c r="AA52" s="54" t="n"/>
      <c r="AB52" s="54" t="n"/>
      <c r="AC52" s="54" t="n"/>
      <c r="AD52" s="54" t="n"/>
      <c r="AE52" s="54" t="n"/>
      <c r="AF52" s="54" t="n"/>
      <c r="AG52" s="54" t="n"/>
      <c r="AH52" s="54" t="n"/>
      <c r="AI52" s="54" t="n"/>
      <c r="AJ52" s="54" t="n"/>
      <c r="AK52" s="54" t="n"/>
      <c r="AL52" s="54" t="n"/>
      <c r="AM52" s="54" t="n"/>
      <c r="AN52" s="54" t="n"/>
    </row>
    <row r="53" ht="3" customHeight="1" s="227">
      <c r="A53" s="10" t="n"/>
      <c r="B53" s="567" t="n"/>
      <c r="C53" s="27" t="n"/>
      <c r="D53" s="27" t="n"/>
      <c r="E53" s="27" t="n"/>
      <c r="F53" s="568" t="n"/>
      <c r="G53" s="569" t="n"/>
      <c r="H53" s="569" t="n"/>
      <c r="I53" s="27" t="n"/>
      <c r="J53" s="27" t="n"/>
      <c r="K53" s="27" t="n"/>
      <c r="L53" s="27" t="n"/>
      <c r="M53" s="27" t="n"/>
      <c r="N53" s="27" t="n"/>
      <c r="O53" s="570" t="n"/>
      <c r="P53" s="570" t="n"/>
      <c r="Q53" s="570" t="n"/>
      <c r="R53" s="27" t="n"/>
      <c r="S53" s="143" t="n"/>
      <c r="T53" s="11" t="n"/>
      <c r="V53" s="54" t="n"/>
      <c r="W53" s="54" t="n"/>
      <c r="X53" s="54" t="n"/>
      <c r="Y53" s="54" t="n"/>
      <c r="Z53" s="54" t="n"/>
      <c r="AA53" s="54" t="n"/>
      <c r="AB53" s="54" t="n"/>
      <c r="AC53" s="54" t="n"/>
      <c r="AD53" s="54" t="n"/>
      <c r="AE53" s="54" t="n"/>
      <c r="AF53" s="54" t="n"/>
      <c r="AG53" s="54" t="n"/>
      <c r="AH53" s="54" t="n"/>
      <c r="AI53" s="54" t="n"/>
      <c r="AJ53" s="54" t="n"/>
      <c r="AK53" s="54" t="n"/>
      <c r="AL53" s="54" t="n"/>
      <c r="AM53" s="54" t="n"/>
      <c r="AN53" s="54" t="n"/>
    </row>
    <row r="54" ht="17.25" customHeight="1" s="227">
      <c r="A54" s="10" t="n"/>
      <c r="B54" s="376" t="inlineStr">
        <is>
          <t>L-3</t>
        </is>
      </c>
      <c r="C54" s="561" t="n"/>
      <c r="D54" s="99" t="n"/>
      <c r="E54" s="99" t="n"/>
      <c r="F54" s="562" t="inlineStr">
        <is>
          <t>kV</t>
        </is>
      </c>
      <c r="G54" s="563" t="n"/>
      <c r="H54" s="99" t="n"/>
      <c r="I54" s="564" t="inlineStr">
        <is>
          <t>GΩ</t>
        </is>
      </c>
      <c r="J54" s="565">
        <f>IF(G54&gt;50,1,0)</f>
        <v/>
      </c>
      <c r="K54" s="376" t="n"/>
      <c r="L54" s="99" t="n"/>
      <c r="M54" s="99" t="n"/>
      <c r="N54" s="482" t="n"/>
      <c r="O54" s="571" t="n"/>
      <c r="P54" s="99" t="n"/>
      <c r="Q54" s="99" t="n"/>
      <c r="R54" s="564" t="inlineStr">
        <is>
          <t>µΩ</t>
        </is>
      </c>
      <c r="S54" s="374">
        <f>IF(O54&lt;150,1,0)</f>
        <v/>
      </c>
      <c r="T54" s="69" t="n"/>
      <c r="V54" s="54" t="n"/>
      <c r="W54" s="54" t="n"/>
      <c r="X54" s="54" t="n"/>
      <c r="Y54" s="54" t="n"/>
      <c r="Z54" s="54" t="n"/>
      <c r="AA54" s="54" t="n"/>
      <c r="AB54" s="54" t="n"/>
      <c r="AC54" s="54" t="n"/>
      <c r="AD54" s="54" t="n"/>
      <c r="AE54" s="54" t="n"/>
      <c r="AF54" s="54" t="n"/>
      <c r="AG54" s="54" t="n"/>
      <c r="AH54" s="54" t="n"/>
      <c r="AI54" s="54" t="n"/>
      <c r="AJ54" s="54" t="n"/>
      <c r="AK54" s="54" t="n"/>
      <c r="AL54" s="54" t="n"/>
      <c r="AM54" s="54" t="n"/>
      <c r="AN54" s="54" t="n"/>
    </row>
    <row r="55" ht="3" customHeight="1" s="227">
      <c r="A55" s="10" t="n"/>
      <c r="B55" s="42" t="n"/>
      <c r="C55" s="43" t="n"/>
      <c r="D55" s="43" t="n"/>
      <c r="E55" s="43" t="n"/>
      <c r="F55" s="43" t="n"/>
      <c r="G55" s="43" t="n"/>
      <c r="H55" s="43" t="n"/>
      <c r="I55" s="43" t="n"/>
      <c r="J55" s="43" t="n"/>
      <c r="K55" s="315" t="n"/>
      <c r="L55" s="50" t="n"/>
      <c r="M55" s="50" t="n"/>
      <c r="N55" s="50" t="n"/>
      <c r="O55" s="50" t="n"/>
      <c r="P55" s="50" t="n"/>
      <c r="Q55" s="50" t="n"/>
      <c r="R55" s="50" t="n"/>
      <c r="S55" s="213" t="n"/>
      <c r="T55" s="11" t="n"/>
      <c r="V55" s="54" t="n"/>
      <c r="W55" s="54" t="n"/>
      <c r="X55" s="54" t="n"/>
      <c r="Y55" s="54" t="n"/>
      <c r="Z55" s="54" t="n"/>
      <c r="AA55" s="54" t="n"/>
      <c r="AB55" s="54" t="n"/>
      <c r="AC55" s="54" t="n"/>
      <c r="AD55" s="54" t="n"/>
      <c r="AE55" s="54" t="n"/>
      <c r="AF55" s="54" t="n"/>
      <c r="AG55" s="54" t="n"/>
      <c r="AH55" s="54" t="n"/>
      <c r="AI55" s="54" t="n"/>
      <c r="AJ55" s="54" t="n"/>
      <c r="AK55" s="54" t="n"/>
      <c r="AL55" s="54" t="n"/>
      <c r="AM55" s="54" t="n"/>
      <c r="AN55" s="54" t="n"/>
    </row>
    <row r="56" ht="15" customHeight="1" s="227">
      <c r="A56" s="10" t="n"/>
      <c r="B56" s="3" t="n"/>
      <c r="C56" s="127" t="n"/>
      <c r="D56" s="127" t="n"/>
      <c r="E56" s="127" t="n"/>
      <c r="F56" s="127" t="n"/>
      <c r="G56" s="127" t="n"/>
      <c r="H56" s="127" t="n"/>
      <c r="I56" s="127" t="n"/>
      <c r="J56" s="127" t="n"/>
      <c r="K56" s="127" t="n"/>
      <c r="L56" s="127" t="n"/>
      <c r="M56" s="127" t="n"/>
      <c r="N56" s="127" t="n"/>
      <c r="O56" s="127" t="n"/>
      <c r="P56" s="127" t="n"/>
      <c r="Q56" s="127" t="n"/>
      <c r="R56" s="127" t="n"/>
      <c r="S56" s="143" t="n"/>
      <c r="T56" s="11" t="n"/>
      <c r="V56" s="54" t="n"/>
      <c r="W56" s="54" t="n"/>
      <c r="X56" s="54" t="n"/>
      <c r="Y56" s="54" t="n"/>
      <c r="Z56" s="54" t="n"/>
      <c r="AA56" s="54" t="n"/>
      <c r="AB56" s="54" t="n"/>
      <c r="AC56" s="54" t="n"/>
      <c r="AD56" s="54" t="n"/>
      <c r="AE56" s="54" t="n"/>
      <c r="AF56" s="54" t="n"/>
      <c r="AG56" s="54" t="n"/>
      <c r="AH56" s="54" t="n"/>
      <c r="AI56" s="54" t="n"/>
      <c r="AJ56" s="54" t="n"/>
      <c r="AK56" s="54" t="n"/>
      <c r="AL56" s="54" t="n"/>
      <c r="AM56" s="54" t="n"/>
      <c r="AN56" s="54" t="n"/>
    </row>
    <row r="57" ht="15.75" customHeight="1" s="227">
      <c r="A57" s="10" t="n"/>
      <c r="B57" s="485" t="inlineStr">
        <is>
          <t>KESİCİ ACMA / KAPAMA ZAMANI</t>
        </is>
      </c>
      <c r="C57" s="99" t="n"/>
      <c r="D57" s="99" t="n"/>
      <c r="E57" s="99" t="n"/>
      <c r="F57" s="99" t="n"/>
      <c r="G57" s="99" t="n"/>
      <c r="H57" s="99" t="n"/>
      <c r="I57" s="99" t="n"/>
      <c r="J57" s="99" t="n"/>
      <c r="K57" s="99" t="n"/>
      <c r="L57" s="99" t="n"/>
      <c r="M57" s="99" t="n"/>
      <c r="N57" s="99" t="n"/>
      <c r="O57" s="99" t="n"/>
      <c r="P57" s="99" t="n"/>
      <c r="Q57" s="99" t="n"/>
      <c r="R57" s="99" t="n"/>
      <c r="S57" s="482" t="n"/>
      <c r="T57" s="11" t="n"/>
      <c r="V57" s="54" t="n"/>
      <c r="W57" s="54" t="n"/>
      <c r="X57" s="54" t="n"/>
      <c r="Y57" s="54" t="n"/>
      <c r="Z57" s="54" t="n"/>
      <c r="AA57" s="54" t="n"/>
      <c r="AB57" s="54" t="n"/>
      <c r="AC57" s="54" t="n"/>
      <c r="AD57" s="54" t="n"/>
      <c r="AE57" s="54" t="n"/>
      <c r="AF57" s="54" t="n"/>
      <c r="AG57" s="54" t="n"/>
      <c r="AH57" s="54" t="n"/>
      <c r="AI57" s="54" t="n"/>
      <c r="AJ57" s="54" t="n"/>
      <c r="AK57" s="54" t="n"/>
      <c r="AL57" s="54" t="n"/>
      <c r="AM57" s="54" t="n"/>
      <c r="AN57" s="54" t="n"/>
    </row>
    <row r="58" ht="3" customHeight="1" s="227">
      <c r="A58" s="10" t="n"/>
      <c r="B58" s="3" t="n"/>
      <c r="C58" s="127" t="n"/>
      <c r="D58" s="127" t="n"/>
      <c r="E58" s="127" t="n"/>
      <c r="F58" s="127" t="n"/>
      <c r="G58" s="23" t="n"/>
      <c r="H58" s="127" t="n"/>
      <c r="I58" s="127" t="n"/>
      <c r="J58" s="127" t="n"/>
      <c r="K58" s="127" t="n"/>
      <c r="L58" s="127" t="n"/>
      <c r="M58" s="127" t="n"/>
      <c r="N58" s="127" t="n"/>
      <c r="O58" s="127" t="n"/>
      <c r="P58" s="127" t="n"/>
      <c r="Q58" s="127" t="n"/>
      <c r="R58" s="127" t="n"/>
      <c r="S58" s="143" t="n"/>
      <c r="T58" s="11" t="n"/>
      <c r="V58" s="54" t="n"/>
      <c r="W58" s="54" t="n"/>
      <c r="X58" s="54" t="n"/>
      <c r="Y58" s="54" t="n"/>
      <c r="Z58" s="54" t="n"/>
      <c r="AA58" s="54" t="n"/>
      <c r="AB58" s="54" t="n"/>
      <c r="AC58" s="54" t="n"/>
      <c r="AD58" s="54" t="n"/>
      <c r="AE58" s="54" t="n"/>
      <c r="AF58" s="54" t="n"/>
      <c r="AG58" s="54" t="n"/>
      <c r="AH58" s="54" t="n"/>
      <c r="AI58" s="54" t="n"/>
      <c r="AJ58" s="54" t="n"/>
      <c r="AK58" s="54" t="n"/>
      <c r="AL58" s="54" t="n"/>
      <c r="AM58" s="54" t="n"/>
      <c r="AN58" s="54" t="n"/>
    </row>
    <row r="59" ht="15" customHeight="1" s="227">
      <c r="A59" s="10" t="n"/>
      <c r="B59" s="46" t="n"/>
      <c r="C59" s="504" t="inlineStr">
        <is>
          <t>KESİCİ AÇMA</t>
        </is>
      </c>
      <c r="D59" s="99" t="n"/>
      <c r="E59" s="482" t="n"/>
      <c r="F59" s="504" t="inlineStr">
        <is>
          <t>EŞ ZAMAN FARKI</t>
        </is>
      </c>
      <c r="G59" s="99" t="n"/>
      <c r="H59" s="99" t="n"/>
      <c r="I59" s="482" t="n"/>
      <c r="J59" s="504" t="inlineStr">
        <is>
          <t>KESİCİ KAPAMA</t>
        </is>
      </c>
      <c r="K59" s="99" t="n"/>
      <c r="L59" s="482" t="n"/>
      <c r="M59" s="504" t="inlineStr">
        <is>
          <t>EŞ ZAMAN FARKI</t>
        </is>
      </c>
      <c r="N59" s="99" t="n"/>
      <c r="O59" s="99" t="n"/>
      <c r="P59" s="482" t="n"/>
      <c r="Q59" s="504" t="inlineStr">
        <is>
          <t>SONUÇ</t>
        </is>
      </c>
      <c r="R59" s="99" t="n"/>
      <c r="S59" s="482" t="n"/>
      <c r="T59" s="11" t="n"/>
      <c r="V59" s="54" t="n"/>
      <c r="W59" s="54" t="n"/>
      <c r="X59" s="54" t="n"/>
      <c r="Y59" s="54" t="n"/>
      <c r="Z59" s="54" t="n"/>
      <c r="AA59" s="54" t="n"/>
      <c r="AB59" s="54" t="n"/>
      <c r="AC59" s="54" t="n"/>
      <c r="AD59" s="54" t="n"/>
      <c r="AE59" s="54" t="n"/>
      <c r="AF59" s="54" t="n"/>
      <c r="AG59" s="54" t="n"/>
      <c r="AH59" s="54" t="n"/>
      <c r="AI59" s="54" t="n"/>
      <c r="AJ59" s="54" t="n"/>
      <c r="AK59" s="54" t="n"/>
      <c r="AL59" s="54" t="n"/>
      <c r="AM59" s="54" t="n"/>
      <c r="AN59" s="54" t="n"/>
    </row>
    <row r="60" ht="3" customHeight="1" s="227">
      <c r="A60" s="10" t="n"/>
      <c r="B60" s="62" t="n"/>
      <c r="S60" s="212" t="n"/>
      <c r="T60" s="11" t="n"/>
      <c r="V60" s="54" t="n"/>
      <c r="W60" s="54" t="n"/>
      <c r="X60" s="54" t="n"/>
      <c r="Y60" s="54" t="n"/>
      <c r="Z60" s="54" t="n"/>
      <c r="AA60" s="54" t="n"/>
      <c r="AB60" s="54" t="n"/>
      <c r="AC60" s="54" t="n"/>
      <c r="AD60" s="54" t="n"/>
      <c r="AE60" s="54" t="n"/>
      <c r="AF60" s="54" t="n"/>
      <c r="AG60" s="54" t="n"/>
      <c r="AH60" s="54" t="n"/>
      <c r="AI60" s="54" t="n"/>
      <c r="AJ60" s="54" t="n"/>
      <c r="AK60" s="54" t="n"/>
      <c r="AL60" s="54" t="n"/>
      <c r="AM60" s="54" t="n"/>
      <c r="AN60" s="54" t="n"/>
    </row>
    <row r="61" ht="15" customHeight="1" s="227">
      <c r="A61" s="10" t="n"/>
      <c r="B61" s="504" t="inlineStr">
        <is>
          <t>L-1</t>
        </is>
      </c>
      <c r="C61" s="572" t="n"/>
      <c r="D61" s="99" t="n"/>
      <c r="E61" s="482" t="inlineStr">
        <is>
          <t>ms</t>
        </is>
      </c>
      <c r="F61" s="527">
        <f>MAX(V80:V85)</f>
        <v/>
      </c>
      <c r="G61" s="99" t="n"/>
      <c r="H61" s="398" t="inlineStr">
        <is>
          <t>ms</t>
        </is>
      </c>
      <c r="I61" s="482" t="n"/>
      <c r="J61" s="572" t="n"/>
      <c r="K61" s="99" t="n"/>
      <c r="L61" s="482" t="inlineStr">
        <is>
          <t>ms</t>
        </is>
      </c>
      <c r="M61" s="527">
        <f>MAX(X80:X85)</f>
        <v/>
      </c>
      <c r="N61" s="99" t="n"/>
      <c r="O61" s="398" t="inlineStr">
        <is>
          <t>ms</t>
        </is>
      </c>
      <c r="P61" s="482" t="n"/>
      <c r="Q61" s="573" t="n"/>
      <c r="R61" s="99" t="n"/>
      <c r="S61" s="482" t="n"/>
      <c r="T61" s="11" t="n"/>
      <c r="V61" s="54" t="n"/>
      <c r="W61" s="54" t="n"/>
      <c r="X61" s="54" t="n"/>
      <c r="Y61" s="54" t="n"/>
      <c r="Z61" s="54" t="n"/>
      <c r="AA61" s="54" t="n"/>
      <c r="AB61" s="54" t="n"/>
      <c r="AC61" s="54" t="n"/>
      <c r="AD61" s="54" t="n"/>
      <c r="AE61" s="54" t="n"/>
      <c r="AF61" s="54" t="n"/>
      <c r="AG61" s="54" t="n"/>
      <c r="AH61" s="54" t="n"/>
      <c r="AI61" s="54" t="n"/>
      <c r="AJ61" s="54" t="n"/>
      <c r="AK61" s="54" t="n"/>
      <c r="AL61" s="54" t="n"/>
      <c r="AM61" s="54" t="n"/>
      <c r="AN61" s="54" t="n"/>
    </row>
    <row r="62" ht="3" customHeight="1" s="227">
      <c r="A62" s="10" t="n"/>
      <c r="B62" s="574" t="n"/>
      <c r="C62" s="575" t="n"/>
      <c r="D62" s="575" t="n"/>
      <c r="F62" s="3" t="n"/>
      <c r="G62" s="127" t="n"/>
      <c r="H62" s="127" t="n"/>
      <c r="I62" s="143" t="n"/>
      <c r="J62" s="575" t="n"/>
      <c r="K62" s="575" t="n"/>
      <c r="M62" s="3" t="n"/>
      <c r="N62" s="127" t="n"/>
      <c r="O62" s="127" t="n"/>
      <c r="P62" s="143" t="n"/>
      <c r="S62" s="212" t="n"/>
      <c r="T62" s="11" t="n"/>
      <c r="V62" s="54" t="n"/>
      <c r="W62" s="54" t="n"/>
      <c r="X62" s="54" t="n"/>
      <c r="Y62" s="54" t="n"/>
      <c r="Z62" s="54" t="n"/>
      <c r="AA62" s="54" t="n"/>
      <c r="AB62" s="54" t="n"/>
      <c r="AC62" s="54" t="n"/>
      <c r="AD62" s="54" t="n"/>
      <c r="AE62" s="54" t="n"/>
      <c r="AF62" s="54" t="n"/>
      <c r="AG62" s="54" t="n"/>
      <c r="AH62" s="54" t="n"/>
      <c r="AI62" s="54" t="n"/>
      <c r="AJ62" s="54" t="n"/>
      <c r="AK62" s="54" t="n"/>
      <c r="AL62" s="54" t="n"/>
      <c r="AM62" s="54" t="n"/>
      <c r="AN62" s="54" t="n"/>
    </row>
    <row r="63" ht="15.75" customHeight="1" s="227">
      <c r="A63" s="10" t="n"/>
      <c r="B63" s="504" t="inlineStr">
        <is>
          <t>L-2</t>
        </is>
      </c>
      <c r="C63" s="572" t="n"/>
      <c r="D63" s="99" t="n"/>
      <c r="E63" s="482" t="inlineStr">
        <is>
          <t>ms</t>
        </is>
      </c>
      <c r="F63" s="374" t="inlineStr">
        <is>
          <t>BOBİN AKIMI</t>
        </is>
      </c>
      <c r="G63" s="99" t="n"/>
      <c r="H63" s="99" t="n"/>
      <c r="I63" s="482" t="n"/>
      <c r="J63" s="572" t="n"/>
      <c r="K63" s="99" t="n"/>
      <c r="L63" s="482" t="inlineStr">
        <is>
          <t>ms</t>
        </is>
      </c>
      <c r="M63" s="374" t="inlineStr">
        <is>
          <t>BOBİN AKIMI</t>
        </is>
      </c>
      <c r="N63" s="99" t="n"/>
      <c r="O63" s="99" t="n"/>
      <c r="P63" s="482" t="n"/>
      <c r="Q63" s="573" t="n"/>
      <c r="R63" s="99" t="n"/>
      <c r="S63" s="482" t="n"/>
      <c r="T63" s="11" t="n"/>
      <c r="V63" s="54" t="n"/>
      <c r="W63" s="54" t="n"/>
      <c r="X63" s="54" t="n"/>
      <c r="Y63" s="54" t="n"/>
      <c r="Z63" s="54" t="n"/>
      <c r="AA63" s="54" t="n"/>
      <c r="AB63" s="54" t="n"/>
      <c r="AC63" s="54" t="n"/>
      <c r="AD63" s="54" t="n"/>
      <c r="AE63" s="54" t="n"/>
      <c r="AF63" s="54" t="n"/>
      <c r="AG63" s="54" t="n"/>
      <c r="AH63" s="54" t="n"/>
      <c r="AI63" s="54" t="n"/>
      <c r="AJ63" s="54" t="n"/>
      <c r="AK63" s="54" t="n"/>
      <c r="AL63" s="54" t="n"/>
      <c r="AM63" s="54" t="n"/>
      <c r="AN63" s="54" t="n"/>
    </row>
    <row r="64" ht="3" customHeight="1" s="227">
      <c r="A64" s="10" t="n"/>
      <c r="B64" s="574" t="n"/>
      <c r="C64" s="575" t="n"/>
      <c r="D64" s="575" t="n"/>
      <c r="F64" s="3" t="n"/>
      <c r="G64" s="127" t="n"/>
      <c r="H64" s="127" t="n"/>
      <c r="I64" s="143" t="n"/>
      <c r="J64" s="575" t="n"/>
      <c r="K64" s="575" t="n"/>
      <c r="M64" s="3" t="n"/>
      <c r="N64" s="127" t="n"/>
      <c r="O64" s="127" t="n"/>
      <c r="P64" s="143" t="n"/>
      <c r="S64" s="212" t="n"/>
      <c r="T64" s="11" t="n"/>
    </row>
    <row r="65" ht="15" customHeight="1" s="227">
      <c r="A65" s="10" t="n"/>
      <c r="B65" s="504" t="inlineStr">
        <is>
          <t>L-3</t>
        </is>
      </c>
      <c r="C65" s="572" t="n"/>
      <c r="D65" s="99" t="n"/>
      <c r="E65" s="482" t="inlineStr">
        <is>
          <t>ms</t>
        </is>
      </c>
      <c r="F65" s="576" t="n"/>
      <c r="G65" s="99" t="n"/>
      <c r="H65" s="398" t="inlineStr">
        <is>
          <t>A</t>
        </is>
      </c>
      <c r="I65" s="482" t="n"/>
      <c r="J65" s="572" t="n"/>
      <c r="K65" s="99" t="n"/>
      <c r="L65" s="482" t="inlineStr">
        <is>
          <t>ms</t>
        </is>
      </c>
      <c r="M65" s="576" t="n"/>
      <c r="N65" s="99" t="n"/>
      <c r="O65" s="398" t="inlineStr">
        <is>
          <t>A</t>
        </is>
      </c>
      <c r="P65" s="482" t="n"/>
      <c r="Q65" s="573" t="n"/>
      <c r="R65" s="99" t="n"/>
      <c r="S65" s="482" t="n"/>
      <c r="T65" s="11" t="n"/>
    </row>
    <row r="66" ht="3" customHeight="1" s="227">
      <c r="A66" s="10" t="n"/>
      <c r="B66" s="577" t="n"/>
      <c r="C66" s="578" t="n"/>
      <c r="D66" s="578" t="n"/>
      <c r="E66" s="43" t="n"/>
      <c r="F66" s="43" t="n"/>
      <c r="G66" s="43" t="n"/>
      <c r="H66" s="43" t="n"/>
      <c r="I66" s="43" t="n"/>
      <c r="J66" s="43" t="n"/>
      <c r="K66" s="43" t="n"/>
      <c r="L66" s="43" t="n"/>
      <c r="M66" s="43" t="n"/>
      <c r="N66" s="43" t="n"/>
      <c r="O66" s="50" t="n"/>
      <c r="P66" s="78" t="n"/>
      <c r="Q66" s="311" t="n"/>
      <c r="R66" s="311" t="n"/>
      <c r="S66" s="312" t="n"/>
      <c r="T66" s="11" t="n"/>
    </row>
    <row r="67" ht="15" customHeight="1" s="227">
      <c r="A67" s="10" t="n"/>
      <c r="B67" s="397" t="n"/>
      <c r="C67" s="579" t="n"/>
      <c r="D67" s="579" t="n"/>
      <c r="E67" s="579" t="n"/>
      <c r="F67" s="579" t="n"/>
      <c r="G67" s="579" t="n"/>
      <c r="H67" s="579" t="n"/>
      <c r="I67" s="579" t="n"/>
      <c r="J67" s="579" t="n"/>
      <c r="K67" s="579" t="n"/>
      <c r="L67" s="579" t="n"/>
      <c r="M67" s="579" t="n"/>
      <c r="N67" s="579" t="n"/>
      <c r="O67" s="579" t="n"/>
      <c r="P67" s="579" t="n"/>
      <c r="Q67" s="579" t="n"/>
      <c r="R67" s="579" t="n"/>
      <c r="S67" s="398" t="n"/>
      <c r="T67" s="11" t="n"/>
    </row>
    <row r="68" ht="15.75" customHeight="1" s="227">
      <c r="A68" s="10" t="n"/>
      <c r="B68" s="580" t="inlineStr">
        <is>
          <t>Sonuç :</t>
        </is>
      </c>
      <c r="C68" s="581" t="n"/>
      <c r="D68" s="582" t="inlineStr">
        <is>
          <t xml:space="preserve">Yapılan ölçümlerde kesicinin test değerleri uygun bulundu. Kesicinin ve hücrenin </t>
        </is>
      </c>
      <c r="E68" s="90" t="n"/>
      <c r="F68" s="90" t="n"/>
      <c r="G68" s="90" t="n"/>
      <c r="H68" s="90" t="n"/>
      <c r="I68" s="90" t="n"/>
      <c r="J68" s="90" t="n"/>
      <c r="K68" s="90" t="n"/>
      <c r="L68" s="90" t="n"/>
      <c r="M68" s="90" t="n"/>
      <c r="N68" s="90" t="n"/>
      <c r="O68" s="90" t="n"/>
      <c r="P68" s="90" t="n"/>
      <c r="Q68" s="90" t="n"/>
      <c r="R68" s="90" t="n"/>
      <c r="S68" s="137" t="n"/>
      <c r="T68" s="11" t="n"/>
    </row>
    <row r="69" ht="15" customHeight="1" s="227">
      <c r="A69" s="10" t="n"/>
      <c r="B69" s="583" t="inlineStr">
        <is>
          <t>temizliği yapıldı.</t>
        </is>
      </c>
      <c r="C69" s="486" t="n"/>
      <c r="D69" s="486" t="n"/>
      <c r="E69" s="486" t="n"/>
      <c r="F69" s="486" t="n"/>
      <c r="G69" s="486" t="n"/>
      <c r="H69" s="486" t="n"/>
      <c r="I69" s="486" t="n"/>
      <c r="J69" s="486" t="n"/>
      <c r="K69" s="486" t="n"/>
      <c r="L69" s="486" t="n"/>
      <c r="M69" s="486" t="n"/>
      <c r="N69" s="486" t="n"/>
      <c r="O69" s="486" t="n"/>
      <c r="P69" s="486" t="n"/>
      <c r="Q69" s="486" t="n"/>
      <c r="R69" s="486" t="n"/>
      <c r="S69" s="487" t="n"/>
      <c r="T69" s="11" t="n"/>
    </row>
    <row r="70" ht="15.75" customHeight="1" s="227">
      <c r="A70" s="10" t="n"/>
      <c r="B70" s="584" t="n"/>
      <c r="C70" s="585" t="n"/>
      <c r="D70" s="585" t="n"/>
      <c r="E70" s="585" t="n"/>
      <c r="F70" s="585" t="n"/>
      <c r="G70" s="585" t="n"/>
      <c r="H70" s="585" t="n"/>
      <c r="I70" s="585" t="n"/>
      <c r="J70" s="585" t="n"/>
      <c r="K70" s="585" t="n"/>
      <c r="L70" s="585" t="n"/>
      <c r="M70" s="585" t="n"/>
      <c r="N70" s="585" t="n"/>
      <c r="O70" s="585" t="n"/>
      <c r="P70" s="585" t="n"/>
      <c r="Q70" s="585" t="n"/>
      <c r="R70" s="585" t="n"/>
      <c r="S70" s="586" t="n"/>
      <c r="T70" s="11" t="n"/>
    </row>
    <row r="71" ht="15.75" customHeight="1" s="227">
      <c r="A71" s="10" t="n"/>
      <c r="B71" s="584" t="n"/>
      <c r="C71" s="585" t="n"/>
      <c r="D71" s="585" t="n"/>
      <c r="E71" s="585" t="n"/>
      <c r="F71" s="585" t="n"/>
      <c r="G71" s="585" t="n"/>
      <c r="H71" s="585" t="n"/>
      <c r="I71" s="585" t="n"/>
      <c r="J71" s="585" t="n"/>
      <c r="K71" s="585" t="n"/>
      <c r="L71" s="585" t="n"/>
      <c r="M71" s="585" t="n"/>
      <c r="N71" s="585" t="n"/>
      <c r="O71" s="585" t="n"/>
      <c r="P71" s="585" t="n"/>
      <c r="Q71" s="585" t="n"/>
      <c r="R71" s="585" t="n"/>
      <c r="S71" s="586" t="n"/>
      <c r="T71" s="11" t="n"/>
    </row>
    <row r="72" ht="15.75" customHeight="1" s="227">
      <c r="A72" s="10" t="n"/>
      <c r="B72" s="587" t="n"/>
      <c r="C72" s="588" t="n"/>
      <c r="D72" s="588" t="n"/>
      <c r="E72" s="588" t="n"/>
      <c r="F72" s="588" t="n"/>
      <c r="G72" s="588" t="n"/>
      <c r="H72" s="588" t="n"/>
      <c r="I72" s="588" t="n"/>
      <c r="J72" s="588" t="n"/>
      <c r="K72" s="588" t="n"/>
      <c r="L72" s="588" t="n"/>
      <c r="M72" s="588" t="n"/>
      <c r="N72" s="588" t="n"/>
      <c r="O72" s="588" t="n"/>
      <c r="P72" s="588" t="n"/>
      <c r="Q72" s="588" t="n"/>
      <c r="R72" s="588" t="n"/>
      <c r="S72" s="589" t="n"/>
      <c r="T72" s="11" t="n"/>
    </row>
    <row r="73" ht="4.5" customHeight="1" s="227">
      <c r="A73" s="10" t="n"/>
      <c r="B73" s="590" t="n"/>
      <c r="C73" s="50" t="n"/>
      <c r="D73" s="50" t="n"/>
      <c r="E73" s="50" t="n"/>
      <c r="F73" s="50" t="n"/>
      <c r="G73" s="50" t="n"/>
      <c r="H73" s="50" t="n"/>
      <c r="I73" s="50" t="n"/>
      <c r="J73" s="50" t="n"/>
      <c r="K73" s="50" t="n"/>
      <c r="L73" s="50" t="n"/>
      <c r="M73" s="50" t="n"/>
      <c r="N73" s="50" t="n"/>
      <c r="O73" s="50" t="n"/>
      <c r="P73" s="50" t="n"/>
      <c r="Q73" s="50" t="n"/>
      <c r="R73" s="50" t="n"/>
      <c r="S73" s="213" t="n"/>
      <c r="T73" s="11" t="n"/>
    </row>
    <row r="74" ht="13.5" customHeight="1" s="227">
      <c r="A74" s="10" t="n"/>
      <c r="B74" s="591" t="inlineStr">
        <is>
          <t>Rapor Tarihi</t>
        </is>
      </c>
      <c r="C74" s="47" t="n"/>
      <c r="D74" s="47" t="n"/>
      <c r="E74" s="27" t="inlineStr">
        <is>
          <t>:</t>
        </is>
      </c>
      <c r="F74" s="592">
        <f>'ANA SAYFA'!F78</f>
        <v/>
      </c>
      <c r="G74" s="47" t="n"/>
      <c r="H74" s="47" t="n"/>
      <c r="I74" s="47" t="n"/>
      <c r="J74" s="211" t="n"/>
      <c r="K74" s="440" t="inlineStr">
        <is>
          <t>ONAYLAYAN</t>
        </is>
      </c>
      <c r="L74" s="99" t="n"/>
      <c r="M74" s="99" t="n"/>
      <c r="N74" s="99" t="n"/>
      <c r="O74" s="99" t="n"/>
      <c r="P74" s="99" t="n"/>
      <c r="Q74" s="99" t="n"/>
      <c r="R74" s="99" t="n"/>
      <c r="S74" s="482" t="n"/>
      <c r="T74" s="11" t="n"/>
    </row>
    <row r="75" ht="13.5" customHeight="1" s="227">
      <c r="A75" s="10" t="n"/>
      <c r="B75" s="267" t="inlineStr">
        <is>
          <t>Test Tarihi</t>
        </is>
      </c>
      <c r="E75" s="27" t="inlineStr">
        <is>
          <t>:</t>
        </is>
      </c>
      <c r="F75" s="593">
        <f>'ANA SAYFA'!F79</f>
        <v/>
      </c>
      <c r="J75" s="212" t="n"/>
      <c r="K75" s="161" t="n"/>
      <c r="L75" s="162" t="n"/>
      <c r="M75" s="27" t="n"/>
      <c r="N75" s="594" t="n"/>
      <c r="O75" s="594" t="n"/>
      <c r="P75" s="594" t="n"/>
      <c r="Q75" s="594" t="n"/>
      <c r="R75" s="594" t="n"/>
      <c r="S75" s="595" t="n"/>
      <c r="T75" s="11" t="n"/>
    </row>
    <row r="76" ht="13.5" customHeight="1" s="227">
      <c r="A76" s="10" t="n"/>
      <c r="B76" s="267" t="inlineStr">
        <is>
          <t>Unvan</t>
        </is>
      </c>
      <c r="E76" s="27" t="inlineStr">
        <is>
          <t>:</t>
        </is>
      </c>
      <c r="F76" s="596" t="inlineStr">
        <is>
          <t>Elektrik Mühendisi</t>
        </is>
      </c>
      <c r="J76" s="212" t="n"/>
      <c r="K76" s="161" t="n"/>
      <c r="L76" s="162" t="n"/>
      <c r="M76" s="27" t="n"/>
      <c r="N76" s="27" t="n"/>
      <c r="O76" s="27" t="n"/>
      <c r="P76" s="27" t="n"/>
      <c r="Q76" s="27" t="n"/>
      <c r="R76" s="27" t="n"/>
      <c r="S76" s="597" t="n"/>
      <c r="T76" s="11" t="n"/>
    </row>
    <row r="77" ht="13.5" customHeight="1" s="227">
      <c r="A77" s="10" t="n"/>
      <c r="B77" s="267" t="inlineStr">
        <is>
          <t>Sicil No</t>
        </is>
      </c>
      <c r="E77" s="27" t="inlineStr">
        <is>
          <t>:</t>
        </is>
      </c>
      <c r="F77" s="596" t="n"/>
      <c r="J77" s="212" t="n"/>
      <c r="K77" s="267" t="n"/>
      <c r="L77" s="277" t="n"/>
      <c r="M77" s="27" t="n"/>
      <c r="N77" s="598" t="n"/>
      <c r="O77" s="598" t="n"/>
      <c r="P77" s="598" t="n"/>
      <c r="Q77" s="598" t="n"/>
      <c r="R77" s="598" t="n"/>
      <c r="S77" s="596" t="n"/>
      <c r="T77" s="11" t="n"/>
    </row>
    <row r="78" ht="13.5" customHeight="1" s="227">
      <c r="A78" s="10" t="n"/>
      <c r="B78" s="163" t="inlineStr">
        <is>
          <t>Ekipnet No</t>
        </is>
      </c>
      <c r="C78" s="50" t="n"/>
      <c r="D78" s="50" t="n"/>
      <c r="E78" s="599" t="inlineStr">
        <is>
          <t>:</t>
        </is>
      </c>
      <c r="F78" s="600" t="n"/>
      <c r="G78" s="50" t="n"/>
      <c r="H78" s="50" t="n"/>
      <c r="I78" s="50" t="n"/>
      <c r="J78" s="213" t="n"/>
      <c r="K78" s="163" t="n"/>
      <c r="L78" s="164" t="n"/>
      <c r="M78" s="599" t="n"/>
      <c r="N78" s="601" t="n"/>
      <c r="O78" s="601" t="n"/>
      <c r="P78" s="601" t="n"/>
      <c r="Q78" s="601" t="n"/>
      <c r="R78" s="601" t="n"/>
      <c r="S78" s="600" t="n"/>
      <c r="T78" s="11" t="n"/>
    </row>
    <row r="79" ht="6" customHeight="1" s="227">
      <c r="A79" s="15" t="n"/>
      <c r="B79" s="16" t="n"/>
      <c r="C79" s="16" t="n"/>
      <c r="D79" s="16" t="n"/>
      <c r="E79" s="16" t="n"/>
      <c r="F79" s="16" t="n"/>
      <c r="G79" s="16" t="n"/>
      <c r="H79" s="16" t="n"/>
      <c r="I79" s="16" t="n"/>
      <c r="J79" s="16" t="n"/>
      <c r="K79" s="16" t="n"/>
      <c r="L79" s="16" t="n"/>
      <c r="M79" s="16" t="n"/>
      <c r="N79" s="16" t="n"/>
      <c r="O79" s="16" t="n"/>
      <c r="P79" s="16" t="n"/>
      <c r="Q79" s="16" t="n"/>
      <c r="R79" s="16" t="n"/>
      <c r="S79" s="16" t="n"/>
      <c r="T79" s="17" t="n"/>
    </row>
    <row r="80" ht="15" customHeight="1" s="227">
      <c r="V80" s="602">
        <f>C61-C63</f>
        <v/>
      </c>
      <c r="X80" s="603">
        <f>J61-J63</f>
        <v/>
      </c>
    </row>
    <row r="81" ht="15" customHeight="1" s="227">
      <c r="V81" s="602">
        <f>C61-C65</f>
        <v/>
      </c>
      <c r="X81" s="603">
        <f>J61-J65</f>
        <v/>
      </c>
    </row>
    <row r="82" ht="15" customHeight="1" s="227">
      <c r="V82" s="602">
        <f>C63-C65</f>
        <v/>
      </c>
      <c r="X82" s="603">
        <f>J63-J65</f>
        <v/>
      </c>
    </row>
    <row r="83" ht="15" customHeight="1" s="227">
      <c r="V83" s="602">
        <f>C63-C61</f>
        <v/>
      </c>
      <c r="X83" s="603">
        <f>J63-J61</f>
        <v/>
      </c>
    </row>
    <row r="84" ht="15" customHeight="1" s="227">
      <c r="V84" s="602">
        <f>C65-C61</f>
        <v/>
      </c>
      <c r="X84" s="603">
        <f>J65-J61</f>
        <v/>
      </c>
    </row>
    <row r="85" ht="15" customHeight="1" s="227">
      <c r="V85" s="602">
        <f>C65-C63</f>
        <v/>
      </c>
      <c r="X85" s="603">
        <f>J65-J63</f>
        <v/>
      </c>
      <c r="AA85" s="603" t="n"/>
    </row>
  </sheetData>
  <mergeCells count="103">
    <mergeCell ref="B21:S21"/>
    <mergeCell ref="K48:N48"/>
    <mergeCell ref="F74:J74"/>
    <mergeCell ref="C63:D63"/>
    <mergeCell ref="K5:S6"/>
    <mergeCell ref="F76:J76"/>
    <mergeCell ref="M59:P59"/>
    <mergeCell ref="K24:N24"/>
    <mergeCell ref="K17:M17"/>
    <mergeCell ref="F75:J75"/>
    <mergeCell ref="K26:N26"/>
    <mergeCell ref="P32:Q32"/>
    <mergeCell ref="F59:I59"/>
    <mergeCell ref="H65:I65"/>
    <mergeCell ref="H5:J7"/>
    <mergeCell ref="B13:E13"/>
    <mergeCell ref="P24:Q24"/>
    <mergeCell ref="K55:S55"/>
    <mergeCell ref="K11:M11"/>
    <mergeCell ref="P26:Q26"/>
    <mergeCell ref="F78:J78"/>
    <mergeCell ref="C59:E59"/>
    <mergeCell ref="O50:Q50"/>
    <mergeCell ref="B32:E32"/>
    <mergeCell ref="B26:E26"/>
    <mergeCell ref="Q59:S59"/>
    <mergeCell ref="B69:S69"/>
    <mergeCell ref="C52:E52"/>
    <mergeCell ref="O65:P65"/>
    <mergeCell ref="O52:Q52"/>
    <mergeCell ref="B74:D74"/>
    <mergeCell ref="Q61:S61"/>
    <mergeCell ref="F63:I63"/>
    <mergeCell ref="M65:N65"/>
    <mergeCell ref="B76:D76"/>
    <mergeCell ref="G48:J48"/>
    <mergeCell ref="G24:H24"/>
    <mergeCell ref="H2:J3"/>
    <mergeCell ref="B11:E11"/>
    <mergeCell ref="P28:Q28"/>
    <mergeCell ref="B75:D75"/>
    <mergeCell ref="K32:N32"/>
    <mergeCell ref="K74:S74"/>
    <mergeCell ref="F61:G61"/>
    <mergeCell ref="K50:N50"/>
    <mergeCell ref="F77:J77"/>
    <mergeCell ref="O48:S48"/>
    <mergeCell ref="P30:Q30"/>
    <mergeCell ref="K52:N52"/>
    <mergeCell ref="J61:K61"/>
    <mergeCell ref="B71:S71"/>
    <mergeCell ref="O13:S13"/>
    <mergeCell ref="C50:E50"/>
    <mergeCell ref="Q63:S63"/>
    <mergeCell ref="O15:S15"/>
    <mergeCell ref="K46:S46"/>
    <mergeCell ref="B15:E15"/>
    <mergeCell ref="B24:E24"/>
    <mergeCell ref="B78:D78"/>
    <mergeCell ref="B57:S57"/>
    <mergeCell ref="M63:P63"/>
    <mergeCell ref="K28:N28"/>
    <mergeCell ref="C65:D65"/>
    <mergeCell ref="J65:K65"/>
    <mergeCell ref="K30:N30"/>
    <mergeCell ref="B9:S9"/>
    <mergeCell ref="G11:J11"/>
    <mergeCell ref="K54:N54"/>
    <mergeCell ref="K13:M13"/>
    <mergeCell ref="C61:D61"/>
    <mergeCell ref="O61:P61"/>
    <mergeCell ref="K15:M15"/>
    <mergeCell ref="B17:E17"/>
    <mergeCell ref="G13:J13"/>
    <mergeCell ref="K2:S3"/>
    <mergeCell ref="G54:H54"/>
    <mergeCell ref="B46:J46"/>
    <mergeCell ref="G32:H32"/>
    <mergeCell ref="J59:L59"/>
    <mergeCell ref="G50:H50"/>
    <mergeCell ref="G15:J15"/>
    <mergeCell ref="B77:D77"/>
    <mergeCell ref="B28:E28"/>
    <mergeCell ref="C54:E54"/>
    <mergeCell ref="B70:S70"/>
    <mergeCell ref="C48:F48"/>
    <mergeCell ref="G52:H52"/>
    <mergeCell ref="O54:Q54"/>
    <mergeCell ref="F65:G65"/>
    <mergeCell ref="B30:E30"/>
    <mergeCell ref="B35:S43"/>
    <mergeCell ref="D68:S68"/>
    <mergeCell ref="B73:S73"/>
    <mergeCell ref="Q65:S65"/>
    <mergeCell ref="G28:H28"/>
    <mergeCell ref="H61:I61"/>
    <mergeCell ref="G17:J17"/>
    <mergeCell ref="G30:H30"/>
    <mergeCell ref="J63:K63"/>
    <mergeCell ref="V45:W45"/>
    <mergeCell ref="M61:N61"/>
    <mergeCell ref="O17:S17"/>
    <mergeCell ref="O11:S11"/>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AF54"/>
  <sheetViews>
    <sheetView zoomScale="82" zoomScaleNormal="82" workbookViewId="0">
      <selection activeCell="A1" sqref="A1"/>
    </sheetView>
  </sheetViews>
  <sheetFormatPr baseColWidth="8" defaultRowHeight="15"/>
  <cols>
    <col width="3.5546875" customWidth="1" style="227" min="1" max="1"/>
    <col width="5.44140625" customWidth="1" style="227" min="2" max="2"/>
    <col width="4.88671875" customWidth="1" style="227" min="16" max="16"/>
    <col width="4.5546875" customWidth="1" style="227" min="17" max="17"/>
    <col width="3.5546875" customWidth="1" style="227" min="18" max="18"/>
    <col width="9.109375" customWidth="1" style="227" min="19" max="19"/>
  </cols>
  <sheetData>
    <row r="1" ht="1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604" t="inlineStr">
        <is>
          <t xml:space="preserve">  ŞALT SAHASI          </t>
        </is>
      </c>
      <c r="H2" s="47" t="n"/>
      <c r="I2" s="47" t="n"/>
      <c r="J2" s="151" t="inlineStr">
        <is>
          <t>:</t>
        </is>
      </c>
      <c r="K2" s="297">
        <f>'ANA SAYFA KESİCİ'!K2</f>
        <v/>
      </c>
      <c r="L2" s="47" t="n"/>
      <c r="M2" s="47" t="n"/>
      <c r="N2" s="47" t="n"/>
      <c r="O2" s="47" t="n"/>
      <c r="P2" s="47" t="n"/>
      <c r="Q2" s="211" t="n"/>
      <c r="R2" s="11" t="n"/>
    </row>
    <row r="3" ht="29.25" customHeight="1" s="227">
      <c r="A3" s="10" t="n"/>
      <c r="B3" s="49" t="n"/>
      <c r="C3" s="50" t="n"/>
      <c r="D3" s="50" t="n"/>
      <c r="E3" s="50" t="n"/>
      <c r="F3" s="213" t="n"/>
      <c r="G3" s="605" t="inlineStr">
        <is>
          <t xml:space="preserve">  LOKASYON</t>
        </is>
      </c>
      <c r="H3" s="50" t="n"/>
      <c r="I3" s="50" t="n"/>
      <c r="J3" s="193" t="inlineStr">
        <is>
          <t>:</t>
        </is>
      </c>
      <c r="K3" s="396">
        <f>'ANA SAYFA KESİCİ'!K5</f>
        <v/>
      </c>
      <c r="L3" s="50" t="n"/>
      <c r="M3" s="50" t="n"/>
      <c r="N3" s="50" t="n"/>
      <c r="O3" s="50" t="n"/>
      <c r="P3" s="50" t="n"/>
      <c r="Q3" s="213" t="n"/>
      <c r="R3" s="11" t="n"/>
    </row>
    <row r="4" ht="10.5" customHeight="1" s="227">
      <c r="A4" s="10" t="n"/>
      <c r="B4" s="3" t="n"/>
      <c r="C4" s="127" t="n"/>
      <c r="D4" s="127" t="n"/>
      <c r="E4" s="127" t="n"/>
      <c r="F4" s="127" t="n"/>
      <c r="G4" s="127" t="n"/>
      <c r="H4" s="127" t="n"/>
      <c r="I4" s="127" t="n"/>
      <c r="J4" s="127" t="n"/>
      <c r="K4" s="127" t="n"/>
      <c r="L4" s="127" t="n"/>
      <c r="M4" s="127" t="n"/>
      <c r="N4" s="127" t="n"/>
      <c r="O4" s="127" t="n"/>
      <c r="P4" s="127" t="n"/>
      <c r="Q4" s="143" t="n"/>
      <c r="R4" s="11" t="n"/>
    </row>
    <row r="5" ht="18" customHeight="1" s="227">
      <c r="A5" s="10" t="n"/>
      <c r="B5" s="485" t="inlineStr">
        <is>
          <t>KESİCİ İZOLASYON DİRENCİ TEST SONUÇLARI</t>
        </is>
      </c>
      <c r="C5" s="99" t="n"/>
      <c r="D5" s="99" t="n"/>
      <c r="E5" s="99" t="n"/>
      <c r="F5" s="99" t="n"/>
      <c r="G5" s="99" t="n"/>
      <c r="H5" s="99" t="n"/>
      <c r="I5" s="99" t="n"/>
      <c r="J5" s="99" t="n"/>
      <c r="K5" s="99" t="n"/>
      <c r="L5" s="99" t="n"/>
      <c r="M5" s="99" t="n"/>
      <c r="N5" s="99" t="n"/>
      <c r="O5" s="99" t="n"/>
      <c r="P5" s="99" t="n"/>
      <c r="Q5" s="482" t="n"/>
      <c r="R5" s="11" t="n"/>
    </row>
    <row r="6" ht="6.75" customHeight="1" s="227">
      <c r="A6" s="10" t="n"/>
      <c r="B6" s="3" t="n"/>
      <c r="C6" s="127" t="n"/>
      <c r="D6" s="127" t="n"/>
      <c r="E6" s="127" t="n"/>
      <c r="F6" s="127" t="n"/>
      <c r="G6" s="127" t="n"/>
      <c r="H6" s="127" t="n"/>
      <c r="I6" s="127" t="n"/>
      <c r="J6" s="127" t="n"/>
      <c r="K6" s="127" t="n"/>
      <c r="L6" s="127" t="n"/>
      <c r="M6" s="127" t="n"/>
      <c r="N6" s="127" t="n"/>
      <c r="O6" s="127" t="n"/>
      <c r="P6" s="127" t="n"/>
      <c r="Q6" s="143" t="n"/>
      <c r="R6" s="11" t="n"/>
    </row>
    <row r="7" ht="6.75" customHeight="1" s="227">
      <c r="A7" s="10" t="n"/>
      <c r="B7" s="3" t="n"/>
      <c r="C7" s="127" t="n"/>
      <c r="D7" s="127" t="n"/>
      <c r="E7" s="127" t="n"/>
      <c r="F7" s="127" t="n"/>
      <c r="G7" s="127" t="n"/>
      <c r="H7" s="127" t="n"/>
      <c r="I7" s="127" t="n"/>
      <c r="J7" s="127" t="n"/>
      <c r="K7" s="127" t="n"/>
      <c r="L7" s="127" t="n"/>
      <c r="M7" s="127" t="n"/>
      <c r="N7" s="127" t="n"/>
      <c r="O7" s="127" t="n"/>
      <c r="P7" s="127" t="n"/>
      <c r="Q7" s="143" t="n"/>
      <c r="R7" s="11" t="n"/>
    </row>
    <row r="8" ht="18" customHeight="1" s="227">
      <c r="A8" s="10" t="n"/>
      <c r="B8" s="402" t="inlineStr">
        <is>
          <t>OTURUM TARİHİ :</t>
        </is>
      </c>
      <c r="C8" s="99" t="n"/>
      <c r="D8" s="99" t="n"/>
      <c r="E8" s="99" t="n"/>
      <c r="F8" s="99" t="n"/>
      <c r="G8" s="99" t="n"/>
      <c r="H8" s="99" t="n"/>
      <c r="I8" s="99" t="n"/>
      <c r="J8" s="499">
        <f>'ANA SAYFA KESİCİ'!F74</f>
        <v/>
      </c>
      <c r="K8" s="99" t="n"/>
      <c r="L8" s="99" t="n"/>
      <c r="M8" s="99" t="n"/>
      <c r="N8" s="99" t="n"/>
      <c r="O8" s="99" t="n"/>
      <c r="P8" s="99" t="n"/>
      <c r="Q8" s="482" t="n"/>
      <c r="R8" s="11" t="n"/>
    </row>
    <row r="9" ht="6.75" customHeight="1" s="227">
      <c r="A9" s="10" t="n"/>
      <c r="B9" s="3" t="n"/>
      <c r="C9" s="127" t="n"/>
      <c r="D9" s="127" t="n"/>
      <c r="E9" s="127" t="n"/>
      <c r="F9" s="127" t="n"/>
      <c r="G9" s="127" t="n"/>
      <c r="H9" s="127" t="n"/>
      <c r="I9" s="127" t="n"/>
      <c r="J9" s="127" t="n"/>
      <c r="K9" s="127" t="n"/>
      <c r="L9" s="127" t="n"/>
      <c r="M9" s="127" t="n"/>
      <c r="N9" s="127" t="n"/>
      <c r="O9" s="127" t="n"/>
      <c r="P9" s="127" t="n"/>
      <c r="Q9" s="143" t="n"/>
      <c r="R9" s="11" t="n"/>
    </row>
    <row r="10" ht="15" customHeight="1" s="227">
      <c r="A10" s="10" t="n"/>
      <c r="B10" s="421" t="inlineStr">
        <is>
          <t>Operatör :</t>
        </is>
      </c>
      <c r="C10" s="482" t="n"/>
      <c r="D10" s="422" t="n"/>
      <c r="E10" s="99" t="n"/>
      <c r="F10" s="99" t="n"/>
      <c r="G10" s="482" t="n"/>
      <c r="H10" s="421" t="inlineStr">
        <is>
          <t>Cihaz :</t>
        </is>
      </c>
      <c r="I10" s="482" t="n"/>
      <c r="J10" s="374" t="n"/>
      <c r="K10" s="99" t="n"/>
      <c r="L10" s="482" t="n"/>
      <c r="M10" s="374" t="inlineStr">
        <is>
          <t>Cihaz S/N :</t>
        </is>
      </c>
      <c r="N10" s="482" t="n"/>
      <c r="O10" s="374" t="n"/>
      <c r="P10" s="99" t="n"/>
      <c r="Q10" s="482" t="n"/>
      <c r="R10" s="11" t="n"/>
      <c r="U10" t="inlineStr">
        <is>
          <t>r1</t>
        </is>
      </c>
      <c r="V10" t="n">
        <v>250</v>
      </c>
      <c r="W10" t="n">
        <v>200</v>
      </c>
      <c r="X10" t="n">
        <v>150</v>
      </c>
      <c r="Y10" t="n">
        <v>100</v>
      </c>
      <c r="Z10" t="n">
        <v>50</v>
      </c>
    </row>
    <row r="11" ht="7.5" customHeight="1" s="227">
      <c r="A11" s="10" t="n"/>
      <c r="B11" s="3" t="n"/>
      <c r="C11" s="127" t="n"/>
      <c r="D11" s="127" t="n"/>
      <c r="E11" s="127" t="n"/>
      <c r="F11" s="127" t="n"/>
      <c r="G11" s="127" t="n"/>
      <c r="H11" s="127" t="n"/>
      <c r="I11" s="127" t="n"/>
      <c r="J11" s="127" t="n"/>
      <c r="K11" s="127" t="n"/>
      <c r="L11" s="127" t="n"/>
      <c r="M11" s="127" t="n"/>
      <c r="N11" s="127" t="n"/>
      <c r="O11" s="127" t="n"/>
      <c r="P11" s="127" t="n"/>
      <c r="Q11" s="143" t="n"/>
      <c r="R11" s="11" t="n"/>
    </row>
    <row r="12" ht="18" customHeight="1" s="227">
      <c r="A12" s="10" t="n"/>
      <c r="B12" s="420" t="inlineStr">
        <is>
          <t>Sonuçlar</t>
        </is>
      </c>
      <c r="C12" s="99" t="n"/>
      <c r="D12" s="99" t="n"/>
      <c r="E12" s="99" t="n"/>
      <c r="F12" s="99" t="n"/>
      <c r="G12" s="99" t="n"/>
      <c r="H12" s="99" t="n"/>
      <c r="I12" s="99" t="n"/>
      <c r="J12" s="99" t="n"/>
      <c r="K12" s="99" t="n"/>
      <c r="L12" s="99" t="n"/>
      <c r="M12" s="99" t="n"/>
      <c r="N12" s="99" t="n"/>
      <c r="O12" s="99" t="n"/>
      <c r="P12" s="99" t="n"/>
      <c r="Q12" s="482" t="n"/>
      <c r="R12" s="11" t="n"/>
    </row>
    <row r="13" ht="7.5" customHeight="1" s="227">
      <c r="A13" s="10" t="n"/>
      <c r="B13" s="3" t="n"/>
      <c r="C13" s="127" t="n"/>
      <c r="D13" s="127" t="n"/>
      <c r="E13" s="127" t="n"/>
      <c r="F13" s="127" t="n"/>
      <c r="G13" s="127" t="n"/>
      <c r="H13" s="127" t="n"/>
      <c r="I13" s="127" t="n"/>
      <c r="J13" s="127" t="n"/>
      <c r="K13" s="127" t="n"/>
      <c r="L13" s="127" t="n"/>
      <c r="M13" s="127" t="n"/>
      <c r="N13" s="127" t="n"/>
      <c r="O13" s="127" t="n"/>
      <c r="P13" s="127" t="n"/>
      <c r="Q13" s="143" t="n"/>
      <c r="R13" s="11" t="n"/>
    </row>
    <row r="14" ht="18" customHeight="1" s="227">
      <c r="A14" s="10" t="n"/>
      <c r="B14" s="485" t="inlineStr">
        <is>
          <t>KESİCİ İZOLASYON</t>
        </is>
      </c>
      <c r="C14" s="99" t="n"/>
      <c r="D14" s="99" t="n"/>
      <c r="E14" s="99" t="n"/>
      <c r="F14" s="99" t="n"/>
      <c r="G14" s="99" t="n"/>
      <c r="H14" s="99" t="n"/>
      <c r="I14" s="99" t="n"/>
      <c r="J14" s="99" t="n"/>
      <c r="K14" s="99" t="n"/>
      <c r="L14" s="99" t="n"/>
      <c r="M14" s="99" t="n"/>
      <c r="N14" s="99" t="n"/>
      <c r="O14" s="99" t="n"/>
      <c r="P14" s="99" t="n"/>
      <c r="Q14" s="482" t="n"/>
      <c r="R14" s="11" t="n"/>
    </row>
    <row r="15" ht="5.25" customHeight="1" s="227">
      <c r="A15" s="10" t="n"/>
      <c r="B15" s="3" t="n"/>
      <c r="C15" s="127" t="n"/>
      <c r="D15" s="127" t="n"/>
      <c r="E15" s="127" t="n"/>
      <c r="F15" s="127" t="n"/>
      <c r="G15" s="127" t="n"/>
      <c r="H15" s="127" t="n"/>
      <c r="I15" s="127" t="n"/>
      <c r="J15" s="127" t="n"/>
      <c r="K15" s="127" t="n"/>
      <c r="L15" s="127" t="n"/>
      <c r="M15" s="127" t="n"/>
      <c r="N15" s="127" t="n"/>
      <c r="O15" s="127" t="n"/>
      <c r="P15" s="127" t="n"/>
      <c r="Q15" s="143" t="n"/>
      <c r="R15" s="11" t="n"/>
    </row>
    <row r="16" ht="15" customHeight="1" s="227">
      <c r="A16" s="10" t="n"/>
      <c r="B16" s="345" t="inlineStr">
        <is>
          <t>R min.</t>
        </is>
      </c>
      <c r="C16" s="99" t="n"/>
      <c r="D16" s="346" t="n">
        <v>50</v>
      </c>
      <c r="E16" s="99" t="n"/>
      <c r="F16" s="347" t="inlineStr">
        <is>
          <t>GΩ</t>
        </is>
      </c>
      <c r="G16" s="482" t="n"/>
      <c r="H16" s="440" t="inlineStr">
        <is>
          <t>Test Gerilimi</t>
        </is>
      </c>
      <c r="I16" s="99" t="n"/>
      <c r="J16" s="482" t="n"/>
      <c r="K16" s="440" t="inlineStr">
        <is>
          <t>Test Akımı</t>
        </is>
      </c>
      <c r="L16" s="99" t="n"/>
      <c r="M16" s="482" t="n"/>
      <c r="N16" s="440" t="inlineStr">
        <is>
          <t>Sonuç</t>
        </is>
      </c>
      <c r="O16" s="99" t="n"/>
      <c r="P16" s="99" t="n"/>
      <c r="Q16" s="482" t="n"/>
      <c r="R16" s="11" t="n"/>
    </row>
    <row r="17" ht="15" customHeight="1" s="227">
      <c r="A17" s="10" t="n"/>
      <c r="B17" s="515" t="inlineStr">
        <is>
          <t>L-1</t>
        </is>
      </c>
      <c r="C17" s="482" t="n"/>
      <c r="D17" s="445">
        <f>'ANA SAYFA KESİCİ'!G50</f>
        <v/>
      </c>
      <c r="E17" s="482" t="n"/>
      <c r="F17" s="516" t="inlineStr">
        <is>
          <t>GΩ</t>
        </is>
      </c>
      <c r="G17" s="482" t="n"/>
      <c r="H17" s="397" t="n">
        <v>10000</v>
      </c>
      <c r="I17" s="99" t="n"/>
      <c r="J17" s="606" t="inlineStr">
        <is>
          <t>VDC</t>
        </is>
      </c>
      <c r="K17" s="375">
        <f>H17/D17</f>
        <v/>
      </c>
      <c r="L17" s="99" t="n"/>
      <c r="M17" s="606" t="inlineStr">
        <is>
          <t>nA</t>
        </is>
      </c>
      <c r="N17" s="406">
        <f>IF(D17&gt;D16,1,0)</f>
        <v/>
      </c>
      <c r="O17" s="398">
        <f>IF(D17&gt;D16,"UYGUN","UYGUN DEĞİL")</f>
        <v/>
      </c>
      <c r="P17" s="99" t="n"/>
      <c r="Q17" s="482" t="n"/>
      <c r="R17" s="11" t="n"/>
    </row>
    <row r="18" ht="15" customHeight="1" s="227">
      <c r="A18" s="10" t="n"/>
      <c r="B18" s="515" t="inlineStr">
        <is>
          <t>L-2</t>
        </is>
      </c>
      <c r="C18" s="482" t="n"/>
      <c r="D18" s="445">
        <f>'ANA SAYFA KESİCİ'!G52</f>
        <v/>
      </c>
      <c r="E18" s="482" t="n"/>
      <c r="F18" s="515" t="inlineStr">
        <is>
          <t>GΩ</t>
        </is>
      </c>
      <c r="G18" s="482" t="n"/>
      <c r="H18" s="397" t="n">
        <v>10000</v>
      </c>
      <c r="I18" s="99" t="n"/>
      <c r="J18" s="606" t="inlineStr">
        <is>
          <t>VDC</t>
        </is>
      </c>
      <c r="K18" s="375">
        <f>H18/D18</f>
        <v/>
      </c>
      <c r="L18" s="99" t="n"/>
      <c r="M18" s="606" t="inlineStr">
        <is>
          <t>nA</t>
        </is>
      </c>
      <c r="N18" s="406">
        <f>IF(D18&gt;D16,1,0)</f>
        <v/>
      </c>
      <c r="O18" s="398">
        <f>IF(D18&gt;D16,"UYGUN","UYGUN DEĞİL")</f>
        <v/>
      </c>
      <c r="P18" s="99" t="n"/>
      <c r="Q18" s="482" t="n"/>
      <c r="R18" s="11" t="n"/>
    </row>
    <row r="19" ht="15" customHeight="1" s="227">
      <c r="A19" s="10" t="n"/>
      <c r="B19" s="515" t="inlineStr">
        <is>
          <t>L-3</t>
        </is>
      </c>
      <c r="C19" s="482" t="n"/>
      <c r="D19" s="445">
        <f>'ANA SAYFA KESİCİ'!G54</f>
        <v/>
      </c>
      <c r="E19" s="482" t="n"/>
      <c r="F19" s="515" t="inlineStr">
        <is>
          <t>GΩ</t>
        </is>
      </c>
      <c r="G19" s="482" t="n"/>
      <c r="H19" s="397" t="n">
        <v>10000</v>
      </c>
      <c r="I19" s="99" t="n"/>
      <c r="J19" s="606" t="inlineStr">
        <is>
          <t>VDC</t>
        </is>
      </c>
      <c r="K19" s="375">
        <f>H19/D19</f>
        <v/>
      </c>
      <c r="L19" s="99" t="n"/>
      <c r="M19" s="606" t="inlineStr">
        <is>
          <t>nA</t>
        </is>
      </c>
      <c r="N19" s="406">
        <f>IF(D19&gt;D16,1,0)</f>
        <v/>
      </c>
      <c r="O19" s="398">
        <f>IF(D19&gt;D16,"UYGUN","UYGUN DEĞİL")</f>
        <v/>
      </c>
      <c r="P19" s="99" t="n"/>
      <c r="Q19" s="482" t="n"/>
      <c r="R19" s="11" t="n"/>
    </row>
    <row r="20" ht="15" customHeight="1" s="227">
      <c r="A20" s="33" t="n"/>
      <c r="Q20" s="211" t="n"/>
      <c r="R20" s="11" t="n"/>
      <c r="X20">
        <f>N17+N18+N19</f>
        <v/>
      </c>
    </row>
    <row r="21" ht="15" customHeight="1" s="227">
      <c r="A21" s="33" t="n"/>
      <c r="Q21" s="212" t="n"/>
      <c r="R21" s="11" t="n"/>
    </row>
    <row r="22" ht="15" customHeight="1" s="227">
      <c r="A22" s="33" t="n"/>
      <c r="Q22" s="212" t="n"/>
      <c r="R22" s="11" t="n"/>
    </row>
    <row r="23" ht="15" customHeight="1" s="227">
      <c r="A23" s="33" t="n"/>
      <c r="Q23" s="212" t="n"/>
      <c r="R23" s="11" t="n"/>
    </row>
    <row r="24" ht="15" customHeight="1" s="227">
      <c r="A24" s="33" t="n"/>
      <c r="Q24" s="212" t="n"/>
      <c r="R24" s="11" t="n"/>
      <c r="X24">
        <f>(N32+N33+N34+N35+N36)/5</f>
        <v/>
      </c>
    </row>
    <row r="25" ht="15" customHeight="1" s="227">
      <c r="A25" s="33" t="n"/>
      <c r="Q25" s="212" t="n"/>
      <c r="R25" s="11" t="n"/>
    </row>
    <row r="26" ht="15" customHeight="1" s="227">
      <c r="A26" s="33" t="n"/>
      <c r="Q26" s="212" t="n"/>
      <c r="R26" s="11" t="n"/>
    </row>
    <row r="27" ht="15" customHeight="1" s="227">
      <c r="A27" s="33" t="n"/>
      <c r="Q27" s="212" t="n"/>
      <c r="R27" s="11" t="n"/>
      <c r="X27" s="256" t="inlineStr">
        <is>
          <t>Yapılan ölçümlerde kesicinin İzolasyon değerleri uygundur.</t>
        </is>
      </c>
    </row>
    <row r="28" ht="15" customHeight="1" s="227">
      <c r="A28" s="33" t="n"/>
      <c r="Q28" s="212" t="n"/>
      <c r="R28" s="11" t="n"/>
      <c r="X28" s="256" t="inlineStr">
        <is>
          <t>Yapılan ölçümlerde kesicinin İzolasyon değerleri uygun değildir.</t>
        </is>
      </c>
    </row>
    <row r="29" ht="18.75" customHeight="1" s="227">
      <c r="A29" s="10" t="n"/>
      <c r="B29" s="336" t="n"/>
      <c r="R29" s="11" t="n"/>
    </row>
    <row r="30" ht="5.25" customHeight="1" s="227">
      <c r="A30" s="10" t="n"/>
      <c r="R30" s="11" t="n"/>
    </row>
    <row r="31" ht="15" customHeight="1" s="227">
      <c r="A31" s="10" t="n"/>
      <c r="R31" s="11" t="n"/>
    </row>
    <row r="32" ht="13.5" customHeight="1" s="227">
      <c r="A32" s="10" t="n"/>
      <c r="R32" s="11" t="n"/>
    </row>
    <row r="33" ht="13.5" customHeight="1" s="227">
      <c r="A33" s="10" t="n"/>
      <c r="R33" s="11" t="n"/>
    </row>
    <row r="34" ht="13.5" customHeight="1" s="227">
      <c r="A34" s="10" t="n"/>
      <c r="R34" s="11" t="n"/>
    </row>
    <row r="35" ht="13.5" customHeight="1" s="227">
      <c r="A35" s="10" t="n"/>
      <c r="R35" s="11" t="n"/>
    </row>
    <row r="36" ht="13.5" customHeight="1" s="227">
      <c r="A36" s="10" t="n"/>
      <c r="R36" s="11" t="n"/>
    </row>
    <row r="37" ht="15" customHeight="1" s="227">
      <c r="A37" s="10" t="n"/>
      <c r="B37" s="3" t="n"/>
      <c r="C37" s="317" t="n"/>
      <c r="D37" s="317" t="n"/>
      <c r="E37" s="317" t="n"/>
      <c r="F37" s="317" t="n"/>
      <c r="G37" s="317" t="n"/>
      <c r="H37" s="317" t="n"/>
      <c r="I37" s="317" t="n"/>
      <c r="J37" s="317" t="n"/>
      <c r="K37" s="127" t="n"/>
      <c r="L37" s="317" t="n"/>
      <c r="M37" s="317" t="n"/>
      <c r="N37" s="317" t="n"/>
      <c r="O37" s="317" t="n"/>
      <c r="P37" s="317" t="n"/>
      <c r="Q37" s="117" t="n"/>
      <c r="R37" s="11" t="n"/>
    </row>
    <row r="38" ht="15" customHeight="1" s="227">
      <c r="A38" s="10" t="n"/>
      <c r="B38" s="528" t="n"/>
      <c r="C38" s="317" t="n"/>
      <c r="E38" s="317" t="n"/>
      <c r="G38" s="317" t="n"/>
      <c r="I38" s="317" t="n"/>
      <c r="K38" s="127" t="n"/>
      <c r="L38" s="607" t="n"/>
      <c r="N38" s="127" t="n"/>
      <c r="O38" s="607" t="n"/>
      <c r="Q38" s="143" t="n"/>
      <c r="R38" s="11" t="n"/>
    </row>
    <row r="39" ht="15" customHeight="1" s="227">
      <c r="A39" s="10" t="n"/>
      <c r="B39" s="528" t="n"/>
      <c r="C39" s="317" t="n"/>
      <c r="D39" s="317" t="n"/>
      <c r="E39" s="317" t="n"/>
      <c r="F39" s="317" t="n"/>
      <c r="G39" s="317" t="n"/>
      <c r="H39" s="317" t="n"/>
      <c r="I39" s="317" t="n"/>
      <c r="J39" s="317" t="n"/>
      <c r="K39" s="127" t="n"/>
      <c r="L39" s="607" t="n"/>
      <c r="M39" s="607" t="n"/>
      <c r="N39" s="127" t="n"/>
      <c r="O39" s="607" t="n"/>
      <c r="P39" s="607" t="n"/>
      <c r="Q39" s="143" t="n"/>
      <c r="R39" s="11" t="n"/>
    </row>
    <row r="40" ht="15" customHeight="1" s="227">
      <c r="A40" s="10" t="n"/>
      <c r="B40" s="528" t="n"/>
      <c r="C40" s="317" t="n"/>
      <c r="E40" s="317" t="n"/>
      <c r="G40" s="317" t="n"/>
      <c r="I40" s="317" t="n"/>
      <c r="K40" s="127" t="n"/>
      <c r="L40" s="607" t="n"/>
      <c r="N40" s="127" t="n"/>
      <c r="O40" s="607" t="n"/>
      <c r="Q40" s="143" t="n"/>
      <c r="R40" s="11" t="n"/>
    </row>
    <row r="41" ht="15" customHeight="1" s="227">
      <c r="A41" s="10" t="n"/>
      <c r="B41" s="528" t="n"/>
      <c r="C41" s="317" t="n"/>
      <c r="D41" s="317" t="n"/>
      <c r="E41" s="317" t="n"/>
      <c r="F41" s="317" t="n"/>
      <c r="G41" s="317" t="n"/>
      <c r="H41" s="317" t="n"/>
      <c r="I41" s="317" t="n"/>
      <c r="J41" s="317" t="n"/>
      <c r="K41" s="127" t="n"/>
      <c r="L41" s="607" t="n"/>
      <c r="M41" s="607" t="n"/>
      <c r="N41" s="127" t="n"/>
      <c r="O41" s="607" t="n"/>
      <c r="P41" s="607" t="n"/>
      <c r="Q41" s="143" t="n"/>
      <c r="R41" s="11" t="n"/>
    </row>
    <row r="42" ht="15" customHeight="1" s="227">
      <c r="A42" s="10" t="n"/>
      <c r="B42" s="528" t="n"/>
      <c r="C42" s="317" t="n"/>
      <c r="D42" s="317" t="n"/>
      <c r="E42" s="317" t="n"/>
      <c r="F42" s="317" t="n"/>
      <c r="G42" s="317" t="n"/>
      <c r="H42" s="317" t="n"/>
      <c r="I42" s="317" t="n"/>
      <c r="J42" s="317" t="n"/>
      <c r="K42" s="127" t="n"/>
      <c r="L42" s="607" t="n"/>
      <c r="M42" s="607" t="n"/>
      <c r="N42" s="127" t="n"/>
      <c r="O42" s="607" t="n"/>
      <c r="P42" s="607" t="n"/>
      <c r="Q42" s="143" t="n"/>
      <c r="R42" s="11" t="n"/>
    </row>
    <row r="43" ht="15" customHeight="1" s="227">
      <c r="A43" s="10" t="n"/>
      <c r="B43" s="528" t="n"/>
      <c r="C43" s="317" t="n"/>
      <c r="D43" s="317" t="n"/>
      <c r="E43" s="317" t="n"/>
      <c r="F43" s="317" t="n"/>
      <c r="G43" s="317" t="n"/>
      <c r="H43" s="317" t="n"/>
      <c r="I43" s="317" t="n"/>
      <c r="J43" s="317" t="n"/>
      <c r="K43" s="127" t="n"/>
      <c r="L43" s="607" t="n"/>
      <c r="M43" s="607" t="n"/>
      <c r="N43" s="127" t="n"/>
      <c r="O43" s="607" t="n"/>
      <c r="P43" s="607" t="n"/>
      <c r="Q43" s="143" t="n"/>
      <c r="R43" s="11" t="n"/>
    </row>
    <row r="44" ht="15" customHeight="1" s="227">
      <c r="A44" s="10" t="n"/>
      <c r="B44" s="528" t="n"/>
      <c r="C44" s="317" t="n"/>
      <c r="D44" s="317" t="n"/>
      <c r="E44" s="317" t="n"/>
      <c r="F44" s="317" t="n"/>
      <c r="G44" s="317" t="n"/>
      <c r="H44" s="317" t="n"/>
      <c r="I44" s="317" t="n"/>
      <c r="J44" s="317" t="n"/>
      <c r="K44" s="127" t="n"/>
      <c r="L44" s="607" t="n"/>
      <c r="M44" s="607" t="n"/>
      <c r="N44" s="127" t="n"/>
      <c r="O44" s="607" t="n"/>
      <c r="P44" s="607" t="n"/>
      <c r="Q44" s="143" t="n"/>
      <c r="R44" s="11" t="n"/>
    </row>
    <row r="45" ht="15" customHeight="1" s="227">
      <c r="A45" s="10" t="n"/>
      <c r="B45" s="528" t="n"/>
      <c r="C45" s="317" t="n"/>
      <c r="D45" s="317" t="n"/>
      <c r="E45" s="317" t="n"/>
      <c r="F45" s="317" t="n"/>
      <c r="G45" s="317" t="n"/>
      <c r="H45" s="317" t="n"/>
      <c r="I45" s="317" t="n"/>
      <c r="J45" s="317" t="n"/>
      <c r="K45" s="127" t="n"/>
      <c r="L45" s="607" t="n"/>
      <c r="M45" s="607" t="n"/>
      <c r="N45" s="127" t="n"/>
      <c r="O45" s="607" t="n"/>
      <c r="P45" s="607" t="n"/>
      <c r="Q45" s="143" t="n"/>
      <c r="R45" s="11" t="n"/>
    </row>
    <row r="46" ht="15" customHeight="1" s="227">
      <c r="A46" s="10" t="n"/>
      <c r="B46" s="118" t="n"/>
      <c r="C46" s="23" t="n"/>
      <c r="D46" s="23" t="n"/>
      <c r="E46" s="23" t="n"/>
      <c r="F46" s="23" t="n"/>
      <c r="G46" s="23" t="n"/>
      <c r="H46" s="23" t="n"/>
      <c r="I46" s="23" t="n"/>
      <c r="J46" s="23" t="n"/>
      <c r="K46" s="23" t="n"/>
      <c r="L46" s="23" t="n"/>
      <c r="M46" s="23" t="n"/>
      <c r="N46" s="23" t="n"/>
      <c r="O46" s="23" t="n"/>
      <c r="P46" s="23" t="n"/>
      <c r="Q46" s="117" t="n"/>
      <c r="R46" s="11" t="n"/>
    </row>
    <row r="47" ht="15.75" customHeight="1" s="227">
      <c r="A47" s="10" t="n"/>
      <c r="B47" s="432" t="inlineStr">
        <is>
          <t>Sonuç :</t>
        </is>
      </c>
      <c r="C47" s="482" t="n"/>
      <c r="D47" s="360" t="inlineStr">
        <is>
          <t>Yapılan ölçümlerde kesicinin İzolasyon değerleri uygundur.</t>
        </is>
      </c>
      <c r="E47" s="47" t="n"/>
      <c r="F47" s="47" t="n"/>
      <c r="G47" s="47" t="n"/>
      <c r="H47" s="47" t="n"/>
      <c r="I47" s="47" t="n"/>
      <c r="J47" s="47" t="n"/>
      <c r="K47" s="47" t="n"/>
      <c r="L47" s="47" t="n"/>
      <c r="M47" s="47" t="n"/>
      <c r="N47" s="47" t="n"/>
      <c r="O47" s="47" t="n"/>
      <c r="P47" s="47" t="n"/>
      <c r="Q47" s="211" t="n"/>
      <c r="R47" s="11" t="n"/>
    </row>
    <row r="48" ht="15" customHeight="1" s="227">
      <c r="A48" s="10" t="n"/>
      <c r="B48" s="118" t="n"/>
      <c r="C48" s="23" t="n"/>
      <c r="Q48" s="212" t="n"/>
      <c r="R48" s="11" t="n"/>
    </row>
    <row r="49" ht="11.25" customHeight="1" s="227">
      <c r="A49" s="10" t="n"/>
      <c r="B49" s="181" t="n"/>
      <c r="C49" s="608" t="n"/>
      <c r="Q49" s="212" t="n"/>
      <c r="R49" s="11" t="n"/>
    </row>
    <row r="50" ht="22.5" customHeight="1" s="227">
      <c r="A50" s="10" t="n"/>
      <c r="B50" s="365" t="inlineStr">
        <is>
          <t>UNVAN</t>
        </is>
      </c>
      <c r="C50" s="47" t="n"/>
      <c r="D50" s="47" t="n"/>
      <c r="E50" s="531" t="inlineStr">
        <is>
          <t>:</t>
        </is>
      </c>
      <c r="F50" s="368" t="inlineStr">
        <is>
          <t>Elektrik Mühendisi</t>
        </is>
      </c>
      <c r="G50" s="47" t="n"/>
      <c r="H50" s="47" t="n"/>
      <c r="I50" s="211" t="n"/>
      <c r="J50" s="485" t="inlineStr">
        <is>
          <t>ONAYLAYAN</t>
        </is>
      </c>
      <c r="K50" s="99" t="n"/>
      <c r="L50" s="99" t="n"/>
      <c r="M50" s="99" t="n"/>
      <c r="N50" s="99" t="n"/>
      <c r="O50" s="99" t="n"/>
      <c r="P50" s="99" t="n"/>
      <c r="Q50" s="482" t="n"/>
      <c r="R50" s="11" t="n"/>
    </row>
    <row r="51" ht="22.5" customHeight="1" s="227">
      <c r="A51" s="10" t="n"/>
      <c r="B51" s="365" t="inlineStr">
        <is>
          <t>TEST TARİHİ</t>
        </is>
      </c>
      <c r="C51" s="47" t="n"/>
      <c r="D51" s="47" t="n"/>
      <c r="E51" s="531" t="inlineStr">
        <is>
          <t>:</t>
        </is>
      </c>
      <c r="F51" s="533">
        <f>'ANA SAYFA KESİCİ'!F75:J75</f>
        <v/>
      </c>
      <c r="G51" s="47" t="n"/>
      <c r="H51" s="47" t="n"/>
      <c r="I51" s="211" t="n"/>
      <c r="J51" s="53" t="n"/>
      <c r="K51" s="54" t="n"/>
      <c r="L51" s="134" t="n"/>
      <c r="M51" s="134" t="n"/>
      <c r="N51" s="134" t="n"/>
      <c r="O51" s="134" t="n"/>
      <c r="P51" s="134" t="n"/>
      <c r="Q51" s="135" t="n"/>
      <c r="R51" s="11" t="n"/>
    </row>
    <row r="52" ht="22.5" customHeight="1" s="227">
      <c r="A52" s="10" t="n"/>
      <c r="B52" s="355" t="inlineStr">
        <is>
          <t>ODA SİCİL NO</t>
        </is>
      </c>
      <c r="C52" s="99" t="n"/>
      <c r="D52" s="99" t="n"/>
      <c r="E52" s="366" t="inlineStr">
        <is>
          <t>:</t>
        </is>
      </c>
      <c r="F52" s="534">
        <f>'ANA SAYFA KESİCİ'!F77:J77</f>
        <v/>
      </c>
      <c r="G52" s="47" t="n"/>
      <c r="H52" s="47" t="n"/>
      <c r="I52" s="211" t="n"/>
      <c r="J52" s="53" t="n"/>
      <c r="K52" s="54" t="n"/>
      <c r="L52" s="134" t="n"/>
      <c r="M52" s="134" t="n"/>
      <c r="N52" s="134" t="n"/>
      <c r="O52" s="134" t="n"/>
      <c r="P52" s="134" t="n"/>
      <c r="Q52" s="135" t="n"/>
      <c r="R52" s="11" t="n"/>
    </row>
    <row r="53" ht="22.5" customHeight="1" s="227">
      <c r="A53" s="10" t="n"/>
      <c r="B53" s="355" t="inlineStr">
        <is>
          <t>EKİPNET NO</t>
        </is>
      </c>
      <c r="C53" s="99" t="n"/>
      <c r="D53" s="99" t="n"/>
      <c r="E53" s="356" t="inlineStr">
        <is>
          <t>:</t>
        </is>
      </c>
      <c r="F53" s="383">
        <f>'ANA SAYFA KESİCİ'!F78:J78</f>
        <v/>
      </c>
      <c r="G53" s="99" t="n"/>
      <c r="H53" s="99" t="n"/>
      <c r="I53" s="482" t="n"/>
      <c r="J53" s="535" t="n"/>
      <c r="K53" s="139" t="n"/>
      <c r="L53" s="139" t="n"/>
      <c r="M53" s="139" t="n"/>
      <c r="N53" s="139" t="n"/>
      <c r="O53" s="139" t="n"/>
      <c r="P53" s="139" t="n"/>
      <c r="Q53" s="136" t="n"/>
      <c r="R53" s="11" t="n"/>
    </row>
    <row r="54" ht="15" customHeight="1" s="227">
      <c r="A54" s="15" t="n"/>
      <c r="B54" s="16" t="n"/>
      <c r="C54" s="16" t="n"/>
      <c r="D54" s="16" t="n"/>
      <c r="E54" s="16" t="n"/>
      <c r="F54" s="16" t="n"/>
      <c r="G54" s="16" t="n"/>
      <c r="H54" s="16" t="n"/>
      <c r="I54" s="16" t="n"/>
      <c r="J54" s="16" t="n"/>
      <c r="K54" s="16" t="n"/>
      <c r="L54" s="16" t="n"/>
      <c r="M54" s="16" t="n"/>
      <c r="N54" s="16" t="n"/>
      <c r="O54" s="16" t="n"/>
      <c r="P54" s="16" t="n"/>
      <c r="Q54" s="16" t="n"/>
      <c r="R54" s="17" t="n"/>
    </row>
  </sheetData>
  <mergeCells count="67">
    <mergeCell ref="J8:Q8"/>
    <mergeCell ref="B47:C47"/>
    <mergeCell ref="B16:C16"/>
    <mergeCell ref="K18:L18"/>
    <mergeCell ref="X28:AF28"/>
    <mergeCell ref="F16:G16"/>
    <mergeCell ref="D19:E19"/>
    <mergeCell ref="H10:I10"/>
    <mergeCell ref="D47:Q48"/>
    <mergeCell ref="F19:G19"/>
    <mergeCell ref="F52:I52"/>
    <mergeCell ref="B53:D53"/>
    <mergeCell ref="G3:I3"/>
    <mergeCell ref="B18:C18"/>
    <mergeCell ref="B5:Q5"/>
    <mergeCell ref="H16:J16"/>
    <mergeCell ref="E38:F38"/>
    <mergeCell ref="G38:H38"/>
    <mergeCell ref="F53:I53"/>
    <mergeCell ref="K3:Q3"/>
    <mergeCell ref="M10:N10"/>
    <mergeCell ref="F18:G18"/>
    <mergeCell ref="O17:Q17"/>
    <mergeCell ref="C40:D40"/>
    <mergeCell ref="B17:C17"/>
    <mergeCell ref="N16:Q16"/>
    <mergeCell ref="E40:F40"/>
    <mergeCell ref="D17:E17"/>
    <mergeCell ref="B8:I8"/>
    <mergeCell ref="F17:G17"/>
    <mergeCell ref="B51:D51"/>
    <mergeCell ref="D10:G10"/>
    <mergeCell ref="H17:I17"/>
    <mergeCell ref="D16:E16"/>
    <mergeCell ref="L38:M38"/>
    <mergeCell ref="B19:C19"/>
    <mergeCell ref="B50:D50"/>
    <mergeCell ref="B10:C10"/>
    <mergeCell ref="O40:P40"/>
    <mergeCell ref="H19:I19"/>
    <mergeCell ref="B12:Q12"/>
    <mergeCell ref="X27:AF27"/>
    <mergeCell ref="F51:I51"/>
    <mergeCell ref="C49:Q49"/>
    <mergeCell ref="D18:E18"/>
    <mergeCell ref="K16:M16"/>
    <mergeCell ref="L40:M40"/>
    <mergeCell ref="B29:Q36"/>
    <mergeCell ref="K17:L17"/>
    <mergeCell ref="O10:Q10"/>
    <mergeCell ref="F50:I50"/>
    <mergeCell ref="O19:Q19"/>
    <mergeCell ref="G2:I2"/>
    <mergeCell ref="C38:D38"/>
    <mergeCell ref="J50:Q50"/>
    <mergeCell ref="I38:J38"/>
    <mergeCell ref="B14:Q14"/>
    <mergeCell ref="J10:L10"/>
    <mergeCell ref="O18:Q18"/>
    <mergeCell ref="B2:F3"/>
    <mergeCell ref="H18:I18"/>
    <mergeCell ref="O38:P38"/>
    <mergeCell ref="K19:L19"/>
    <mergeCell ref="B52:D52"/>
    <mergeCell ref="G40:H40"/>
    <mergeCell ref="K2:Q2"/>
    <mergeCell ref="I40:J40"/>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AD54"/>
  <sheetViews>
    <sheetView zoomScale="82" zoomScaleNormal="82" workbookViewId="0">
      <selection activeCell="A1" sqref="A1"/>
    </sheetView>
  </sheetViews>
  <sheetFormatPr baseColWidth="8" defaultRowHeight="15"/>
  <cols>
    <col width="3.5546875" customWidth="1" style="227" min="1" max="1"/>
    <col width="5.44140625" customWidth="1" style="227" min="2" max="2"/>
    <col width="3.5546875" customWidth="1" style="227" min="18" max="18"/>
    <col width="9.109375" customWidth="1" style="227" min="19" max="19"/>
  </cols>
  <sheetData>
    <row r="1" ht="1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604" t="inlineStr">
        <is>
          <t xml:space="preserve">  ŞALT SAHASI          </t>
        </is>
      </c>
      <c r="H2" s="47" t="n"/>
      <c r="I2" s="47" t="n"/>
      <c r="J2" s="151" t="inlineStr">
        <is>
          <t>:</t>
        </is>
      </c>
      <c r="K2" s="297">
        <f>'ANA SAYFA KESİCİ'!K2</f>
        <v/>
      </c>
      <c r="L2" s="47" t="n"/>
      <c r="M2" s="47" t="n"/>
      <c r="N2" s="47" t="n"/>
      <c r="O2" s="47" t="n"/>
      <c r="P2" s="47" t="n"/>
      <c r="Q2" s="211" t="n"/>
      <c r="R2" s="11" t="n"/>
    </row>
    <row r="3" ht="29.25" customHeight="1" s="227">
      <c r="A3" s="10" t="n"/>
      <c r="B3" s="49" t="n"/>
      <c r="C3" s="50" t="n"/>
      <c r="D3" s="50" t="n"/>
      <c r="E3" s="50" t="n"/>
      <c r="F3" s="213" t="n"/>
      <c r="G3" s="605" t="inlineStr">
        <is>
          <t xml:space="preserve">  LOKASYON</t>
        </is>
      </c>
      <c r="H3" s="50" t="n"/>
      <c r="I3" s="50" t="n"/>
      <c r="J3" s="193" t="inlineStr">
        <is>
          <t>:</t>
        </is>
      </c>
      <c r="K3" s="396">
        <f>'ANA SAYFA KESİCİ'!K5</f>
        <v/>
      </c>
      <c r="L3" s="50" t="n"/>
      <c r="M3" s="50" t="n"/>
      <c r="N3" s="50" t="n"/>
      <c r="O3" s="50" t="n"/>
      <c r="P3" s="50" t="n"/>
      <c r="Q3" s="213" t="n"/>
      <c r="R3" s="11" t="n"/>
    </row>
    <row r="4" ht="11.25" customHeight="1" s="227">
      <c r="A4" s="10" t="n"/>
      <c r="B4" s="3" t="n"/>
      <c r="C4" s="127" t="n"/>
      <c r="D4" s="127" t="n"/>
      <c r="E4" s="127" t="n"/>
      <c r="F4" s="127" t="n"/>
      <c r="G4" s="127" t="n"/>
      <c r="H4" s="127" t="n"/>
      <c r="I4" s="127" t="n"/>
      <c r="J4" s="127" t="n"/>
      <c r="K4" s="127" t="n"/>
      <c r="L4" s="127" t="n"/>
      <c r="M4" s="127" t="n"/>
      <c r="N4" s="127" t="n"/>
      <c r="O4" s="127" t="n"/>
      <c r="P4" s="127" t="n"/>
      <c r="Q4" s="143" t="n"/>
      <c r="R4" s="11" t="n"/>
    </row>
    <row r="5" ht="18" customHeight="1" s="227">
      <c r="A5" s="10" t="n"/>
      <c r="B5" s="485" t="inlineStr">
        <is>
          <t>KESİCİ KONTAK DİRENCİ TEST SONUÇLARI</t>
        </is>
      </c>
      <c r="C5" s="99" t="n"/>
      <c r="D5" s="99" t="n"/>
      <c r="E5" s="99" t="n"/>
      <c r="F5" s="99" t="n"/>
      <c r="G5" s="99" t="n"/>
      <c r="H5" s="99" t="n"/>
      <c r="I5" s="99" t="n"/>
      <c r="J5" s="99" t="n"/>
      <c r="K5" s="99" t="n"/>
      <c r="L5" s="99" t="n"/>
      <c r="M5" s="99" t="n"/>
      <c r="N5" s="99" t="n"/>
      <c r="O5" s="99" t="n"/>
      <c r="P5" s="99" t="n"/>
      <c r="Q5" s="482" t="n"/>
      <c r="R5" s="11" t="n"/>
    </row>
    <row r="6" ht="6" customHeight="1" s="227">
      <c r="A6" s="10" t="n"/>
      <c r="B6" s="3" t="n"/>
      <c r="C6" s="127" t="n"/>
      <c r="D6" s="127" t="n"/>
      <c r="E6" s="127" t="n"/>
      <c r="F6" s="127" t="n"/>
      <c r="G6" s="127" t="n"/>
      <c r="H6" s="127" t="n"/>
      <c r="I6" s="127" t="n"/>
      <c r="J6" s="127" t="n"/>
      <c r="K6" s="127" t="n"/>
      <c r="L6" s="127" t="n"/>
      <c r="M6" s="127" t="n"/>
      <c r="N6" s="127" t="n"/>
      <c r="O6" s="127" t="n"/>
      <c r="P6" s="127" t="n"/>
      <c r="Q6" s="143" t="n"/>
      <c r="R6" s="11" t="n"/>
    </row>
    <row r="7" ht="6" customHeight="1" s="227">
      <c r="A7" s="10" t="n"/>
      <c r="B7" s="3" t="n"/>
      <c r="C7" s="127" t="n"/>
      <c r="D7" s="127" t="n"/>
      <c r="E7" s="127" t="n"/>
      <c r="F7" s="127" t="n"/>
      <c r="G7" s="127" t="n"/>
      <c r="H7" s="127" t="n"/>
      <c r="I7" s="127" t="n"/>
      <c r="J7" s="127" t="n"/>
      <c r="K7" s="127" t="n"/>
      <c r="L7" s="127" t="n"/>
      <c r="M7" s="127" t="n"/>
      <c r="N7" s="127" t="n"/>
      <c r="O7" s="127" t="n"/>
      <c r="P7" s="127" t="n"/>
      <c r="Q7" s="143" t="n"/>
      <c r="R7" s="11" t="n"/>
    </row>
    <row r="8" ht="18" customHeight="1" s="227">
      <c r="A8" s="10" t="n"/>
      <c r="B8" s="402" t="inlineStr">
        <is>
          <t>OTURUM TARİHİ :</t>
        </is>
      </c>
      <c r="C8" s="99" t="n"/>
      <c r="D8" s="99" t="n"/>
      <c r="E8" s="99" t="n"/>
      <c r="F8" s="99" t="n"/>
      <c r="G8" s="99" t="n"/>
      <c r="H8" s="99" t="n"/>
      <c r="I8" s="99" t="n"/>
      <c r="J8" s="499">
        <f>'ANA SAYFA KESİCİ'!F74</f>
        <v/>
      </c>
      <c r="K8" s="99" t="n"/>
      <c r="L8" s="99" t="n"/>
      <c r="M8" s="99" t="n"/>
      <c r="N8" s="99" t="n"/>
      <c r="O8" s="99" t="n"/>
      <c r="P8" s="99" t="n"/>
      <c r="Q8" s="482" t="n"/>
      <c r="R8" s="11" t="n"/>
    </row>
    <row r="9" ht="5.25" customHeight="1" s="227">
      <c r="A9" s="10" t="n"/>
      <c r="B9" s="3" t="n"/>
      <c r="C9" s="127" t="n"/>
      <c r="D9" s="127" t="n"/>
      <c r="E9" s="127" t="n"/>
      <c r="F9" s="127" t="n"/>
      <c r="G9" s="127" t="n"/>
      <c r="H9" s="127" t="n"/>
      <c r="I9" s="127" t="n"/>
      <c r="J9" s="127" t="n"/>
      <c r="K9" s="127" t="n"/>
      <c r="L9" s="127" t="n"/>
      <c r="M9" s="127" t="n"/>
      <c r="N9" s="127" t="n"/>
      <c r="O9" s="127" t="n"/>
      <c r="P9" s="127" t="n"/>
      <c r="Q9" s="143" t="n"/>
      <c r="R9" s="11" t="n"/>
    </row>
    <row r="10" ht="15" customHeight="1" s="227">
      <c r="A10" s="10" t="n"/>
      <c r="B10" s="421" t="inlineStr">
        <is>
          <t>Operatör :</t>
        </is>
      </c>
      <c r="C10" s="482" t="n"/>
      <c r="D10" s="422" t="n"/>
      <c r="E10" s="99" t="n"/>
      <c r="F10" s="99" t="n"/>
      <c r="G10" s="482" t="n"/>
      <c r="H10" s="421" t="inlineStr">
        <is>
          <t>Cihaz :</t>
        </is>
      </c>
      <c r="I10" s="482" t="n"/>
      <c r="J10" s="374" t="n"/>
      <c r="K10" s="99" t="n"/>
      <c r="L10" s="482" t="n"/>
      <c r="M10" s="374" t="inlineStr">
        <is>
          <t>Cihaz S/N :</t>
        </is>
      </c>
      <c r="N10" s="482" t="n"/>
      <c r="O10" s="374" t="n"/>
      <c r="P10" s="99" t="n"/>
      <c r="Q10" s="482" t="n"/>
      <c r="R10" s="11" t="n"/>
    </row>
    <row r="11" ht="6" customHeight="1" s="227">
      <c r="A11" s="10" t="n"/>
      <c r="B11" s="3" t="n"/>
      <c r="C11" s="127" t="n"/>
      <c r="D11" s="127" t="n"/>
      <c r="E11" s="127" t="n"/>
      <c r="F11" s="127" t="n"/>
      <c r="G11" s="127" t="n"/>
      <c r="H11" s="127" t="n"/>
      <c r="I11" s="127" t="n"/>
      <c r="J11" s="127" t="n"/>
      <c r="K11" s="127" t="n"/>
      <c r="L11" s="127" t="n"/>
      <c r="M11" s="127" t="n"/>
      <c r="N11" s="127" t="n"/>
      <c r="O11" s="127" t="n"/>
      <c r="P11" s="127" t="n"/>
      <c r="Q11" s="143" t="n"/>
      <c r="R11" s="11" t="n"/>
    </row>
    <row r="12" ht="18" customHeight="1" s="227">
      <c r="A12" s="10" t="n"/>
      <c r="B12" s="420" t="inlineStr">
        <is>
          <t>Sonuçlar</t>
        </is>
      </c>
      <c r="C12" s="99" t="n"/>
      <c r="D12" s="99" t="n"/>
      <c r="E12" s="99" t="n"/>
      <c r="F12" s="99" t="n"/>
      <c r="G12" s="99" t="n"/>
      <c r="H12" s="99" t="n"/>
      <c r="I12" s="99" t="n"/>
      <c r="J12" s="99" t="n"/>
      <c r="K12" s="99" t="n"/>
      <c r="L12" s="99" t="n"/>
      <c r="M12" s="99" t="n"/>
      <c r="N12" s="99" t="n"/>
      <c r="O12" s="99" t="n"/>
      <c r="P12" s="99" t="n"/>
      <c r="Q12" s="482" t="n"/>
      <c r="R12" s="11" t="n"/>
    </row>
    <row r="13" ht="6" customHeight="1" s="227">
      <c r="A13" s="10" t="n"/>
      <c r="B13" s="3" t="n"/>
      <c r="C13" s="127" t="n"/>
      <c r="D13" s="127" t="n"/>
      <c r="E13" s="127" t="n"/>
      <c r="F13" s="127" t="n"/>
      <c r="G13" s="127" t="n"/>
      <c r="H13" s="127" t="n"/>
      <c r="I13" s="127" t="n"/>
      <c r="J13" s="127" t="n"/>
      <c r="K13" s="127" t="n"/>
      <c r="L13" s="127" t="n"/>
      <c r="M13" s="127" t="n"/>
      <c r="N13" s="127" t="n"/>
      <c r="O13" s="127" t="n"/>
      <c r="P13" s="127" t="n"/>
      <c r="Q13" s="143" t="n"/>
      <c r="R13" s="11" t="n"/>
    </row>
    <row r="14" ht="18" customHeight="1" s="227">
      <c r="A14" s="10" t="n"/>
      <c r="B14" s="419" t="inlineStr">
        <is>
          <t>Kontak Direnci µΩ</t>
        </is>
      </c>
      <c r="C14" s="99" t="n"/>
      <c r="D14" s="99" t="n"/>
      <c r="E14" s="99" t="n"/>
      <c r="F14" s="99" t="n"/>
      <c r="G14" s="99" t="n"/>
      <c r="H14" s="99" t="n"/>
      <c r="I14" s="482" t="n"/>
      <c r="J14" s="609" t="inlineStr">
        <is>
          <t xml:space="preserve">L-1 </t>
        </is>
      </c>
      <c r="K14" s="79" t="n"/>
      <c r="L14" s="79" t="n"/>
      <c r="M14" s="79" t="n"/>
      <c r="N14" s="79" t="n"/>
      <c r="O14" s="79" t="n"/>
      <c r="P14" s="532">
        <f>IF(N20&lt;150,1,0)</f>
        <v/>
      </c>
      <c r="Q14" s="482" t="n"/>
      <c r="R14" s="11" t="n"/>
    </row>
    <row r="15" ht="9" customHeight="1" s="227">
      <c r="A15" s="10" t="n"/>
      <c r="B15" s="39" t="n"/>
      <c r="C15" s="40" t="n"/>
      <c r="D15" s="40" t="n"/>
      <c r="E15" s="40" t="n"/>
      <c r="F15" s="40" t="n"/>
      <c r="G15" s="40" t="n"/>
      <c r="H15" s="40" t="n"/>
      <c r="I15" s="40" t="n"/>
      <c r="J15" s="40" t="n"/>
      <c r="K15" s="40" t="n"/>
      <c r="L15" s="40" t="n"/>
      <c r="M15" s="40" t="n"/>
      <c r="N15" s="40" t="n"/>
      <c r="O15" s="40" t="n"/>
      <c r="P15" s="40" t="n"/>
      <c r="Q15" s="41" t="n"/>
      <c r="R15" s="11" t="n"/>
    </row>
    <row r="16" ht="15" customHeight="1" s="227">
      <c r="A16" s="10" t="n"/>
      <c r="B16" s="384" t="inlineStr">
        <is>
          <t>Nominal Değerler</t>
        </is>
      </c>
      <c r="F16" s="446" t="n"/>
      <c r="J16" s="385" t="inlineStr">
        <is>
          <t>Ölçülen</t>
        </is>
      </c>
      <c r="N16" s="319" t="n"/>
      <c r="Q16" s="212" t="n"/>
      <c r="R16" s="11" t="n"/>
    </row>
    <row r="17" ht="15" customHeight="1" s="227">
      <c r="A17" s="10" t="n"/>
      <c r="B17" s="377" t="inlineStr">
        <is>
          <t>Maksimum Direnç</t>
        </is>
      </c>
      <c r="F17" s="462" t="n">
        <v>150</v>
      </c>
      <c r="H17" s="610" t="inlineStr">
        <is>
          <t>µΩ</t>
        </is>
      </c>
      <c r="I17" s="127" t="n"/>
      <c r="J17" s="446" t="inlineStr">
        <is>
          <t>Akım DC</t>
        </is>
      </c>
      <c r="N17" s="461" t="n">
        <v>82</v>
      </c>
      <c r="P17" s="319" t="inlineStr">
        <is>
          <t>A</t>
        </is>
      </c>
      <c r="Q17" s="212" t="n"/>
      <c r="R17" s="11" t="n"/>
    </row>
    <row r="18" ht="15" customHeight="1" s="227">
      <c r="A18" s="10" t="n"/>
      <c r="B18" s="377" t="n"/>
      <c r="F18" s="446" t="n"/>
      <c r="J18" s="446" t="inlineStr">
        <is>
          <t>Gerilim DC</t>
        </is>
      </c>
      <c r="N18" s="462">
        <f>N20*N17/1000</f>
        <v/>
      </c>
      <c r="P18" s="319" t="inlineStr">
        <is>
          <t>mV</t>
        </is>
      </c>
      <c r="Q18" s="212" t="n"/>
      <c r="R18" s="11" t="n"/>
    </row>
    <row r="19" ht="15" customHeight="1" s="227">
      <c r="A19" s="10" t="n"/>
      <c r="B19" s="377" t="inlineStr">
        <is>
          <t>Çıkış Kademesi</t>
        </is>
      </c>
      <c r="F19" s="611" t="inlineStr">
        <is>
          <t>DC 400A</t>
        </is>
      </c>
      <c r="H19" s="127" t="n"/>
      <c r="I19" s="127" t="n"/>
      <c r="J19" s="385" t="inlineStr">
        <is>
          <t>Sonuçlar</t>
        </is>
      </c>
      <c r="N19" s="319" t="n"/>
      <c r="Q19" s="212" t="n"/>
      <c r="R19" s="11" t="n"/>
    </row>
    <row r="20" ht="15" customHeight="1" s="227">
      <c r="A20" s="10" t="n"/>
      <c r="B20" s="302" t="inlineStr">
        <is>
          <t>Akım</t>
        </is>
      </c>
      <c r="F20" s="59" t="inlineStr">
        <is>
          <t>80,00A</t>
        </is>
      </c>
      <c r="H20" s="127" t="n"/>
      <c r="I20" s="127" t="n"/>
      <c r="J20" s="446" t="inlineStr">
        <is>
          <t>Ölçülen Direnç</t>
        </is>
      </c>
      <c r="N20" s="462">
        <f>'ANA SAYFA KESİCİ'!O50</f>
        <v/>
      </c>
      <c r="P20" s="612" t="inlineStr">
        <is>
          <t>µΩ</t>
        </is>
      </c>
      <c r="Q20" s="212" t="n"/>
      <c r="R20" s="11" t="n"/>
    </row>
    <row r="21" ht="15" customHeight="1" s="227">
      <c r="A21" s="10" t="n"/>
      <c r="B21" s="42" t="n"/>
      <c r="C21" s="43" t="n"/>
      <c r="D21" s="43" t="n"/>
      <c r="E21" s="43" t="n"/>
      <c r="F21" s="43" t="n"/>
      <c r="G21" s="43" t="n"/>
      <c r="H21" s="43" t="n"/>
      <c r="I21" s="43" t="n"/>
      <c r="J21" s="314" t="inlineStr">
        <is>
          <t>Hata</t>
        </is>
      </c>
      <c r="K21" s="50" t="n"/>
      <c r="L21" s="50" t="n"/>
      <c r="M21" s="50" t="n"/>
      <c r="N21" s="311" t="n"/>
      <c r="O21" s="50" t="n"/>
      <c r="P21" s="315" t="inlineStr">
        <is>
          <t>%</t>
        </is>
      </c>
      <c r="Q21" s="213" t="n"/>
      <c r="R21" s="11" t="n"/>
    </row>
    <row r="22" ht="6" customHeight="1" s="227">
      <c r="A22" s="10" t="n"/>
      <c r="B22" s="118" t="n"/>
      <c r="C22" s="613" t="n"/>
      <c r="E22" s="317" t="n"/>
      <c r="G22" s="317" t="n"/>
      <c r="I22" s="317" t="n"/>
      <c r="K22" s="317" t="n"/>
      <c r="M22" s="317" t="n"/>
      <c r="O22" s="317" t="n"/>
      <c r="Q22" s="117" t="n"/>
      <c r="R22" s="11" t="n"/>
    </row>
    <row r="23" ht="18" customHeight="1" s="227">
      <c r="A23" s="10" t="n"/>
      <c r="B23" s="419" t="inlineStr">
        <is>
          <t>Kontak Direnci µΩ</t>
        </is>
      </c>
      <c r="C23" s="99" t="n"/>
      <c r="D23" s="99" t="n"/>
      <c r="E23" s="99" t="n"/>
      <c r="F23" s="99" t="n"/>
      <c r="G23" s="99" t="n"/>
      <c r="H23" s="99" t="n"/>
      <c r="I23" s="482" t="n"/>
      <c r="J23" s="609" t="inlineStr">
        <is>
          <t>L-2</t>
        </is>
      </c>
      <c r="K23" s="79" t="n"/>
      <c r="L23" s="79" t="n"/>
      <c r="M23" s="79" t="n"/>
      <c r="N23" s="79" t="n"/>
      <c r="O23" s="79" t="n"/>
      <c r="P23" s="532">
        <f>IF(N29&lt;150,1,0)</f>
        <v/>
      </c>
      <c r="Q23" s="482" t="n"/>
      <c r="R23" s="11" t="n"/>
    </row>
    <row r="24" ht="15" customHeight="1" s="227">
      <c r="A24" s="10" t="n"/>
      <c r="B24" s="39" t="n"/>
      <c r="C24" s="40" t="n"/>
      <c r="D24" s="40" t="n"/>
      <c r="E24" s="40" t="n"/>
      <c r="F24" s="40" t="n"/>
      <c r="G24" s="40" t="n"/>
      <c r="H24" s="40" t="n"/>
      <c r="I24" s="40" t="n"/>
      <c r="J24" s="40" t="n"/>
      <c r="K24" s="40" t="n"/>
      <c r="L24" s="40" t="n"/>
      <c r="M24" s="40" t="n"/>
      <c r="N24" s="40" t="n"/>
      <c r="O24" s="40" t="n"/>
      <c r="P24" s="40" t="n"/>
      <c r="Q24" s="41" t="n"/>
      <c r="R24" s="11" t="n"/>
      <c r="V24" s="256" t="inlineStr">
        <is>
          <t>Kesicinin L1 kontağına ait geçiş direci uygundur.</t>
        </is>
      </c>
    </row>
    <row r="25" ht="15" customHeight="1" s="227">
      <c r="A25" s="10" t="n"/>
      <c r="B25" s="384" t="inlineStr">
        <is>
          <t>Nominal Değerler</t>
        </is>
      </c>
      <c r="F25" s="446" t="n"/>
      <c r="J25" s="385" t="inlineStr">
        <is>
          <t>Ölçülen</t>
        </is>
      </c>
      <c r="N25" s="59" t="n"/>
      <c r="P25" s="319" t="n"/>
      <c r="Q25" s="212" t="n"/>
      <c r="R25" s="11" t="n"/>
      <c r="V25" s="256" t="inlineStr">
        <is>
          <t>Kesicinin L1 kontağına ait geçiş direci uygun değildir.</t>
        </is>
      </c>
    </row>
    <row r="26" ht="15" customHeight="1" s="227">
      <c r="A26" s="10" t="n"/>
      <c r="B26" s="377" t="inlineStr">
        <is>
          <t>Nominal Direnç</t>
        </is>
      </c>
      <c r="F26" s="462" t="n">
        <v>150</v>
      </c>
      <c r="H26" s="610" t="inlineStr">
        <is>
          <t>µΩ</t>
        </is>
      </c>
      <c r="I26" s="127" t="n"/>
      <c r="J26" s="446" t="inlineStr">
        <is>
          <t>Akım DC</t>
        </is>
      </c>
      <c r="N26" s="461" t="n">
        <v>82</v>
      </c>
      <c r="P26" s="319" t="inlineStr">
        <is>
          <t>A</t>
        </is>
      </c>
      <c r="Q26" s="212" t="n"/>
      <c r="R26" s="11" t="n"/>
      <c r="V26" s="256" t="inlineStr">
        <is>
          <t>Kesicinin L2 kontağına ait geçiş direci uygundur.</t>
        </is>
      </c>
    </row>
    <row r="27" ht="15" customHeight="1" s="227">
      <c r="A27" s="10" t="n"/>
      <c r="B27" s="377" t="n"/>
      <c r="F27" s="446" t="n"/>
      <c r="J27" s="446" t="inlineStr">
        <is>
          <t>Gerilim DC</t>
        </is>
      </c>
      <c r="N27" s="462">
        <f>N29*N26/1000</f>
        <v/>
      </c>
      <c r="P27" s="319" t="inlineStr">
        <is>
          <t>mV</t>
        </is>
      </c>
      <c r="Q27" s="212" t="n"/>
      <c r="R27" s="11" t="n"/>
      <c r="V27" s="256" t="inlineStr">
        <is>
          <t>Kesicinin L2 kontağına ait geçiş direci uygun değildir.</t>
        </is>
      </c>
    </row>
    <row r="28" ht="15" customHeight="1" s="227">
      <c r="A28" s="10" t="n"/>
      <c r="B28" s="377" t="inlineStr">
        <is>
          <t>Çıkış Kademesi</t>
        </is>
      </c>
      <c r="F28" s="611" t="inlineStr">
        <is>
          <t>DC 400A</t>
        </is>
      </c>
      <c r="H28" s="127" t="n"/>
      <c r="I28" s="127" t="n"/>
      <c r="J28" s="385" t="inlineStr">
        <is>
          <t>Sonuçlar</t>
        </is>
      </c>
      <c r="N28" s="319" t="n"/>
      <c r="Q28" s="212" t="n"/>
      <c r="R28" s="11" t="n"/>
      <c r="V28" s="256" t="inlineStr">
        <is>
          <t>Kesicinin L3 kontağına ait geçiş direci uygundur.</t>
        </is>
      </c>
    </row>
    <row r="29" ht="15" customHeight="1" s="227">
      <c r="A29" s="10" t="n"/>
      <c r="B29" s="302" t="inlineStr">
        <is>
          <t>Akım</t>
        </is>
      </c>
      <c r="F29" s="59" t="inlineStr">
        <is>
          <t>80,00A</t>
        </is>
      </c>
      <c r="H29" s="127" t="n"/>
      <c r="I29" s="127" t="n"/>
      <c r="J29" s="446" t="inlineStr">
        <is>
          <t>Ölçülen Direnç</t>
        </is>
      </c>
      <c r="N29" s="462">
        <f>'ANA SAYFA KESİCİ'!O52</f>
        <v/>
      </c>
      <c r="P29" s="612" t="inlineStr">
        <is>
          <t>µΩ</t>
        </is>
      </c>
      <c r="Q29" s="212" t="n"/>
      <c r="R29" s="11" t="n"/>
      <c r="V29" s="256" t="inlineStr">
        <is>
          <t>Kesicinin L3 kontağına ait geçiş direci uygun değildir.</t>
        </is>
      </c>
    </row>
    <row r="30" ht="15" customHeight="1" s="227">
      <c r="A30" s="10" t="n"/>
      <c r="B30" s="42" t="n"/>
      <c r="C30" s="43" t="n"/>
      <c r="D30" s="43" t="n"/>
      <c r="E30" s="43" t="n"/>
      <c r="F30" s="43" t="n"/>
      <c r="G30" s="43" t="n"/>
      <c r="H30" s="43" t="n"/>
      <c r="I30" s="43" t="n"/>
      <c r="J30" s="314" t="n"/>
      <c r="K30" s="50" t="n"/>
      <c r="L30" s="50" t="n"/>
      <c r="M30" s="50" t="n"/>
      <c r="N30" s="311" t="n"/>
      <c r="O30" s="50" t="n"/>
      <c r="P30" s="315" t="inlineStr">
        <is>
          <t>%</t>
        </is>
      </c>
      <c r="Q30" s="213" t="n"/>
      <c r="R30" s="11" t="n"/>
    </row>
    <row r="31" ht="7.5" customHeight="1" s="227">
      <c r="A31" s="10" t="n"/>
      <c r="B31" s="3" t="n"/>
      <c r="C31" s="127" t="n"/>
      <c r="D31" s="127" t="n"/>
      <c r="E31" s="127" t="n"/>
      <c r="F31" s="127" t="n"/>
      <c r="G31" s="127" t="n"/>
      <c r="H31" s="127" t="n"/>
      <c r="I31" s="127" t="n"/>
      <c r="J31" s="127" t="n"/>
      <c r="K31" s="127" t="n"/>
      <c r="L31" s="127" t="n"/>
      <c r="M31" s="127" t="n"/>
      <c r="N31" s="127" t="n"/>
      <c r="O31" s="127" t="n"/>
      <c r="P31" s="127" t="n"/>
      <c r="Q31" s="143" t="n"/>
      <c r="R31" s="11" t="n"/>
    </row>
    <row r="32" ht="18" customHeight="1" s="227">
      <c r="A32" s="10" t="n"/>
      <c r="B32" s="419" t="inlineStr">
        <is>
          <t>Kontak Direnci µΩ</t>
        </is>
      </c>
      <c r="C32" s="99" t="n"/>
      <c r="D32" s="99" t="n"/>
      <c r="E32" s="99" t="n"/>
      <c r="F32" s="99" t="n"/>
      <c r="G32" s="99" t="n"/>
      <c r="H32" s="99" t="n"/>
      <c r="I32" s="482" t="n"/>
      <c r="J32" s="609" t="inlineStr">
        <is>
          <t xml:space="preserve">L-3 </t>
        </is>
      </c>
      <c r="K32" s="79" t="n"/>
      <c r="L32" s="79" t="n"/>
      <c r="M32" s="79" t="n"/>
      <c r="N32" s="79" t="n"/>
      <c r="O32" s="79" t="n"/>
      <c r="P32" s="532">
        <f>IF(N38&lt;150,1,0)</f>
        <v/>
      </c>
      <c r="Q32" s="482" t="n"/>
      <c r="R32" s="11" t="n"/>
    </row>
    <row r="33" ht="15" customHeight="1" s="227">
      <c r="A33" s="10" t="n"/>
      <c r="B33" s="39" t="n"/>
      <c r="C33" s="40" t="n"/>
      <c r="D33" s="40" t="n"/>
      <c r="E33" s="40" t="n"/>
      <c r="F33" s="40" t="n"/>
      <c r="G33" s="40" t="n"/>
      <c r="H33" s="40" t="n"/>
      <c r="I33" s="40" t="n"/>
      <c r="J33" s="40" t="n"/>
      <c r="K33" s="40" t="n"/>
      <c r="L33" s="40" t="n"/>
      <c r="M33" s="40" t="n"/>
      <c r="N33" s="40" t="n"/>
      <c r="O33" s="40" t="n"/>
      <c r="P33" s="40" t="n"/>
      <c r="Q33" s="41" t="n"/>
      <c r="R33" s="11" t="n"/>
    </row>
    <row r="34" ht="15" customHeight="1" s="227">
      <c r="A34" s="10" t="n"/>
      <c r="B34" s="384" t="inlineStr">
        <is>
          <t>Nominal Değerler</t>
        </is>
      </c>
      <c r="F34" s="446" t="n"/>
      <c r="J34" s="385" t="inlineStr">
        <is>
          <t>Ölçülen</t>
        </is>
      </c>
      <c r="N34" s="59" t="n"/>
      <c r="P34" s="319" t="n"/>
      <c r="Q34" s="212" t="n"/>
      <c r="R34" s="11" t="n"/>
    </row>
    <row r="35" ht="15" customHeight="1" s="227">
      <c r="A35" s="10" t="n"/>
      <c r="B35" s="377" t="inlineStr">
        <is>
          <t>Nominal Direnç</t>
        </is>
      </c>
      <c r="F35" s="462" t="n">
        <v>150</v>
      </c>
      <c r="H35" s="610" t="inlineStr">
        <is>
          <t>µΩ</t>
        </is>
      </c>
      <c r="I35" s="127" t="n"/>
      <c r="J35" s="446" t="inlineStr">
        <is>
          <t>Akım DC</t>
        </is>
      </c>
      <c r="N35" s="461" t="n">
        <v>82</v>
      </c>
      <c r="P35" s="319" t="inlineStr">
        <is>
          <t>A</t>
        </is>
      </c>
      <c r="Q35" s="212" t="n"/>
      <c r="R35" s="11" t="n"/>
    </row>
    <row r="36" ht="15" customHeight="1" s="227">
      <c r="A36" s="10" t="n"/>
      <c r="B36" s="377" t="n"/>
      <c r="F36" s="446" t="n"/>
      <c r="J36" s="446" t="inlineStr">
        <is>
          <t>Gerilim DC</t>
        </is>
      </c>
      <c r="N36" s="462">
        <f>N38*N35/1000</f>
        <v/>
      </c>
      <c r="P36" s="319" t="inlineStr">
        <is>
          <t>mV</t>
        </is>
      </c>
      <c r="Q36" s="212" t="n"/>
      <c r="R36" s="11" t="n"/>
    </row>
    <row r="37" ht="15.75" customHeight="1" s="227">
      <c r="A37" s="10" t="n"/>
      <c r="B37" s="377" t="inlineStr">
        <is>
          <t>Çıkış Kademesi</t>
        </is>
      </c>
      <c r="F37" s="611" t="inlineStr">
        <is>
          <t>DC 400A</t>
        </is>
      </c>
      <c r="H37" s="127" t="n"/>
      <c r="I37" s="127" t="n"/>
      <c r="J37" s="385" t="inlineStr">
        <is>
          <t>Sonuçlar</t>
        </is>
      </c>
      <c r="N37" s="319" t="n"/>
      <c r="Q37" s="212" t="n"/>
      <c r="R37" s="11" t="n"/>
    </row>
    <row r="38" ht="15" customHeight="1" s="227">
      <c r="A38" s="10" t="n"/>
      <c r="B38" s="302" t="inlineStr">
        <is>
          <t>Akım</t>
        </is>
      </c>
      <c r="F38" s="59" t="inlineStr">
        <is>
          <t>80,00A</t>
        </is>
      </c>
      <c r="H38" s="127" t="n"/>
      <c r="I38" s="127" t="n"/>
      <c r="J38" s="446" t="inlineStr">
        <is>
          <t>Ölçülen Direnç</t>
        </is>
      </c>
      <c r="N38" s="462">
        <f>'ANA SAYFA KESİCİ'!O54</f>
        <v/>
      </c>
      <c r="P38" s="612" t="inlineStr">
        <is>
          <t>µΩ</t>
        </is>
      </c>
      <c r="Q38" s="212" t="n"/>
      <c r="R38" s="11" t="n"/>
    </row>
    <row r="39" ht="15" customHeight="1" s="227">
      <c r="A39" s="10" t="n"/>
      <c r="B39" s="42" t="n"/>
      <c r="C39" s="43" t="n"/>
      <c r="D39" s="43" t="n"/>
      <c r="E39" s="43" t="n"/>
      <c r="F39" s="43" t="n"/>
      <c r="G39" s="43" t="n"/>
      <c r="H39" s="43" t="n"/>
      <c r="I39" s="43" t="n"/>
      <c r="J39" s="314" t="n"/>
      <c r="K39" s="50" t="n"/>
      <c r="L39" s="50" t="n"/>
      <c r="M39" s="50" t="n"/>
      <c r="N39" s="311" t="n"/>
      <c r="O39" s="50" t="n"/>
      <c r="P39" s="315" t="inlineStr">
        <is>
          <t>%</t>
        </is>
      </c>
      <c r="Q39" s="213" t="n"/>
      <c r="R39" s="11" t="n"/>
    </row>
    <row r="40" ht="15" customHeight="1" s="227">
      <c r="A40" s="10" t="n"/>
      <c r="B40" s="3" t="n"/>
      <c r="C40" s="127" t="n"/>
      <c r="D40" s="127" t="n"/>
      <c r="E40" s="127" t="n"/>
      <c r="F40" s="127" t="n"/>
      <c r="G40" s="127" t="n"/>
      <c r="H40" s="127" t="n"/>
      <c r="I40" s="127" t="n"/>
      <c r="J40" s="446" t="n"/>
      <c r="K40" s="446" t="n"/>
      <c r="L40" s="446" t="n"/>
      <c r="M40" s="446" t="n"/>
      <c r="N40" s="317" t="n"/>
      <c r="O40" s="317" t="n"/>
      <c r="P40" s="446" t="n"/>
      <c r="Q40" s="319" t="n"/>
      <c r="R40" s="11" t="n"/>
    </row>
    <row r="41" ht="15" customHeight="1" s="227">
      <c r="A41" s="10" t="n"/>
      <c r="B41" s="3" t="n"/>
      <c r="C41" s="127" t="n"/>
      <c r="D41" s="127" t="n"/>
      <c r="E41" s="127" t="n"/>
      <c r="F41" s="127" t="n"/>
      <c r="G41" s="127" t="n"/>
      <c r="H41" s="127" t="n"/>
      <c r="I41" s="127" t="n"/>
      <c r="J41" s="446" t="n"/>
      <c r="K41" s="446" t="n"/>
      <c r="L41" s="446" t="n"/>
      <c r="M41" s="446" t="n"/>
      <c r="N41" s="317" t="n"/>
      <c r="O41" s="317" t="n"/>
      <c r="P41" s="446" t="n"/>
      <c r="Q41" s="319" t="n"/>
      <c r="R41" s="11" t="n"/>
    </row>
    <row r="42" ht="15" customHeight="1" s="227">
      <c r="A42" s="10" t="n"/>
      <c r="B42" s="3" t="n"/>
      <c r="C42" s="127" t="n"/>
      <c r="D42" s="127" t="n"/>
      <c r="E42" s="127" t="n"/>
      <c r="F42" s="127" t="n"/>
      <c r="G42" s="127" t="n"/>
      <c r="H42" s="127" t="n"/>
      <c r="I42" s="127" t="n"/>
      <c r="J42" s="446" t="n"/>
      <c r="K42" s="446" t="n"/>
      <c r="L42" s="446" t="n"/>
      <c r="M42" s="446" t="n"/>
      <c r="N42" s="317" t="n"/>
      <c r="O42" s="317" t="n"/>
      <c r="P42" s="446" t="n"/>
      <c r="Q42" s="319" t="n"/>
      <c r="R42" s="11" t="n"/>
    </row>
    <row r="43" ht="15" customHeight="1" s="227">
      <c r="A43" s="10" t="n"/>
      <c r="B43" s="3" t="n"/>
      <c r="C43" s="127" t="n"/>
      <c r="D43" s="127" t="n"/>
      <c r="E43" s="127" t="n"/>
      <c r="F43" s="127" t="n"/>
      <c r="G43" s="127" t="n"/>
      <c r="H43" s="127" t="n"/>
      <c r="I43" s="127" t="n"/>
      <c r="J43" s="446" t="n"/>
      <c r="K43" s="446" t="n"/>
      <c r="L43" s="446" t="n"/>
      <c r="M43" s="446" t="n"/>
      <c r="N43" s="317" t="n"/>
      <c r="O43" s="317" t="n"/>
      <c r="P43" s="446" t="n"/>
      <c r="Q43" s="319" t="n"/>
      <c r="R43" s="11" t="n"/>
    </row>
    <row r="44" ht="15" customHeight="1" s="227">
      <c r="A44" s="10" t="n"/>
      <c r="B44" s="3" t="n"/>
      <c r="C44" s="127" t="n"/>
      <c r="D44" s="127" t="n"/>
      <c r="E44" s="127" t="n"/>
      <c r="F44" s="127" t="n"/>
      <c r="G44" s="127" t="n"/>
      <c r="H44" s="127" t="n"/>
      <c r="I44" s="127" t="n"/>
      <c r="J44" s="446" t="n"/>
      <c r="K44" s="446" t="n"/>
      <c r="L44" s="446" t="n"/>
      <c r="M44" s="446" t="n"/>
      <c r="N44" s="317" t="n"/>
      <c r="O44" s="317" t="n"/>
      <c r="P44" s="446" t="n"/>
      <c r="Q44" s="319" t="n"/>
      <c r="R44" s="11" t="n"/>
    </row>
    <row r="45" ht="15" customHeight="1" s="227">
      <c r="A45" s="10" t="n"/>
      <c r="B45" s="357" t="inlineStr">
        <is>
          <t>Sonuç:</t>
        </is>
      </c>
      <c r="C45" s="47" t="n"/>
      <c r="D45" s="614">
        <f>IF(P14&lt;1,V25,V24)</f>
        <v/>
      </c>
      <c r="E45" s="47" t="n"/>
      <c r="F45" s="47" t="n"/>
      <c r="G45" s="47" t="n"/>
      <c r="H45" s="47" t="n"/>
      <c r="I45" s="47" t="n"/>
      <c r="J45" s="47" t="n"/>
      <c r="K45" s="47" t="n"/>
      <c r="L45" s="47" t="n"/>
      <c r="M45" s="47" t="n"/>
      <c r="N45" s="47" t="n"/>
      <c r="O45" s="47" t="n"/>
      <c r="P45" s="47" t="n"/>
      <c r="Q45" s="211" t="n"/>
      <c r="R45" s="11" t="n"/>
    </row>
    <row r="46" ht="15" customHeight="1" s="227">
      <c r="A46" s="10" t="n"/>
      <c r="B46" s="615" t="n"/>
      <c r="C46" s="616" t="n"/>
      <c r="D46" s="617">
        <f>IF(P23&lt;1,V27,V26)</f>
        <v/>
      </c>
      <c r="Q46" s="212" t="n"/>
      <c r="R46" s="11" t="n"/>
    </row>
    <row r="47" ht="15" customHeight="1" s="227">
      <c r="A47" s="10" t="n"/>
      <c r="B47" s="615" t="n"/>
      <c r="C47" s="616" t="n"/>
      <c r="D47" s="617">
        <f>IF(P32&lt;1,V29,V28)</f>
        <v/>
      </c>
      <c r="Q47" s="212" t="n"/>
      <c r="R47" s="11" t="n"/>
    </row>
    <row r="48" ht="15" customHeight="1" s="227">
      <c r="A48" s="10" t="n"/>
      <c r="B48" s="615" t="n"/>
      <c r="C48" s="616" t="n"/>
      <c r="D48" s="617" t="n"/>
      <c r="Q48" s="212" t="n"/>
      <c r="R48" s="11" t="n"/>
    </row>
    <row r="49" ht="9" customHeight="1" s="227">
      <c r="A49" s="10" t="n"/>
      <c r="B49" s="618" t="n"/>
      <c r="C49" s="619" t="n"/>
      <c r="D49" s="617" t="n"/>
      <c r="Q49" s="212" t="n"/>
      <c r="R49" s="11" t="n"/>
    </row>
    <row r="50" ht="22.5" customHeight="1" s="227">
      <c r="A50" s="10" t="n"/>
      <c r="B50" s="365" t="inlineStr">
        <is>
          <t>UNVAN</t>
        </is>
      </c>
      <c r="C50" s="47" t="n"/>
      <c r="D50" s="47" t="n"/>
      <c r="E50" s="531" t="inlineStr">
        <is>
          <t>:</t>
        </is>
      </c>
      <c r="F50" s="368" t="inlineStr">
        <is>
          <t>Elektrik Mühendisi</t>
        </is>
      </c>
      <c r="G50" s="47" t="n"/>
      <c r="H50" s="47" t="n"/>
      <c r="I50" s="211" t="n"/>
      <c r="J50" s="485" t="inlineStr">
        <is>
          <t>ONAYLAYAN</t>
        </is>
      </c>
      <c r="K50" s="99" t="n"/>
      <c r="L50" s="99" t="n"/>
      <c r="M50" s="99" t="n"/>
      <c r="N50" s="99" t="n"/>
      <c r="O50" s="99" t="n"/>
      <c r="P50" s="99" t="n"/>
      <c r="Q50" s="482" t="n"/>
      <c r="R50" s="11" t="n"/>
    </row>
    <row r="51" ht="22.5" customHeight="1" s="227">
      <c r="A51" s="10" t="n"/>
      <c r="B51" s="365" t="inlineStr">
        <is>
          <t>TEST TARİHİ</t>
        </is>
      </c>
      <c r="C51" s="47" t="n"/>
      <c r="D51" s="47" t="n"/>
      <c r="E51" s="531" t="inlineStr">
        <is>
          <t>:</t>
        </is>
      </c>
      <c r="F51" s="533">
        <f>'ANA SAYFA KESİCİ'!F75:J75</f>
        <v/>
      </c>
      <c r="G51" s="47" t="n"/>
      <c r="H51" s="47" t="n"/>
      <c r="I51" s="211" t="n"/>
      <c r="J51" s="53" t="n"/>
      <c r="K51" s="54" t="n"/>
      <c r="L51" s="134" t="n"/>
      <c r="M51" s="134" t="n"/>
      <c r="N51" s="134" t="n"/>
      <c r="O51" s="134" t="n"/>
      <c r="P51" s="134" t="n"/>
      <c r="Q51" s="135" t="n"/>
      <c r="R51" s="11" t="n"/>
    </row>
    <row r="52" ht="22.5" customHeight="1" s="227">
      <c r="A52" s="10" t="n"/>
      <c r="B52" s="355" t="inlineStr">
        <is>
          <t>ODA SİCİL NO</t>
        </is>
      </c>
      <c r="C52" s="99" t="n"/>
      <c r="D52" s="99" t="n"/>
      <c r="E52" s="366" t="inlineStr">
        <is>
          <t>:</t>
        </is>
      </c>
      <c r="F52" s="534">
        <f>'ANA SAYFA KESİCİ'!F77:J77</f>
        <v/>
      </c>
      <c r="G52" s="47" t="n"/>
      <c r="H52" s="47" t="n"/>
      <c r="I52" s="211" t="n"/>
      <c r="J52" s="53" t="n"/>
      <c r="K52" s="54" t="n"/>
      <c r="L52" s="134" t="n"/>
      <c r="M52" s="134" t="n"/>
      <c r="N52" s="134" t="n"/>
      <c r="O52" s="134" t="n"/>
      <c r="P52" s="134" t="n"/>
      <c r="Q52" s="135" t="n"/>
      <c r="R52" s="11" t="n"/>
    </row>
    <row r="53" ht="22.5" customHeight="1" s="227">
      <c r="A53" s="10" t="n"/>
      <c r="B53" s="355" t="inlineStr">
        <is>
          <t>EKİPNET NO</t>
        </is>
      </c>
      <c r="C53" s="99" t="n"/>
      <c r="D53" s="99" t="n"/>
      <c r="E53" s="356" t="inlineStr">
        <is>
          <t>:</t>
        </is>
      </c>
      <c r="F53" s="383">
        <f>'ANA SAYFA KESİCİ'!F78:J78</f>
        <v/>
      </c>
      <c r="G53" s="99" t="n"/>
      <c r="H53" s="99" t="n"/>
      <c r="I53" s="482" t="n"/>
      <c r="J53" s="535" t="n"/>
      <c r="K53" s="139" t="n"/>
      <c r="L53" s="139" t="n"/>
      <c r="M53" s="139" t="n"/>
      <c r="N53" s="139" t="n"/>
      <c r="O53" s="139" t="n"/>
      <c r="P53" s="139" t="n"/>
      <c r="Q53" s="136" t="n"/>
      <c r="R53" s="11" t="n"/>
    </row>
    <row r="54" ht="15" customHeight="1" s="227">
      <c r="A54" s="15" t="n"/>
      <c r="B54" s="16" t="n"/>
      <c r="C54" s="16" t="n"/>
      <c r="D54" s="16" t="n"/>
      <c r="E54" s="16" t="n"/>
      <c r="F54" s="16" t="n"/>
      <c r="G54" s="16" t="n"/>
      <c r="H54" s="16" t="n"/>
      <c r="I54" s="16" t="n"/>
      <c r="J54" s="16" t="n"/>
      <c r="K54" s="16" t="n"/>
      <c r="L54" s="16" t="n"/>
      <c r="M54" s="16" t="n"/>
      <c r="N54" s="16" t="n"/>
      <c r="O54" s="16" t="n"/>
      <c r="P54" s="16" t="n"/>
      <c r="Q54" s="16" t="n"/>
      <c r="R54" s="17" t="n"/>
    </row>
  </sheetData>
  <mergeCells count="129">
    <mergeCell ref="F27:I27"/>
    <mergeCell ref="N20:O20"/>
    <mergeCell ref="F29:G29"/>
    <mergeCell ref="P20:Q20"/>
    <mergeCell ref="H10:I10"/>
    <mergeCell ref="B53:D53"/>
    <mergeCell ref="J18:M18"/>
    <mergeCell ref="B36:E36"/>
    <mergeCell ref="F53:I53"/>
    <mergeCell ref="J17:M17"/>
    <mergeCell ref="M10:N10"/>
    <mergeCell ref="F16:I16"/>
    <mergeCell ref="F25:I25"/>
    <mergeCell ref="N39:O39"/>
    <mergeCell ref="B8:I8"/>
    <mergeCell ref="J19:M19"/>
    <mergeCell ref="P39:Q39"/>
    <mergeCell ref="J28:M28"/>
    <mergeCell ref="N29:O29"/>
    <mergeCell ref="D47:Q47"/>
    <mergeCell ref="N38:O38"/>
    <mergeCell ref="P32:Q32"/>
    <mergeCell ref="J30:M30"/>
    <mergeCell ref="O10:Q10"/>
    <mergeCell ref="G2:I2"/>
    <mergeCell ref="B38:E38"/>
    <mergeCell ref="E22:F22"/>
    <mergeCell ref="G22:H22"/>
    <mergeCell ref="N26:O26"/>
    <mergeCell ref="P26:Q26"/>
    <mergeCell ref="N35:O35"/>
    <mergeCell ref="P35:Q35"/>
    <mergeCell ref="V28:AD28"/>
    <mergeCell ref="F19:G19"/>
    <mergeCell ref="F52:I52"/>
    <mergeCell ref="N25:O25"/>
    <mergeCell ref="P25:Q25"/>
    <mergeCell ref="P34:Q34"/>
    <mergeCell ref="B26:E26"/>
    <mergeCell ref="B35:E35"/>
    <mergeCell ref="K3:Q3"/>
    <mergeCell ref="F20:G20"/>
    <mergeCell ref="B16:E16"/>
    <mergeCell ref="P36:Q36"/>
    <mergeCell ref="D49:Q49"/>
    <mergeCell ref="B25:E25"/>
    <mergeCell ref="B14:I14"/>
    <mergeCell ref="B23:I23"/>
    <mergeCell ref="F34:I34"/>
    <mergeCell ref="N16:Q16"/>
    <mergeCell ref="F17:G17"/>
    <mergeCell ref="B27:E27"/>
    <mergeCell ref="B18:E18"/>
    <mergeCell ref="J34:M34"/>
    <mergeCell ref="F28:G28"/>
    <mergeCell ref="J27:M27"/>
    <mergeCell ref="J36:M36"/>
    <mergeCell ref="N30:O30"/>
    <mergeCell ref="P30:Q30"/>
    <mergeCell ref="J20:M20"/>
    <mergeCell ref="B29:E29"/>
    <mergeCell ref="P14:Q14"/>
    <mergeCell ref="B37:E37"/>
    <mergeCell ref="J8:Q8"/>
    <mergeCell ref="V24:AD24"/>
    <mergeCell ref="J21:M21"/>
    <mergeCell ref="G3:I3"/>
    <mergeCell ref="D46:Q46"/>
    <mergeCell ref="B5:Q5"/>
    <mergeCell ref="V27:AD27"/>
    <mergeCell ref="N18:O18"/>
    <mergeCell ref="J38:M38"/>
    <mergeCell ref="P27:Q27"/>
    <mergeCell ref="C22:D22"/>
    <mergeCell ref="D10:G10"/>
    <mergeCell ref="B51:D51"/>
    <mergeCell ref="O22:P22"/>
    <mergeCell ref="N17:O17"/>
    <mergeCell ref="P17:Q17"/>
    <mergeCell ref="B50:D50"/>
    <mergeCell ref="F36:I36"/>
    <mergeCell ref="F18:I18"/>
    <mergeCell ref="F50:I50"/>
    <mergeCell ref="B17:E17"/>
    <mergeCell ref="J10:L10"/>
    <mergeCell ref="J26:M26"/>
    <mergeCell ref="B2:F3"/>
    <mergeCell ref="J35:M35"/>
    <mergeCell ref="B45:C45"/>
    <mergeCell ref="B19:E19"/>
    <mergeCell ref="B34:E34"/>
    <mergeCell ref="J16:M16"/>
    <mergeCell ref="J25:M25"/>
    <mergeCell ref="V29:AD29"/>
    <mergeCell ref="B28:E28"/>
    <mergeCell ref="B32:I32"/>
    <mergeCell ref="N19:Q19"/>
    <mergeCell ref="N28:Q28"/>
    <mergeCell ref="P29:Q29"/>
    <mergeCell ref="P38:Q38"/>
    <mergeCell ref="B20:E20"/>
    <mergeCell ref="D45:Q45"/>
    <mergeCell ref="N21:O21"/>
    <mergeCell ref="P21:Q21"/>
    <mergeCell ref="J39:M39"/>
    <mergeCell ref="V26:AD26"/>
    <mergeCell ref="I22:J22"/>
    <mergeCell ref="J29:M29"/>
    <mergeCell ref="F26:G26"/>
    <mergeCell ref="K22:L22"/>
    <mergeCell ref="P23:Q23"/>
    <mergeCell ref="F35:G35"/>
    <mergeCell ref="J37:M37"/>
    <mergeCell ref="M22:N22"/>
    <mergeCell ref="D48:Q48"/>
    <mergeCell ref="N37:Q37"/>
    <mergeCell ref="V25:AD25"/>
    <mergeCell ref="F38:G38"/>
    <mergeCell ref="B10:C10"/>
    <mergeCell ref="B12:Q12"/>
    <mergeCell ref="F51:I51"/>
    <mergeCell ref="P18:Q18"/>
    <mergeCell ref="F37:G37"/>
    <mergeCell ref="J50:Q50"/>
    <mergeCell ref="N34:O34"/>
    <mergeCell ref="B52:D52"/>
    <mergeCell ref="N27:O27"/>
    <mergeCell ref="K2:Q2"/>
    <mergeCell ref="N36:O36"/>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AJ64"/>
  <sheetViews>
    <sheetView zoomScale="82" zoomScaleNormal="82" workbookViewId="0">
      <selection activeCell="A1" sqref="A1"/>
    </sheetView>
  </sheetViews>
  <sheetFormatPr baseColWidth="8" defaultRowHeight="15"/>
  <cols>
    <col width="3.5546875" customWidth="1" style="227" min="1" max="1"/>
    <col width="5.44140625" customWidth="1" style="227" min="2" max="2"/>
    <col width="3.5546875" customWidth="1" style="227" min="18" max="18"/>
    <col width="9.109375" customWidth="1" style="227" min="19" max="19"/>
  </cols>
  <sheetData>
    <row r="1" ht="1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604" t="inlineStr">
        <is>
          <t xml:space="preserve">  ŞALT SAHASI          </t>
        </is>
      </c>
      <c r="H2" s="47" t="n"/>
      <c r="I2" s="47" t="n"/>
      <c r="J2" s="151" t="inlineStr">
        <is>
          <t>:</t>
        </is>
      </c>
      <c r="K2" s="297">
        <f>'ANA SAYFA KESİCİ'!K2</f>
        <v/>
      </c>
      <c r="L2" s="47" t="n"/>
      <c r="M2" s="47" t="n"/>
      <c r="N2" s="47" t="n"/>
      <c r="O2" s="47" t="n"/>
      <c r="P2" s="47" t="n"/>
      <c r="Q2" s="211" t="n"/>
      <c r="R2" s="11" t="n"/>
    </row>
    <row r="3" ht="29.25" customHeight="1" s="227">
      <c r="A3" s="10" t="n"/>
      <c r="B3" s="49" t="n"/>
      <c r="C3" s="50" t="n"/>
      <c r="D3" s="50" t="n"/>
      <c r="E3" s="50" t="n"/>
      <c r="F3" s="213" t="n"/>
      <c r="G3" s="605" t="inlineStr">
        <is>
          <t xml:space="preserve">  LOKASYON</t>
        </is>
      </c>
      <c r="H3" s="50" t="n"/>
      <c r="I3" s="50" t="n"/>
      <c r="J3" s="193" t="inlineStr">
        <is>
          <t>:</t>
        </is>
      </c>
      <c r="K3" s="396">
        <f>'ANA SAYFA KESİCİ'!K5</f>
        <v/>
      </c>
      <c r="L3" s="50" t="n"/>
      <c r="M3" s="50" t="n"/>
      <c r="N3" s="50" t="n"/>
      <c r="O3" s="50" t="n"/>
      <c r="P3" s="50" t="n"/>
      <c r="Q3" s="213" t="n"/>
      <c r="R3" s="11" t="n"/>
    </row>
    <row r="4" ht="10.5" customHeight="1" s="227">
      <c r="A4" s="10" t="n"/>
      <c r="B4" s="3" t="n"/>
      <c r="C4" s="127" t="n"/>
      <c r="D4" s="127" t="n"/>
      <c r="E4" s="127" t="n"/>
      <c r="F4" s="127" t="n"/>
      <c r="G4" s="127" t="n"/>
      <c r="H4" s="127" t="n"/>
      <c r="I4" s="127" t="n"/>
      <c r="J4" s="127" t="n"/>
      <c r="K4" s="127" t="n"/>
      <c r="L4" s="127" t="n"/>
      <c r="M4" s="127" t="n"/>
      <c r="N4" s="127" t="n"/>
      <c r="O4" s="127" t="n"/>
      <c r="P4" s="127" t="n"/>
      <c r="Q4" s="143" t="n"/>
      <c r="R4" s="11" t="n"/>
    </row>
    <row r="5" ht="18" customHeight="1" s="227">
      <c r="A5" s="10" t="n"/>
      <c r="B5" s="485" t="inlineStr">
        <is>
          <t>KESİCİ AÇMA-KAPAMA SÜRELERİ TEST SONUÇLARI</t>
        </is>
      </c>
      <c r="C5" s="99" t="n"/>
      <c r="D5" s="99" t="n"/>
      <c r="E5" s="99" t="n"/>
      <c r="F5" s="99" t="n"/>
      <c r="G5" s="99" t="n"/>
      <c r="H5" s="99" t="n"/>
      <c r="I5" s="99" t="n"/>
      <c r="J5" s="99" t="n"/>
      <c r="K5" s="99" t="n"/>
      <c r="L5" s="99" t="n"/>
      <c r="M5" s="99" t="n"/>
      <c r="N5" s="99" t="n"/>
      <c r="O5" s="99" t="n"/>
      <c r="P5" s="99" t="n"/>
      <c r="Q5" s="482" t="n"/>
      <c r="R5" s="11" t="n"/>
    </row>
    <row r="6" ht="6.75" customHeight="1" s="227">
      <c r="A6" s="10" t="n"/>
      <c r="B6" s="3" t="n"/>
      <c r="C6" s="127" t="n"/>
      <c r="D6" s="127" t="n"/>
      <c r="E6" s="127" t="n"/>
      <c r="F6" s="127" t="n"/>
      <c r="G6" s="127" t="n"/>
      <c r="H6" s="127" t="n"/>
      <c r="I6" s="127" t="n"/>
      <c r="J6" s="127" t="n"/>
      <c r="K6" s="127" t="n"/>
      <c r="L6" s="127" t="n"/>
      <c r="M6" s="127" t="n"/>
      <c r="N6" s="127" t="n"/>
      <c r="O6" s="127" t="n"/>
      <c r="P6" s="127" t="n"/>
      <c r="Q6" s="143" t="n"/>
      <c r="R6" s="11" t="n"/>
    </row>
    <row r="7" ht="18" customHeight="1" s="227">
      <c r="A7" s="10" t="n"/>
      <c r="B7" s="402" t="inlineStr">
        <is>
          <t>OTURUM TARİHİ :</t>
        </is>
      </c>
      <c r="C7" s="99" t="n"/>
      <c r="D7" s="99" t="n"/>
      <c r="E7" s="99" t="n"/>
      <c r="F7" s="99" t="n"/>
      <c r="G7" s="99" t="n"/>
      <c r="H7" s="99" t="n"/>
      <c r="I7" s="99" t="n"/>
      <c r="J7" s="499">
        <f>'ANA SAYFA KESİCİ'!F74</f>
        <v/>
      </c>
      <c r="K7" s="99" t="n"/>
      <c r="L7" s="99" t="n"/>
      <c r="M7" s="99" t="n"/>
      <c r="N7" s="99" t="n"/>
      <c r="O7" s="99" t="n"/>
      <c r="P7" s="99" t="n"/>
      <c r="Q7" s="482" t="n"/>
      <c r="R7" s="11" t="n"/>
    </row>
    <row r="8" ht="6.75" customHeight="1" s="227">
      <c r="A8" s="10" t="n"/>
      <c r="B8" s="3" t="n"/>
      <c r="C8" s="127" t="n"/>
      <c r="D8" s="127" t="n"/>
      <c r="E8" s="127" t="n"/>
      <c r="F8" s="127" t="n"/>
      <c r="G8" s="127" t="n"/>
      <c r="H8" s="127" t="n"/>
      <c r="I8" s="127" t="n"/>
      <c r="J8" s="127" t="n"/>
      <c r="K8" s="127" t="n"/>
      <c r="L8" s="127" t="n"/>
      <c r="M8" s="127" t="n"/>
      <c r="N8" s="127" t="n"/>
      <c r="O8" s="127" t="n"/>
      <c r="P8" s="127" t="n"/>
      <c r="Q8" s="143" t="n"/>
      <c r="R8" s="11" t="n"/>
      <c r="T8" t="n">
        <v>1</v>
      </c>
    </row>
    <row r="9" ht="15" customHeight="1" s="227">
      <c r="A9" s="10" t="n"/>
      <c r="B9" s="421" t="inlineStr">
        <is>
          <t>Operatör :</t>
        </is>
      </c>
      <c r="C9" s="482" t="n"/>
      <c r="D9" s="422">
        <f>'KESİCİ İZOLASYON'!D10:G10</f>
        <v/>
      </c>
      <c r="E9" s="99" t="n"/>
      <c r="F9" s="99" t="n"/>
      <c r="G9" s="482" t="n"/>
      <c r="H9" s="421" t="inlineStr">
        <is>
          <t>Cihaz :</t>
        </is>
      </c>
      <c r="I9" s="482" t="n"/>
      <c r="J9" s="374" t="n"/>
      <c r="K9" s="99" t="n"/>
      <c r="L9" s="482" t="n"/>
      <c r="M9" s="374" t="inlineStr">
        <is>
          <t>Cihaz S/N :</t>
        </is>
      </c>
      <c r="N9" s="482" t="n"/>
      <c r="O9" s="374" t="n"/>
      <c r="P9" s="99" t="n"/>
      <c r="Q9" s="482" t="n"/>
      <c r="R9" s="11" t="n"/>
      <c r="V9" t="n">
        <v>3</v>
      </c>
    </row>
    <row r="10" ht="6.75" customHeight="1" s="227">
      <c r="A10" s="10" t="n"/>
      <c r="B10" s="406" t="n"/>
      <c r="C10" s="620" t="n"/>
      <c r="D10" s="409" t="n"/>
      <c r="E10" s="409" t="n"/>
      <c r="F10" s="409" t="n"/>
      <c r="G10" s="409" t="n"/>
      <c r="H10" s="620" t="n"/>
      <c r="I10" s="620" t="n"/>
      <c r="J10" s="401" t="n"/>
      <c r="K10" s="401" t="n"/>
      <c r="L10" s="401" t="n"/>
      <c r="M10" s="401" t="n"/>
      <c r="N10" s="401" t="n"/>
      <c r="O10" s="401" t="n"/>
      <c r="P10" s="401" t="n"/>
      <c r="Q10" s="401" t="n"/>
      <c r="R10" s="69" t="n"/>
    </row>
    <row r="11" ht="14.25" customHeight="1" s="227">
      <c r="A11" s="10" t="n"/>
      <c r="B11" s="485" t="inlineStr">
        <is>
          <t>KESİCİ BİLGİLERİ</t>
        </is>
      </c>
      <c r="C11" s="99" t="n"/>
      <c r="D11" s="99" t="n"/>
      <c r="E11" s="99" t="n"/>
      <c r="F11" s="99" t="n"/>
      <c r="G11" s="99" t="n"/>
      <c r="H11" s="99" t="n"/>
      <c r="I11" s="99" t="n"/>
      <c r="J11" s="99" t="n"/>
      <c r="K11" s="99" t="n"/>
      <c r="L11" s="99" t="n"/>
      <c r="M11" s="99" t="n"/>
      <c r="N11" s="99" t="n"/>
      <c r="O11" s="99" t="n"/>
      <c r="P11" s="99" t="n"/>
      <c r="Q11" s="482" t="n"/>
      <c r="R11" s="621" t="n"/>
      <c r="T11" t="n">
        <v>20</v>
      </c>
    </row>
    <row r="12" ht="5.25" customHeight="1" s="227">
      <c r="A12" s="10" t="n"/>
      <c r="B12" s="3" t="n"/>
      <c r="C12" s="127" t="n"/>
      <c r="D12" s="127" t="n"/>
      <c r="E12" s="127" t="n"/>
      <c r="F12" s="127" t="n"/>
      <c r="G12" s="127" t="n"/>
      <c r="H12" s="127" t="n"/>
      <c r="I12" s="127" t="n"/>
      <c r="J12" s="127" t="n"/>
      <c r="K12" s="277" t="n"/>
      <c r="L12" s="277" t="n"/>
      <c r="M12" s="317" t="n"/>
      <c r="N12" s="127" t="n"/>
      <c r="O12" s="127" t="n"/>
      <c r="P12" s="127" t="n"/>
      <c r="Q12" s="143" t="n"/>
      <c r="R12" s="622" t="n"/>
    </row>
    <row r="13" ht="14.25" customHeight="1" s="227">
      <c r="A13" s="10" t="n"/>
      <c r="B13" s="280" t="inlineStr">
        <is>
          <t>Kesici Markası</t>
        </is>
      </c>
      <c r="F13" s="89" t="inlineStr">
        <is>
          <t>:</t>
        </is>
      </c>
      <c r="G13" s="278">
        <f>'ANA SAYFA KESİCİ'!G11</f>
        <v/>
      </c>
      <c r="H13" s="486" t="n"/>
      <c r="I13" s="486" t="n"/>
      <c r="J13" s="291" t="inlineStr">
        <is>
          <t>Kesici Tipi</t>
        </is>
      </c>
      <c r="M13" s="91" t="inlineStr">
        <is>
          <t xml:space="preserve">: </t>
        </is>
      </c>
      <c r="N13" s="623">
        <f>'ANA SAYFA KESİCİ'!O11</f>
        <v/>
      </c>
      <c r="O13" s="486" t="n"/>
      <c r="P13" s="486" t="n"/>
      <c r="Q13" s="487" t="n"/>
      <c r="R13" s="69" t="n"/>
    </row>
    <row r="14" ht="5.25" customHeight="1" s="227">
      <c r="A14" s="10" t="n"/>
      <c r="B14" s="280" t="n"/>
      <c r="C14" s="291" t="n"/>
      <c r="D14" s="291" t="n"/>
      <c r="E14" s="291" t="n"/>
      <c r="F14" s="67" t="n"/>
      <c r="G14" s="127" t="n"/>
      <c r="H14" s="127" t="n"/>
      <c r="I14" s="127" t="n"/>
      <c r="J14" s="277" t="n"/>
      <c r="K14" s="277" t="n"/>
      <c r="L14" s="317" t="n"/>
      <c r="M14" s="127" t="n"/>
      <c r="N14" s="127" t="n"/>
      <c r="O14" s="127" t="n"/>
      <c r="P14" s="127" t="n"/>
      <c r="Q14" s="143" t="n"/>
      <c r="R14" s="69" t="n"/>
    </row>
    <row r="15" ht="14.25" customHeight="1" s="227">
      <c r="A15" s="10" t="n"/>
      <c r="B15" s="247" t="inlineStr">
        <is>
          <t>Anma Akımı (A)</t>
        </is>
      </c>
      <c r="F15" s="89" t="inlineStr">
        <is>
          <t>:</t>
        </is>
      </c>
      <c r="G15" s="284">
        <f>'ANA SAYFA KESİCİ'!G13</f>
        <v/>
      </c>
      <c r="H15" s="486" t="n"/>
      <c r="I15" s="486" t="n"/>
      <c r="J15" s="277" t="inlineStr">
        <is>
          <t>İmal Yılı</t>
        </is>
      </c>
      <c r="M15" s="549" t="inlineStr">
        <is>
          <t>:</t>
        </is>
      </c>
      <c r="N15" s="279">
        <f>'ANA SAYFA KESİCİ'!O13</f>
        <v/>
      </c>
      <c r="O15" s="486" t="n"/>
      <c r="P15" s="486" t="n"/>
      <c r="Q15" s="487" t="n"/>
      <c r="R15" s="69" t="n"/>
      <c r="W15" t="inlineStr">
        <is>
          <t>Uygun</t>
        </is>
      </c>
    </row>
    <row r="16" ht="5.25" customHeight="1" s="227">
      <c r="A16" s="10" t="n"/>
      <c r="B16" s="280" t="n"/>
      <c r="C16" s="291" t="n"/>
      <c r="D16" s="291" t="n"/>
      <c r="E16" s="291" t="n"/>
      <c r="F16" s="67" t="n"/>
      <c r="G16" s="127" t="n"/>
      <c r="H16" s="127" t="n"/>
      <c r="I16" s="127" t="n"/>
      <c r="J16" s="277" t="n"/>
      <c r="K16" s="277" t="n"/>
      <c r="L16" s="317" t="n"/>
      <c r="M16" s="127" t="n"/>
      <c r="N16" s="127" t="n"/>
      <c r="O16" s="127" t="n"/>
      <c r="P16" s="127" t="n"/>
      <c r="Q16" s="143" t="n"/>
      <c r="R16" s="69" t="n"/>
    </row>
    <row r="17" ht="14.25" customHeight="1" s="227">
      <c r="A17" s="10" t="n"/>
      <c r="B17" s="280" t="inlineStr">
        <is>
          <t>Gerilim Seviyesi (V)</t>
        </is>
      </c>
      <c r="F17" s="89" t="inlineStr">
        <is>
          <t xml:space="preserve">:  </t>
        </is>
      </c>
      <c r="G17" s="284">
        <f>'ANA SAYFA KESİCİ'!G15</f>
        <v/>
      </c>
      <c r="H17" s="486" t="n"/>
      <c r="I17" s="486" t="n"/>
      <c r="J17" s="277" t="inlineStr">
        <is>
          <t>Seri Numarası</t>
        </is>
      </c>
      <c r="M17" s="549" t="inlineStr">
        <is>
          <t>:</t>
        </is>
      </c>
      <c r="N17" s="283">
        <f>'ANA SAYFA KESİCİ'!O15</f>
        <v/>
      </c>
      <c r="O17" s="486" t="n"/>
      <c r="P17" s="486" t="n"/>
      <c r="Q17" s="487" t="n"/>
      <c r="R17" s="69" t="n"/>
      <c r="W17" t="inlineStr">
        <is>
          <t>Uygun Değil</t>
        </is>
      </c>
    </row>
    <row r="18" ht="5.25" customHeight="1" s="227">
      <c r="A18" s="10" t="n"/>
      <c r="B18" s="280" t="n"/>
      <c r="C18" s="291" t="n"/>
      <c r="D18" s="291" t="n"/>
      <c r="E18" s="291" t="n"/>
      <c r="F18" s="67" t="n"/>
      <c r="G18" s="127" t="n"/>
      <c r="H18" s="127" t="n"/>
      <c r="I18" s="127" t="n"/>
      <c r="J18" s="277" t="n"/>
      <c r="K18" s="277" t="n"/>
      <c r="L18" s="317" t="n"/>
      <c r="M18" s="127" t="n"/>
      <c r="N18" s="127" t="n"/>
      <c r="O18" s="127" t="n"/>
      <c r="P18" s="127" t="n"/>
      <c r="Q18" s="143" t="n"/>
      <c r="R18" s="69" t="n"/>
    </row>
    <row r="19" ht="14.25" customHeight="1" s="227">
      <c r="A19" s="10" t="n"/>
      <c r="B19" s="267" t="inlineStr">
        <is>
          <t>Motor Gerilimi</t>
        </is>
      </c>
      <c r="F19" s="549" t="inlineStr">
        <is>
          <t>:</t>
        </is>
      </c>
      <c r="G19" s="284">
        <f>'ANA SAYFA KESİCİ'!G17</f>
        <v/>
      </c>
      <c r="H19" s="486" t="n"/>
      <c r="I19" s="486" t="n"/>
      <c r="J19" s="277" t="inlineStr">
        <is>
          <t>Bobin Gerilimi</t>
        </is>
      </c>
      <c r="M19" s="549" t="inlineStr">
        <is>
          <t>:</t>
        </is>
      </c>
      <c r="N19" s="283">
        <f>'ANA SAYFA KESİCİ'!O17</f>
        <v/>
      </c>
      <c r="O19" s="486" t="n"/>
      <c r="P19" s="486" t="n"/>
      <c r="Q19" s="487" t="n"/>
      <c r="R19" s="69" t="n"/>
      <c r="S19" s="317" t="inlineStr">
        <is>
          <t>Max.</t>
        </is>
      </c>
      <c r="T19" s="317" t="inlineStr">
        <is>
          <t>Max.</t>
        </is>
      </c>
      <c r="U19" s="317" t="inlineStr">
        <is>
          <t>Max.</t>
        </is>
      </c>
      <c r="V19" s="317" t="n"/>
    </row>
    <row r="20" ht="5.25" customHeight="1" s="227">
      <c r="A20" s="10" t="n"/>
      <c r="B20" s="267" t="n"/>
      <c r="C20" s="277" t="n"/>
      <c r="D20" s="277" t="n"/>
      <c r="E20" s="277" t="n"/>
      <c r="F20" s="127" t="n"/>
      <c r="G20" s="317" t="n"/>
      <c r="H20" s="317" t="n"/>
      <c r="I20" s="317" t="n"/>
      <c r="J20" s="277" t="n"/>
      <c r="K20" s="277" t="n"/>
      <c r="L20" s="277" t="n"/>
      <c r="M20" s="127" t="n"/>
      <c r="N20" s="317" t="n"/>
      <c r="O20" s="317" t="n"/>
      <c r="P20" s="317" t="n"/>
      <c r="Q20" s="117" t="n"/>
      <c r="R20" s="11" t="n"/>
      <c r="S20" s="317" t="n"/>
      <c r="T20" s="317" t="n"/>
      <c r="U20" s="317" t="n"/>
      <c r="V20" s="317" t="n"/>
    </row>
    <row r="21" ht="18" customHeight="1" s="227">
      <c r="A21" s="10" t="n"/>
      <c r="B21" s="485" t="inlineStr">
        <is>
          <t>KESİCİ AÇMA / KAPAMA ZAMANI</t>
        </is>
      </c>
      <c r="C21" s="99" t="n"/>
      <c r="D21" s="99" t="n"/>
      <c r="E21" s="99" t="n"/>
      <c r="F21" s="99" t="n"/>
      <c r="G21" s="99" t="n"/>
      <c r="H21" s="99" t="n"/>
      <c r="I21" s="99" t="n"/>
      <c r="J21" s="99" t="n"/>
      <c r="K21" s="99" t="n"/>
      <c r="L21" s="99" t="n"/>
      <c r="M21" s="99" t="n"/>
      <c r="N21" s="99" t="n"/>
      <c r="O21" s="99" t="n"/>
      <c r="P21" s="99" t="n"/>
      <c r="Q21" s="482" t="n"/>
      <c r="R21" s="11" t="n"/>
      <c r="S21" s="607" t="n">
        <v>80</v>
      </c>
      <c r="T21" s="607" t="n">
        <v>120</v>
      </c>
      <c r="U21" s="317" t="n">
        <v>5</v>
      </c>
      <c r="V21" s="317" t="n"/>
      <c r="W21" t="n">
        <v>0</v>
      </c>
    </row>
    <row r="22" ht="8.25" customHeight="1" s="227">
      <c r="A22" s="10" t="n"/>
      <c r="B22" s="335" t="n"/>
      <c r="C22" s="333" t="n"/>
      <c r="D22" s="333" t="n"/>
      <c r="E22" s="333" t="n"/>
      <c r="F22" s="333" t="n"/>
      <c r="G22" s="333" t="n"/>
      <c r="H22" s="333" t="n"/>
      <c r="I22" s="333" t="n"/>
      <c r="J22" s="333" t="n"/>
      <c r="K22" s="336" t="n"/>
      <c r="L22" s="336" t="n"/>
      <c r="M22" s="336" t="n"/>
      <c r="N22" s="336" t="n"/>
      <c r="O22" s="336" t="n"/>
      <c r="P22" s="336" t="n"/>
      <c r="Q22" s="337" t="n"/>
      <c r="R22" s="11" t="n"/>
      <c r="S22" s="317" t="n"/>
      <c r="T22" s="317" t="n"/>
      <c r="U22" s="317" t="n"/>
      <c r="V22" s="317" t="n"/>
    </row>
    <row r="23" ht="18" customHeight="1" s="227">
      <c r="A23" s="33" t="n"/>
      <c r="B23" s="485" t="inlineStr">
        <is>
          <t>Açma</t>
        </is>
      </c>
      <c r="C23" s="99" t="n"/>
      <c r="D23" s="99" t="n"/>
      <c r="E23" s="99" t="n"/>
      <c r="F23" s="99" t="n"/>
      <c r="G23" s="99" t="n"/>
      <c r="H23" s="99" t="n"/>
      <c r="I23" s="482" t="n"/>
      <c r="J23" s="485" t="inlineStr">
        <is>
          <t>Kapama</t>
        </is>
      </c>
      <c r="K23" s="99" t="n"/>
      <c r="L23" s="99" t="n"/>
      <c r="M23" s="99" t="n"/>
      <c r="N23" s="99" t="n"/>
      <c r="O23" s="99" t="n"/>
      <c r="P23" s="99" t="n"/>
      <c r="Q23" s="482" t="n"/>
      <c r="R23" s="11" t="n"/>
      <c r="S23" s="317" t="n"/>
      <c r="T23" s="317" t="n"/>
      <c r="U23" s="317" t="n"/>
      <c r="V23" s="317" t="n"/>
    </row>
    <row r="24" ht="12" customHeight="1" s="227">
      <c r="A24" s="33" t="n"/>
      <c r="B24" s="127" t="n"/>
      <c r="C24" s="127" t="n"/>
      <c r="D24" s="127" t="n"/>
      <c r="E24" s="127" t="n"/>
      <c r="F24" s="127" t="n"/>
      <c r="G24" s="127" t="n"/>
      <c r="J24" s="127" t="n"/>
      <c r="K24" s="127" t="n"/>
      <c r="L24" s="127" t="n"/>
      <c r="M24" s="127" t="n"/>
      <c r="Q24" s="212" t="n"/>
      <c r="R24" s="11" t="n"/>
      <c r="S24" s="317" t="n">
        <v>40</v>
      </c>
      <c r="T24" s="317" t="n">
        <v>30</v>
      </c>
      <c r="U24" s="317" t="n">
        <v>20</v>
      </c>
      <c r="V24" s="317" t="n">
        <v>10</v>
      </c>
    </row>
    <row r="25" ht="15" customHeight="1" s="227">
      <c r="A25" s="33" t="n"/>
      <c r="B25" s="398" t="inlineStr">
        <is>
          <t>A-1</t>
        </is>
      </c>
      <c r="C25" s="527">
        <f>'ANA SAYFA KESİCİ'!C61:D61</f>
        <v/>
      </c>
      <c r="D25" s="99" t="n"/>
      <c r="E25" s="606" t="inlineStr">
        <is>
          <t>ms</t>
        </is>
      </c>
      <c r="F25" s="624" t="inlineStr">
        <is>
          <t>Bobin Gerilimi</t>
        </is>
      </c>
      <c r="G25" s="47" t="n"/>
      <c r="H25" s="398">
        <f>'ANA SAYFA KESİCİ'!O17</f>
        <v/>
      </c>
      <c r="I25" s="211" t="n"/>
      <c r="J25" s="374" t="inlineStr">
        <is>
          <t>A-1</t>
        </is>
      </c>
      <c r="K25" s="625">
        <f>'ANA SAYFA KESİCİ'!J61</f>
        <v/>
      </c>
      <c r="L25" s="47" t="n"/>
      <c r="M25" s="41" t="inlineStr">
        <is>
          <t>ms</t>
        </is>
      </c>
      <c r="N25" s="624" t="inlineStr">
        <is>
          <t>Bobin Gerilimi</t>
        </is>
      </c>
      <c r="O25" s="47" t="n"/>
      <c r="P25" s="398">
        <f>'ANA SAYFA KESİCİ'!O17</f>
        <v/>
      </c>
      <c r="Q25" s="211" t="n"/>
      <c r="R25" s="11" t="n"/>
      <c r="S25" s="317" t="n">
        <v>40</v>
      </c>
      <c r="T25" s="317" t="n">
        <v>30</v>
      </c>
      <c r="U25" s="317" t="n">
        <v>20</v>
      </c>
      <c r="V25" s="317" t="n">
        <v>10</v>
      </c>
    </row>
    <row r="26" ht="15" customHeight="1" s="227">
      <c r="A26" s="33" t="n"/>
      <c r="B26" s="398" t="inlineStr">
        <is>
          <t>B-1</t>
        </is>
      </c>
      <c r="C26" s="527">
        <f>'ANA SAYFA KESİCİ'!C63:D63</f>
        <v/>
      </c>
      <c r="D26" s="99" t="n"/>
      <c r="E26" s="606" t="inlineStr">
        <is>
          <t>ms</t>
        </is>
      </c>
      <c r="F26" s="49" t="n"/>
      <c r="G26" s="50" t="n"/>
      <c r="H26" s="50" t="n"/>
      <c r="I26" s="213" t="n"/>
      <c r="J26" s="374" t="inlineStr">
        <is>
          <t>B-1</t>
        </is>
      </c>
      <c r="K26" s="527">
        <f>'ANA SAYFA KESİCİ'!J63</f>
        <v/>
      </c>
      <c r="L26" s="99" t="n"/>
      <c r="M26" s="606" t="inlineStr">
        <is>
          <t>ms</t>
        </is>
      </c>
      <c r="N26" s="49" t="n"/>
      <c r="O26" s="50" t="n"/>
      <c r="P26" s="50" t="n"/>
      <c r="Q26" s="213" t="n"/>
      <c r="R26" s="11" t="n"/>
    </row>
    <row r="27" ht="15" customHeight="1" s="227">
      <c r="A27" s="33" t="n"/>
      <c r="B27" s="398" t="inlineStr">
        <is>
          <t>C-1</t>
        </is>
      </c>
      <c r="C27" s="527">
        <f>'ANA SAYFA KESİCİ'!C65:D65</f>
        <v/>
      </c>
      <c r="D27" s="99" t="n"/>
      <c r="E27" s="606" t="inlineStr">
        <is>
          <t>ms</t>
        </is>
      </c>
      <c r="F27" s="624" t="inlineStr">
        <is>
          <t>Bobin    Akımı</t>
        </is>
      </c>
      <c r="G27" s="47" t="n"/>
      <c r="H27" s="626">
        <f>'ANA SAYFA KESİCİ'!F65</f>
        <v/>
      </c>
      <c r="I27" s="410" t="inlineStr">
        <is>
          <t>A</t>
        </is>
      </c>
      <c r="J27" s="374" t="inlineStr">
        <is>
          <t>C-1</t>
        </is>
      </c>
      <c r="K27" s="527">
        <f>'ANA SAYFA KESİCİ'!J65</f>
        <v/>
      </c>
      <c r="L27" s="99" t="n"/>
      <c r="M27" s="606" t="inlineStr">
        <is>
          <t>ms</t>
        </is>
      </c>
      <c r="N27" s="624" t="inlineStr">
        <is>
          <t>Bobin    Akımı</t>
        </is>
      </c>
      <c r="O27" s="47" t="n"/>
      <c r="P27" s="626">
        <f>'ANA SAYFA KESİCİ'!M65</f>
        <v/>
      </c>
      <c r="Q27" s="410" t="inlineStr">
        <is>
          <t>A</t>
        </is>
      </c>
      <c r="R27" s="11" t="n"/>
    </row>
    <row r="28" ht="15" customHeight="1" s="227">
      <c r="A28" s="33" t="n"/>
      <c r="B28" s="627" t="inlineStr">
        <is>
          <t>Faz Uyuşmazlığı</t>
        </is>
      </c>
      <c r="C28" s="99" t="n"/>
      <c r="D28" s="99" t="n"/>
      <c r="E28" s="482" t="n"/>
      <c r="F28" s="49" t="n"/>
      <c r="G28" s="50" t="n"/>
      <c r="H28" s="50" t="n"/>
      <c r="I28" s="213" t="n"/>
      <c r="J28" s="627" t="inlineStr">
        <is>
          <t>Faz Uyuşmazlığı</t>
        </is>
      </c>
      <c r="K28" s="99" t="n"/>
      <c r="L28" s="99" t="n"/>
      <c r="M28" s="482" t="n"/>
      <c r="N28" s="49" t="n"/>
      <c r="O28" s="50" t="n"/>
      <c r="P28" s="50" t="n"/>
      <c r="Q28" s="213" t="n"/>
      <c r="R28" s="11" t="n"/>
      <c r="W28" s="256" t="inlineStr">
        <is>
          <t>Kesicinin L1 fazına ait izolasyon direnç değeri uygun değildir.</t>
        </is>
      </c>
    </row>
    <row r="29" ht="15" customHeight="1" s="227">
      <c r="A29" s="10" t="n"/>
      <c r="B29" s="628">
        <f>'ANA SAYFA KESİCİ'!F61</f>
        <v/>
      </c>
      <c r="C29" s="99" t="n"/>
      <c r="D29" s="99" t="n"/>
      <c r="E29" s="629" t="inlineStr">
        <is>
          <t>ms</t>
        </is>
      </c>
      <c r="F29" s="630">
        <f>IF(B29&gt;5,W17,W15)</f>
        <v/>
      </c>
      <c r="G29" s="99" t="n"/>
      <c r="H29" s="99" t="n"/>
      <c r="I29" s="482" t="n"/>
      <c r="J29" s="631">
        <f>'ANA SAYFA KESİCİ'!M61</f>
        <v/>
      </c>
      <c r="K29" s="99" t="n"/>
      <c r="L29" s="99" t="n"/>
      <c r="M29" s="146" t="inlineStr">
        <is>
          <t>ms</t>
        </is>
      </c>
      <c r="N29" s="630">
        <f>IF(J29&gt;5,W17,W15)</f>
        <v/>
      </c>
      <c r="O29" s="99" t="n"/>
      <c r="P29" s="99" t="n"/>
      <c r="Q29" s="482" t="n"/>
      <c r="R29" s="11" t="n"/>
      <c r="W29" s="256" t="n"/>
      <c r="X29" s="256" t="n"/>
      <c r="Y29" s="256" t="n"/>
      <c r="Z29" s="256" t="n"/>
      <c r="AA29" s="256" t="n"/>
      <c r="AB29" s="256" t="n"/>
      <c r="AC29" s="256" t="n"/>
      <c r="AD29" s="256" t="n"/>
    </row>
    <row r="30" ht="9" customHeight="1" s="227">
      <c r="A30" s="10" t="n"/>
      <c r="B30" s="118" t="n"/>
      <c r="C30" s="423" t="n"/>
      <c r="D30" s="423" t="n"/>
      <c r="E30" s="423" t="n"/>
      <c r="F30" s="423" t="n"/>
      <c r="G30" s="423" t="n"/>
      <c r="H30" s="423" t="n"/>
      <c r="O30" s="423" t="n"/>
      <c r="P30" s="423" t="n"/>
      <c r="Q30" s="117" t="n"/>
      <c r="R30" s="11" t="n"/>
      <c r="W30" s="256" t="inlineStr">
        <is>
          <t>Kesicinin L2 fazına ait izolasyon direnç değeri uygundur.</t>
        </is>
      </c>
    </row>
    <row r="31" ht="15" customHeight="1" s="227">
      <c r="A31" s="10" t="n"/>
      <c r="B31" s="28" t="n"/>
      <c r="C31" s="134" t="n"/>
      <c r="D31" s="134" t="n"/>
      <c r="E31" s="134" t="n"/>
      <c r="F31" s="134" t="n"/>
      <c r="G31" s="134" t="n"/>
      <c r="H31" s="134" t="n"/>
      <c r="O31" s="134" t="n"/>
      <c r="P31" s="134" t="n"/>
      <c r="Q31" s="135" t="n"/>
      <c r="R31" s="11" t="n"/>
      <c r="W31" s="256" t="inlineStr">
        <is>
          <t>Kesicinin L2 fazına ait izolasyon direnç değeri uygun değildir.</t>
        </is>
      </c>
    </row>
    <row r="32" ht="15" customHeight="1" s="227">
      <c r="A32" s="10" t="n"/>
      <c r="B32" s="3" t="n"/>
      <c r="C32" s="127" t="n"/>
      <c r="D32" s="127" t="n"/>
      <c r="E32" s="127" t="n"/>
      <c r="F32" s="127" t="n"/>
      <c r="G32" s="127" t="n"/>
      <c r="H32" s="127" t="n"/>
      <c r="O32" s="127" t="n"/>
      <c r="P32" s="127" t="n"/>
      <c r="Q32" s="143" t="n"/>
      <c r="R32" s="11" t="n"/>
      <c r="W32" s="256" t="inlineStr">
        <is>
          <t>Kesicinin L3 fazına ait izolasyon direnç değeri uygundur.</t>
        </is>
      </c>
    </row>
    <row r="33" ht="15" customHeight="1" s="227">
      <c r="A33" s="10" t="n"/>
      <c r="B33" s="3" t="n"/>
      <c r="C33" s="127" t="n"/>
      <c r="D33" s="127" t="n"/>
      <c r="E33" s="127" t="n"/>
      <c r="F33" s="127" t="n"/>
      <c r="G33" s="127" t="n"/>
      <c r="H33" s="127" t="n"/>
      <c r="O33" s="127" t="n"/>
      <c r="P33" s="127" t="n"/>
      <c r="Q33" s="143" t="n"/>
      <c r="R33" s="11" t="n"/>
      <c r="W33" s="256" t="inlineStr">
        <is>
          <t>Kesicinin L3 fazına ait izolasyon direnç değeri uygun değildir.</t>
        </is>
      </c>
    </row>
    <row r="34" ht="15" customHeight="1" s="227">
      <c r="A34" s="10" t="n"/>
      <c r="B34" s="24" t="n"/>
      <c r="C34" s="25" t="n"/>
      <c r="D34" s="25" t="n"/>
      <c r="E34" s="25" t="n"/>
      <c r="F34" s="127" t="n"/>
      <c r="G34" s="127" t="n"/>
      <c r="H34" s="127" t="n"/>
      <c r="I34" s="127" t="n"/>
      <c r="J34" s="127" t="n"/>
      <c r="K34" s="127" t="n"/>
      <c r="L34" s="127" t="n"/>
      <c r="M34" s="127" t="n"/>
      <c r="N34" s="127" t="n"/>
      <c r="O34" s="127" t="n"/>
      <c r="P34" s="127" t="n"/>
      <c r="Q34" s="143" t="n"/>
      <c r="R34" s="11" t="n"/>
    </row>
    <row r="35" ht="15" customHeight="1" s="227">
      <c r="A35" s="10" t="n"/>
      <c r="B35" s="3" t="n"/>
      <c r="C35" s="127" t="n"/>
      <c r="D35" s="127" t="n"/>
      <c r="E35" s="127" t="n"/>
      <c r="F35" s="127" t="n"/>
      <c r="G35" s="127" t="n"/>
      <c r="H35" s="127" t="n"/>
      <c r="I35" s="127" t="n"/>
      <c r="J35" s="127" t="n"/>
      <c r="K35" s="127" t="n"/>
      <c r="L35" s="127" t="n"/>
      <c r="M35" s="127" t="n"/>
      <c r="N35" s="127" t="n"/>
      <c r="O35" s="127" t="n"/>
      <c r="P35" s="127" t="n"/>
      <c r="Q35" s="143" t="n"/>
      <c r="R35" s="11" t="n"/>
    </row>
    <row r="36" ht="15" customHeight="1" s="227">
      <c r="A36" s="10" t="n"/>
      <c r="B36" s="3" t="n"/>
      <c r="C36" s="127" t="n"/>
      <c r="D36" s="127" t="n"/>
      <c r="E36" s="127" t="n"/>
      <c r="F36" s="127" t="n"/>
      <c r="G36" s="127" t="n"/>
      <c r="H36" s="127" t="n"/>
      <c r="I36" s="127" t="n"/>
      <c r="J36" s="127" t="n"/>
      <c r="K36" s="127" t="n"/>
      <c r="L36" s="127" t="n"/>
      <c r="M36" s="127" t="n"/>
      <c r="N36" s="127" t="n"/>
      <c r="O36" s="127" t="n"/>
      <c r="P36" s="127" t="n"/>
      <c r="Q36" s="143" t="n"/>
      <c r="R36" s="11" t="n"/>
    </row>
    <row r="37" ht="72" customHeight="1" s="227">
      <c r="A37" s="10" t="n"/>
      <c r="B37" s="3" t="n"/>
      <c r="C37" s="127" t="n"/>
      <c r="D37" s="127" t="n"/>
      <c r="E37" s="127" t="n"/>
      <c r="F37" s="23" t="n"/>
      <c r="G37" s="127" t="n"/>
      <c r="H37" s="127" t="n"/>
      <c r="I37" s="127" t="n"/>
      <c r="J37" s="127" t="n"/>
      <c r="K37" s="127" t="n"/>
      <c r="L37" s="127" t="n"/>
      <c r="M37" s="127" t="n"/>
      <c r="N37" s="127" t="n"/>
      <c r="O37" s="127" t="n"/>
      <c r="P37" s="127" t="n"/>
      <c r="Q37" s="143" t="n"/>
      <c r="R37" s="11" t="n"/>
    </row>
    <row r="38" ht="26.25" customHeight="1" s="227">
      <c r="A38" s="10" t="n"/>
      <c r="B38" s="3" t="n"/>
      <c r="C38" s="127" t="n"/>
      <c r="D38" s="127" t="n"/>
      <c r="E38" s="127" t="n"/>
      <c r="F38" s="23" t="n"/>
      <c r="G38" s="127" t="n"/>
      <c r="H38" s="127" t="n"/>
      <c r="I38" s="127" t="n"/>
      <c r="J38" s="127" t="n"/>
      <c r="K38" s="127" t="n"/>
      <c r="L38" s="127" t="n"/>
      <c r="M38" s="127" t="n"/>
      <c r="N38" s="127" t="n"/>
      <c r="O38" s="127" t="n"/>
      <c r="P38" s="127" t="n"/>
      <c r="Q38" s="143" t="n"/>
      <c r="R38" s="11" t="n"/>
      <c r="W38" s="361" t="inlineStr">
        <is>
          <t>Kesicinin Açma süreleri ve bobin akım değerleri uygundur.</t>
        </is>
      </c>
    </row>
    <row r="39" ht="15.6" customHeight="1" s="227">
      <c r="A39" s="33" t="n"/>
      <c r="B39" s="632" t="inlineStr">
        <is>
          <t>TEDAŞ-MLZ/95-008.A İlgili Teknik Şartnamesi Gereği</t>
        </is>
      </c>
      <c r="Q39" s="212" t="n"/>
      <c r="R39" s="11" t="n"/>
      <c r="V39" s="603" t="n"/>
      <c r="W39" s="361" t="inlineStr">
        <is>
          <t>Kesicinin Açma süreleri uygun değildir.</t>
        </is>
      </c>
    </row>
    <row r="40" ht="15" customHeight="1" s="227">
      <c r="A40" s="33" t="n"/>
      <c r="B40" s="633" t="inlineStr">
        <is>
          <t>Açma süresi: 80 milisaniyeden az</t>
        </is>
      </c>
      <c r="Q40" s="212" t="n"/>
      <c r="R40" s="11" t="n"/>
      <c r="V40" s="603" t="n"/>
      <c r="W40" s="361" t="inlineStr">
        <is>
          <t>Kesicinin Kapama süreleri ve bobin akım değerleri uygundur.</t>
        </is>
      </c>
    </row>
    <row r="41" ht="15" customHeight="1" s="227">
      <c r="A41" s="33" t="n"/>
      <c r="B41" s="633" t="inlineStr">
        <is>
          <t>Kapama süresi: 120 milisaniyeden az</t>
        </is>
      </c>
      <c r="Q41" s="212" t="n"/>
      <c r="R41" s="11" t="n"/>
      <c r="V41" s="603" t="n"/>
      <c r="W41" s="361" t="inlineStr">
        <is>
          <t>Kesicinin Kapama süreleri uygun değildir.</t>
        </is>
      </c>
    </row>
    <row r="42" ht="15" customHeight="1" s="227">
      <c r="A42" s="33" t="n"/>
      <c r="B42" s="633" t="inlineStr">
        <is>
          <t>Açma süresi faz uyuşmazlığı: 5 milisaniyeden az</t>
        </is>
      </c>
      <c r="Q42" s="212" t="n"/>
      <c r="R42" s="11" t="n"/>
      <c r="W42" s="361" t="inlineStr">
        <is>
          <t>Kesicinin Açma-Kapama Süresi Faz Uyuşmazlığı uygundur.</t>
        </is>
      </c>
    </row>
    <row r="43" ht="15" customHeight="1" s="227">
      <c r="A43" s="33" t="n"/>
      <c r="B43" s="633" t="inlineStr">
        <is>
          <t>Kapama süresi faz uyuşmazlığı: 5 milisaniyeden az</t>
        </is>
      </c>
      <c r="Q43" s="212" t="n"/>
      <c r="R43" s="11" t="n"/>
      <c r="V43" s="603" t="n"/>
      <c r="W43" s="361" t="inlineStr">
        <is>
          <t>Kesicinin Açma-Kapama Süresi Faz Uyuşmazlığı uygun değildir.</t>
        </is>
      </c>
    </row>
    <row r="44" ht="4.5" customHeight="1" s="227">
      <c r="A44" s="10" t="n"/>
      <c r="B44" s="528" t="n"/>
      <c r="C44" s="317" t="n"/>
      <c r="D44" s="317" t="n"/>
      <c r="E44" s="317" t="n"/>
      <c r="F44" s="317" t="n"/>
      <c r="G44" s="317" t="n"/>
      <c r="H44" s="317" t="n"/>
      <c r="I44" s="317" t="n"/>
      <c r="J44" s="317" t="n"/>
      <c r="K44" s="127" t="n"/>
      <c r="L44" s="127" t="n"/>
      <c r="M44" s="127" t="n"/>
      <c r="N44" s="127" t="n"/>
      <c r="O44" s="127" t="n"/>
      <c r="P44" s="127" t="n"/>
      <c r="Q44" s="117" t="n"/>
      <c r="R44" s="11" t="n"/>
    </row>
    <row r="45" ht="15.75" customHeight="1" s="227">
      <c r="A45" s="10" t="n"/>
      <c r="B45" s="432" t="inlineStr">
        <is>
          <t>Sonuç :</t>
        </is>
      </c>
      <c r="C45" s="482" t="n"/>
      <c r="D45" s="634">
        <f>IF(OR(C25&gt;S21,C26&gt;S21,C27&gt;S21),W39,W38)</f>
        <v/>
      </c>
      <c r="E45" s="47" t="n"/>
      <c r="F45" s="47" t="n"/>
      <c r="G45" s="47" t="n"/>
      <c r="H45" s="47" t="n"/>
      <c r="I45" s="47" t="n"/>
      <c r="J45" s="47" t="n"/>
      <c r="K45" s="47" t="n"/>
      <c r="L45" s="47" t="n"/>
      <c r="M45" s="47" t="n"/>
      <c r="N45" s="47" t="n"/>
      <c r="O45" s="47" t="n"/>
      <c r="P45" s="47" t="n"/>
      <c r="Q45" s="211" t="n"/>
      <c r="R45" s="11" t="n"/>
    </row>
    <row r="46" ht="15" customHeight="1" s="227">
      <c r="A46" s="10" t="n"/>
      <c r="B46" s="118" t="n"/>
      <c r="C46" s="23" t="n"/>
      <c r="D46" s="362">
        <f>IF(OR(K25&gt;T21,K26&gt;T21,K27&gt;T21),W41,W40)</f>
        <v/>
      </c>
      <c r="Q46" s="212" t="n"/>
      <c r="R46" s="11" t="n"/>
    </row>
    <row r="47" ht="15" customHeight="1" s="227">
      <c r="A47" s="10" t="n"/>
      <c r="B47" s="118" t="n"/>
      <c r="C47" s="23" t="n"/>
      <c r="D47" s="362">
        <f>IF(OR(B29&gt;U21,J29&gt;U21),W43,W42)</f>
        <v/>
      </c>
      <c r="Q47" s="212" t="n"/>
      <c r="R47" s="11" t="n"/>
    </row>
    <row r="48" ht="22.5" customHeight="1" s="227">
      <c r="A48" s="10" t="n"/>
      <c r="B48" s="365" t="inlineStr">
        <is>
          <t>UNVAN</t>
        </is>
      </c>
      <c r="C48" s="47" t="n"/>
      <c r="D48" s="47" t="n"/>
      <c r="E48" s="531" t="inlineStr">
        <is>
          <t>:</t>
        </is>
      </c>
      <c r="F48" s="368" t="inlineStr">
        <is>
          <t>Elektrik Mühendisi</t>
        </is>
      </c>
      <c r="G48" s="47" t="n"/>
      <c r="H48" s="47" t="n"/>
      <c r="I48" s="211" t="n"/>
      <c r="J48" s="485" t="inlineStr">
        <is>
          <t>ONAYLAYAN</t>
        </is>
      </c>
      <c r="K48" s="99" t="n"/>
      <c r="L48" s="99" t="n"/>
      <c r="M48" s="99" t="n"/>
      <c r="N48" s="99" t="n"/>
      <c r="O48" s="99" t="n"/>
      <c r="P48" s="99" t="n"/>
      <c r="Q48" s="482" t="n"/>
      <c r="R48" s="11" t="n"/>
    </row>
    <row r="49" ht="22.5" customHeight="1" s="227">
      <c r="A49" s="10" t="n"/>
      <c r="B49" s="365" t="inlineStr">
        <is>
          <t>TEST TARİHİ</t>
        </is>
      </c>
      <c r="C49" s="47" t="n"/>
      <c r="D49" s="47" t="n"/>
      <c r="E49" s="531" t="inlineStr">
        <is>
          <t>:</t>
        </is>
      </c>
      <c r="F49" s="533">
        <f>'ANA SAYFA KESİCİ'!F75</f>
        <v/>
      </c>
      <c r="G49" s="47" t="n"/>
      <c r="H49" s="47" t="n"/>
      <c r="I49" s="211" t="n"/>
      <c r="J49" s="53" t="n"/>
      <c r="K49" s="54" t="n"/>
      <c r="L49" s="134" t="n"/>
      <c r="M49" s="134" t="n"/>
      <c r="N49" s="134" t="n"/>
      <c r="O49" s="134" t="n"/>
      <c r="P49" s="134" t="n"/>
      <c r="Q49" s="135" t="n"/>
      <c r="R49" s="11" t="n"/>
    </row>
    <row r="50" ht="22.5" customHeight="1" s="227">
      <c r="A50" s="10" t="n"/>
      <c r="B50" s="355" t="inlineStr">
        <is>
          <t>ODA SİCİL NO</t>
        </is>
      </c>
      <c r="C50" s="99" t="n"/>
      <c r="D50" s="99" t="n"/>
      <c r="E50" s="366" t="inlineStr">
        <is>
          <t>:</t>
        </is>
      </c>
      <c r="F50" s="534">
        <f>'ANA SAYFA KESİCİ'!F77</f>
        <v/>
      </c>
      <c r="G50" s="47" t="n"/>
      <c r="H50" s="47" t="n"/>
      <c r="I50" s="211" t="n"/>
      <c r="J50" s="53" t="n"/>
      <c r="K50" s="54" t="n"/>
      <c r="L50" s="134" t="n"/>
      <c r="M50" s="134" t="n"/>
      <c r="N50" s="134" t="n"/>
      <c r="O50" s="134" t="n"/>
      <c r="P50" s="134" t="n"/>
      <c r="Q50" s="135" t="n"/>
      <c r="R50" s="11" t="n"/>
    </row>
    <row r="51" ht="22.5" customHeight="1" s="227">
      <c r="A51" s="10" t="n"/>
      <c r="B51" s="355" t="inlineStr">
        <is>
          <t>EKİPNET NO</t>
        </is>
      </c>
      <c r="C51" s="99" t="n"/>
      <c r="D51" s="99" t="n"/>
      <c r="E51" s="356" t="inlineStr">
        <is>
          <t>:</t>
        </is>
      </c>
      <c r="F51" s="383">
        <f>'ANA SAYFA KESİCİ'!F78</f>
        <v/>
      </c>
      <c r="G51" s="99" t="n"/>
      <c r="H51" s="99" t="n"/>
      <c r="I51" s="482" t="n"/>
      <c r="J51" s="535" t="n"/>
      <c r="K51" s="139" t="n"/>
      <c r="L51" s="139" t="n"/>
      <c r="M51" s="139" t="n"/>
      <c r="N51" s="139" t="n"/>
      <c r="O51" s="139" t="n"/>
      <c r="P51" s="139" t="n"/>
      <c r="Q51" s="136" t="n"/>
      <c r="R51" s="11" t="n"/>
    </row>
    <row r="52" ht="15" customHeight="1" s="227">
      <c r="A52" s="15" t="n"/>
      <c r="B52" s="16" t="n"/>
      <c r="C52" s="16" t="n"/>
      <c r="D52" s="16" t="n"/>
      <c r="E52" s="16" t="n"/>
      <c r="F52" s="16" t="n"/>
      <c r="G52" s="16" t="n"/>
      <c r="H52" s="16" t="n"/>
      <c r="I52" s="16" t="n"/>
      <c r="J52" s="16" t="n"/>
      <c r="K52" s="16" t="n"/>
      <c r="L52" s="16" t="n"/>
      <c r="M52" s="16" t="n"/>
      <c r="N52" s="16" t="n"/>
      <c r="O52" s="16" t="n"/>
      <c r="P52" s="16" t="n"/>
      <c r="Q52" s="16" t="n"/>
      <c r="R52" s="17" t="n"/>
    </row>
    <row r="53" ht="15" customHeight="1" s="227"/>
    <row r="54" ht="15" customHeight="1" s="227"/>
    <row r="55" ht="15" customHeight="1" s="227"/>
    <row r="56" ht="18" customHeight="1" s="227">
      <c r="S56" s="54" t="n"/>
    </row>
    <row r="57" ht="15" customHeight="1" s="227">
      <c r="S57" s="127" t="n"/>
    </row>
    <row r="58" ht="15" customHeight="1" s="227">
      <c r="S58" s="27" t="n"/>
    </row>
    <row r="59" ht="15" customHeight="1" s="227">
      <c r="S59" s="127" t="n"/>
    </row>
    <row r="60" ht="15" customHeight="1" s="227">
      <c r="S60" s="635" t="n"/>
    </row>
    <row r="61" ht="15" customHeight="1" s="227">
      <c r="S61" s="127" t="n"/>
    </row>
    <row r="62" ht="15" customHeight="1" s="227">
      <c r="S62" s="127" t="n"/>
    </row>
    <row r="63" ht="15" customHeight="1" s="227">
      <c r="S63" s="127" t="n"/>
    </row>
    <row r="64" ht="15" customHeight="1" s="227">
      <c r="S64" s="127" t="n"/>
    </row>
  </sheetData>
  <mergeCells count="88">
    <mergeCell ref="J48:Q48"/>
    <mergeCell ref="G13:I13"/>
    <mergeCell ref="B40:Q40"/>
    <mergeCell ref="H9:I9"/>
    <mergeCell ref="G15:I15"/>
    <mergeCell ref="K26:L26"/>
    <mergeCell ref="W30:AD30"/>
    <mergeCell ref="B41:Q41"/>
    <mergeCell ref="F29:I29"/>
    <mergeCell ref="J28:M28"/>
    <mergeCell ref="Q27:Q28"/>
    <mergeCell ref="D47:Q47"/>
    <mergeCell ref="Y25:Z25"/>
    <mergeCell ref="C27:D27"/>
    <mergeCell ref="J7:Q7"/>
    <mergeCell ref="B11:Q11"/>
    <mergeCell ref="J29:L29"/>
    <mergeCell ref="G2:I2"/>
    <mergeCell ref="B13:E13"/>
    <mergeCell ref="J13:L13"/>
    <mergeCell ref="O9:Q9"/>
    <mergeCell ref="J15:L15"/>
    <mergeCell ref="W33:AD33"/>
    <mergeCell ref="K3:Q3"/>
    <mergeCell ref="B23:I23"/>
    <mergeCell ref="K27:L27"/>
    <mergeCell ref="B43:Q43"/>
    <mergeCell ref="Y27:Z27"/>
    <mergeCell ref="F25:G26"/>
    <mergeCell ref="B42:Q42"/>
    <mergeCell ref="G17:I17"/>
    <mergeCell ref="N29:Q29"/>
    <mergeCell ref="B48:D48"/>
    <mergeCell ref="K25:L25"/>
    <mergeCell ref="D9:G9"/>
    <mergeCell ref="N13:Q13"/>
    <mergeCell ref="G19:I19"/>
    <mergeCell ref="F48:I48"/>
    <mergeCell ref="B15:E15"/>
    <mergeCell ref="M9:N9"/>
    <mergeCell ref="G3:I3"/>
    <mergeCell ref="N15:Q15"/>
    <mergeCell ref="D46:Q46"/>
    <mergeCell ref="F27:G28"/>
    <mergeCell ref="B5:Q5"/>
    <mergeCell ref="P27:P28"/>
    <mergeCell ref="B49:D49"/>
    <mergeCell ref="W32:AD32"/>
    <mergeCell ref="N27:O28"/>
    <mergeCell ref="B51:D51"/>
    <mergeCell ref="B50:D50"/>
    <mergeCell ref="P25:Q26"/>
    <mergeCell ref="H25:I26"/>
    <mergeCell ref="J17:L17"/>
    <mergeCell ref="B9:C9"/>
    <mergeCell ref="F50:I50"/>
    <mergeCell ref="B17:E17"/>
    <mergeCell ref="N25:O26"/>
    <mergeCell ref="W39:AJ39"/>
    <mergeCell ref="J19:L19"/>
    <mergeCell ref="N17:Q17"/>
    <mergeCell ref="B2:F3"/>
    <mergeCell ref="B45:C45"/>
    <mergeCell ref="Y23:Z23"/>
    <mergeCell ref="B19:E19"/>
    <mergeCell ref="J9:L9"/>
    <mergeCell ref="B28:E28"/>
    <mergeCell ref="I27:I28"/>
    <mergeCell ref="W38:AJ38"/>
    <mergeCell ref="J23:Q23"/>
    <mergeCell ref="W28:AD28"/>
    <mergeCell ref="N19:Q19"/>
    <mergeCell ref="B7:I7"/>
    <mergeCell ref="W40:AJ40"/>
    <mergeCell ref="B29:D29"/>
    <mergeCell ref="C26:D26"/>
    <mergeCell ref="F49:I49"/>
    <mergeCell ref="D45:Q45"/>
    <mergeCell ref="C25:D25"/>
    <mergeCell ref="W41:AJ41"/>
    <mergeCell ref="W31:AD31"/>
    <mergeCell ref="H27:H28"/>
    <mergeCell ref="W43:AJ43"/>
    <mergeCell ref="B21:Q21"/>
    <mergeCell ref="F51:I51"/>
    <mergeCell ref="B39:Q39"/>
    <mergeCell ref="W42:AJ42"/>
    <mergeCell ref="K2:Q2"/>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Z56"/>
  <sheetViews>
    <sheetView zoomScale="82" zoomScaleNormal="82" workbookViewId="0">
      <selection activeCell="A1" sqref="A1"/>
    </sheetView>
  </sheetViews>
  <sheetFormatPr baseColWidth="8" defaultRowHeight="15"/>
  <cols>
    <col width="2.88671875" customWidth="1" style="227" min="1" max="1"/>
    <col width="5.44140625" customWidth="1" style="227" min="2" max="2"/>
    <col width="6.44140625" customWidth="1" style="227" min="17" max="17"/>
    <col width="2.88671875" customWidth="1" style="227" min="18" max="18"/>
    <col width="9.109375" customWidth="1" style="227" min="19" max="19"/>
  </cols>
  <sheetData>
    <row r="1" ht="11.2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46" t="n"/>
      <c r="C2" s="47" t="n"/>
      <c r="D2" s="47" t="n"/>
      <c r="E2" s="47" t="n"/>
      <c r="F2" s="48"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51" t="n"/>
      <c r="G3" s="391" t="inlineStr">
        <is>
          <t xml:space="preserve">  LOKASYON</t>
        </is>
      </c>
      <c r="H3" s="50" t="n"/>
      <c r="I3" s="193" t="inlineStr">
        <is>
          <t>:</t>
        </is>
      </c>
      <c r="J3" s="396">
        <f>'ANA SAYFA'!K5</f>
        <v/>
      </c>
      <c r="K3" s="50" t="n"/>
      <c r="L3" s="50" t="n"/>
      <c r="M3" s="50" t="n"/>
      <c r="N3" s="50" t="n"/>
      <c r="O3" s="50" t="n"/>
      <c r="P3" s="50" t="n"/>
      <c r="Q3" s="213" t="n"/>
      <c r="R3" s="11" t="n"/>
    </row>
    <row r="4" ht="10.5" customHeight="1" s="227">
      <c r="A4" s="10" t="n"/>
      <c r="B4" s="39" t="n"/>
      <c r="C4" s="40" t="n"/>
      <c r="D4" s="40" t="n"/>
      <c r="E4" s="40" t="n"/>
      <c r="F4" s="40" t="n"/>
      <c r="G4" s="40" t="n"/>
      <c r="H4" s="40" t="n"/>
      <c r="I4" s="40" t="n"/>
      <c r="J4" s="40" t="n"/>
      <c r="K4" s="40" t="n"/>
      <c r="L4" s="40" t="n"/>
      <c r="M4" s="40" t="n"/>
      <c r="N4" s="40" t="n"/>
      <c r="O4" s="40" t="n"/>
      <c r="P4" s="40" t="n"/>
      <c r="Q4" s="606" t="n"/>
      <c r="R4" s="11" t="n"/>
    </row>
    <row r="5" ht="18" customHeight="1" s="227">
      <c r="A5" s="10" t="n"/>
      <c r="B5" s="514" t="inlineStr">
        <is>
          <t>Dosya Adı :</t>
        </is>
      </c>
      <c r="C5" s="99" t="n"/>
      <c r="D5" s="99" t="n"/>
      <c r="E5" s="636" t="inlineStr">
        <is>
          <t>İZOLASYON YAĞI TEST SONUÇLARI</t>
        </is>
      </c>
      <c r="F5" s="99" t="n"/>
      <c r="G5" s="99" t="n"/>
      <c r="H5" s="99" t="n"/>
      <c r="I5" s="99" t="n"/>
      <c r="J5" s="99" t="n"/>
      <c r="K5" s="482" t="n"/>
      <c r="L5" s="637" t="inlineStr">
        <is>
          <t>Güç:</t>
        </is>
      </c>
      <c r="M5" s="99" t="n"/>
      <c r="N5" s="482" t="n"/>
      <c r="O5" s="432">
        <f>'ANA SAYFA'!G13</f>
        <v/>
      </c>
      <c r="P5" s="482" t="n"/>
      <c r="Q5" s="636" t="inlineStr">
        <is>
          <t>kVA</t>
        </is>
      </c>
      <c r="R5" s="11" t="n"/>
    </row>
    <row r="6" ht="6.75" customHeight="1" s="227">
      <c r="A6" s="10" t="n"/>
      <c r="B6" s="3" t="n"/>
      <c r="C6" s="127" t="n"/>
      <c r="D6" s="127" t="n"/>
      <c r="E6" s="127" t="n"/>
      <c r="F6" s="127" t="n"/>
      <c r="G6" s="127" t="n"/>
      <c r="H6" s="127" t="n"/>
      <c r="I6" s="127" t="n"/>
      <c r="J6" s="127" t="n"/>
      <c r="K6" s="127" t="n"/>
      <c r="L6" s="127" t="n"/>
      <c r="M6" s="127" t="n"/>
      <c r="N6" s="127" t="n"/>
      <c r="O6" s="127" t="n"/>
      <c r="P6" s="127" t="n"/>
      <c r="Q6" s="143" t="n"/>
      <c r="R6" s="11" t="n"/>
    </row>
    <row r="7" ht="15" customHeight="1" s="227">
      <c r="A7" s="10" t="n"/>
      <c r="B7" s="421" t="inlineStr">
        <is>
          <t>Üretici :</t>
        </is>
      </c>
      <c r="C7" s="482" t="n"/>
      <c r="D7" s="638">
        <f>'ANA SAYFA'!G11</f>
        <v/>
      </c>
      <c r="E7" s="47" t="n"/>
      <c r="F7" s="211" t="n"/>
      <c r="G7" s="639" t="inlineStr">
        <is>
          <t>Model :</t>
        </is>
      </c>
      <c r="H7" s="482" t="n"/>
      <c r="I7" s="638">
        <f>'ANA SAYFA'!O13</f>
        <v/>
      </c>
      <c r="J7" s="47" t="n"/>
      <c r="K7" s="211" t="n"/>
      <c r="L7" s="421" t="inlineStr">
        <is>
          <t>Seri Numarası :</t>
        </is>
      </c>
      <c r="M7" s="99" t="n"/>
      <c r="N7" s="482" t="n"/>
      <c r="O7" s="374">
        <f>'ANA SAYFA'!O15</f>
        <v/>
      </c>
      <c r="P7" s="99" t="n"/>
      <c r="Q7" s="482" t="n"/>
      <c r="R7" s="11" t="n"/>
    </row>
    <row r="8" ht="15" customHeight="1" s="227">
      <c r="A8" s="10" t="n"/>
      <c r="B8" s="374" t="inlineStr">
        <is>
          <t>Yağ Markası:</t>
        </is>
      </c>
      <c r="C8" s="482" t="n"/>
      <c r="D8" s="374">
        <f>'ANA SAYFA'!G17</f>
        <v/>
      </c>
      <c r="E8" s="99" t="n"/>
      <c r="F8" s="482" t="n"/>
      <c r="G8" s="418" t="inlineStr">
        <is>
          <t>Yağ Ağırlığı:</t>
        </is>
      </c>
      <c r="H8" s="482" t="n"/>
      <c r="I8" s="374">
        <f>'ANA SAYFA'!O17</f>
        <v/>
      </c>
      <c r="J8" s="99" t="n"/>
      <c r="K8" s="482" t="n"/>
      <c r="L8" s="421" t="inlineStr">
        <is>
          <t>Gerilim Seviyesi:</t>
        </is>
      </c>
      <c r="M8" s="99" t="n"/>
      <c r="N8" s="482" t="n"/>
      <c r="O8" s="374">
        <f>'ANA SAYFA'!G15</f>
        <v/>
      </c>
      <c r="P8" s="99" t="n"/>
      <c r="Q8" s="482" t="n"/>
      <c r="R8" s="11" t="n"/>
    </row>
    <row r="9" ht="6.75" customHeight="1" s="227">
      <c r="A9" s="10" t="n"/>
      <c r="B9" s="3" t="n"/>
      <c r="C9" s="127" t="n"/>
      <c r="D9" s="127" t="n"/>
      <c r="E9" s="127" t="n"/>
      <c r="F9" s="127" t="n"/>
      <c r="G9" s="127" t="n"/>
      <c r="H9" s="127" t="n"/>
      <c r="I9" s="127" t="n"/>
      <c r="J9" s="127" t="n"/>
      <c r="K9" s="127" t="n"/>
      <c r="L9" s="127" t="n"/>
      <c r="M9" s="127" t="n"/>
      <c r="N9" s="127" t="n"/>
      <c r="O9" s="127" t="n"/>
      <c r="P9" s="127" t="n"/>
      <c r="Q9" s="143" t="n"/>
      <c r="R9" s="11" t="n"/>
    </row>
    <row r="10" ht="18" customHeight="1" s="227">
      <c r="A10" s="10" t="n"/>
      <c r="B10" s="402" t="inlineStr">
        <is>
          <t>RAPOR TARİHİ :</t>
        </is>
      </c>
      <c r="C10" s="99" t="n"/>
      <c r="D10" s="99" t="n"/>
      <c r="E10" s="99" t="n"/>
      <c r="F10" s="99" t="n"/>
      <c r="G10" s="99" t="n"/>
      <c r="H10" s="99" t="n"/>
      <c r="I10" s="99" t="n"/>
      <c r="J10" s="499">
        <f>'ANA SAYFA'!F78</f>
        <v/>
      </c>
      <c r="K10" s="99" t="n"/>
      <c r="L10" s="99" t="n"/>
      <c r="M10" s="99" t="n"/>
      <c r="N10" s="99" t="n"/>
      <c r="O10" s="99" t="n"/>
      <c r="P10" s="99" t="n"/>
      <c r="Q10" s="482" t="n"/>
      <c r="R10" s="11" t="n"/>
    </row>
    <row r="11" ht="6.75" customHeight="1" s="227">
      <c r="A11" s="10" t="n"/>
      <c r="B11" s="3" t="n"/>
      <c r="C11" s="127" t="n"/>
      <c r="D11" s="127" t="n"/>
      <c r="E11" s="127" t="n"/>
      <c r="F11" s="127" t="n"/>
      <c r="G11" s="127" t="n"/>
      <c r="H11" s="127" t="n"/>
      <c r="I11" s="127" t="n"/>
      <c r="J11" s="127" t="n"/>
      <c r="K11" s="127" t="n"/>
      <c r="L11" s="127" t="n"/>
      <c r="M11" s="127" t="n"/>
      <c r="N11" s="127" t="n"/>
      <c r="O11" s="127" t="n"/>
      <c r="P11" s="127" t="n"/>
      <c r="Q11" s="143" t="n"/>
      <c r="R11" s="11" t="n"/>
      <c r="T11" t="n">
        <v>30</v>
      </c>
    </row>
    <row r="12" ht="18" customHeight="1" s="227">
      <c r="A12" s="10" t="n"/>
      <c r="B12" s="420" t="inlineStr">
        <is>
          <t>Sonuçlar</t>
        </is>
      </c>
      <c r="C12" s="99" t="n"/>
      <c r="D12" s="99" t="n"/>
      <c r="E12" s="99" t="n"/>
      <c r="F12" s="99" t="n"/>
      <c r="G12" s="99" t="n"/>
      <c r="H12" s="99" t="n"/>
      <c r="I12" s="99" t="n"/>
      <c r="J12" s="99" t="n"/>
      <c r="K12" s="99" t="n"/>
      <c r="L12" s="99" t="n"/>
      <c r="M12" s="99" t="n"/>
      <c r="N12" s="99" t="n"/>
      <c r="O12" s="99" t="n"/>
      <c r="P12" s="99" t="n"/>
      <c r="Q12" s="482" t="n"/>
      <c r="R12" s="11" t="n"/>
    </row>
    <row r="13" ht="7.5" customHeight="1" s="227">
      <c r="A13" s="10" t="n"/>
      <c r="B13" s="3" t="n"/>
      <c r="C13" s="127" t="n"/>
      <c r="D13" s="127" t="n"/>
      <c r="E13" s="127" t="n"/>
      <c r="F13" s="127" t="n"/>
      <c r="G13" s="127" t="n"/>
      <c r="H13" s="127" t="n"/>
      <c r="I13" s="127" t="n"/>
      <c r="J13" s="127" t="n"/>
      <c r="K13" s="127" t="n"/>
      <c r="L13" s="127" t="n"/>
      <c r="M13" s="127" t="n"/>
      <c r="N13" s="127" t="n"/>
      <c r="O13" s="127" t="n"/>
      <c r="P13" s="127" t="n"/>
      <c r="Q13" s="143" t="n"/>
      <c r="R13" s="11" t="n"/>
    </row>
    <row r="14" ht="18.75" customHeight="1" s="227">
      <c r="A14" s="10" t="n"/>
      <c r="B14" s="485" t="inlineStr">
        <is>
          <t>DİELEKTRİK DAYANIM TESTİ ( VDE0370 )</t>
        </is>
      </c>
      <c r="C14" s="99" t="n"/>
      <c r="D14" s="99" t="n"/>
      <c r="E14" s="99" t="n"/>
      <c r="F14" s="99" t="n"/>
      <c r="G14" s="99" t="n"/>
      <c r="H14" s="99" t="n"/>
      <c r="I14" s="99" t="n"/>
      <c r="J14" s="99" t="n"/>
      <c r="K14" s="99" t="n"/>
      <c r="L14" s="99" t="n"/>
      <c r="M14" s="99" t="n"/>
      <c r="N14" s="99" t="n"/>
      <c r="O14" s="99" t="n"/>
      <c r="P14" s="99" t="n"/>
      <c r="Q14" s="482" t="n"/>
      <c r="R14" s="11" t="n"/>
    </row>
    <row r="15" ht="9.75" customHeight="1" s="227">
      <c r="A15" s="10" t="n"/>
      <c r="B15" s="39" t="n"/>
      <c r="C15" s="40" t="n"/>
      <c r="D15" s="40" t="n"/>
      <c r="E15" s="40" t="n"/>
      <c r="F15" s="40" t="n"/>
      <c r="G15" s="40" t="n"/>
      <c r="H15" s="40" t="n"/>
      <c r="I15" s="40" t="n"/>
      <c r="J15" s="40" t="n"/>
      <c r="K15" s="40" t="n"/>
      <c r="L15" s="40" t="n"/>
      <c r="M15" s="40" t="n"/>
      <c r="N15" s="40" t="n"/>
      <c r="O15" s="40" t="n"/>
      <c r="P15" s="40" t="n"/>
      <c r="Q15" s="41" t="n"/>
      <c r="R15" s="11" t="n"/>
    </row>
    <row r="16" ht="16.5" customHeight="1" s="227">
      <c r="A16" s="10" t="n"/>
      <c r="B16" s="523" t="inlineStr">
        <is>
          <t>DENEY 1</t>
        </is>
      </c>
      <c r="C16" s="482" t="n"/>
      <c r="D16" s="445" t="n">
        <v>60</v>
      </c>
      <c r="E16" s="482" t="n"/>
      <c r="F16" s="515" t="inlineStr">
        <is>
          <t>kV</t>
        </is>
      </c>
      <c r="G16" s="482" t="n"/>
      <c r="H16" s="317" t="n"/>
      <c r="J16" s="127" t="n"/>
      <c r="K16" s="423" t="n"/>
      <c r="M16" s="127" t="n"/>
      <c r="N16" s="240" t="n"/>
      <c r="Q16" s="304" t="n"/>
      <c r="R16" s="11" t="n"/>
    </row>
    <row r="17" ht="9.75" customHeight="1" s="227">
      <c r="A17" s="33" t="n"/>
      <c r="B17" s="640" t="n"/>
      <c r="C17" s="640" t="n"/>
      <c r="D17" s="641" t="n"/>
      <c r="E17" s="641" t="n"/>
      <c r="F17" s="607" t="n"/>
      <c r="G17" s="607" t="n"/>
      <c r="H17" s="317" t="n"/>
      <c r="I17" s="317" t="n"/>
      <c r="J17" s="127" t="n"/>
      <c r="K17" s="423" t="n"/>
      <c r="L17" s="423" t="n"/>
      <c r="M17" s="127" t="n"/>
      <c r="N17" s="240" t="n"/>
      <c r="O17" s="240" t="n"/>
      <c r="Q17" s="303" t="n"/>
      <c r="R17" s="69" t="n"/>
    </row>
    <row r="18" ht="16.5" customHeight="1" s="227">
      <c r="A18" s="33" t="n"/>
      <c r="B18" s="642" t="inlineStr">
        <is>
          <t>DENEY 2</t>
        </is>
      </c>
      <c r="C18" s="482" t="n"/>
      <c r="D18" s="445" t="n">
        <v>60</v>
      </c>
      <c r="E18" s="482" t="n"/>
      <c r="F18" s="515" t="inlineStr">
        <is>
          <t>kV</t>
        </is>
      </c>
      <c r="G18" s="482" t="n"/>
      <c r="H18" s="317" t="n"/>
      <c r="J18" s="127" t="n"/>
      <c r="K18" s="423" t="n"/>
      <c r="M18" s="127" t="n"/>
      <c r="N18" s="240" t="n"/>
      <c r="Q18" s="303" t="n"/>
      <c r="R18" s="69" t="n"/>
    </row>
    <row r="19" ht="9.75" customHeight="1" s="227">
      <c r="A19" s="33" t="n"/>
      <c r="B19" s="640" t="n"/>
      <c r="C19" s="640" t="n"/>
      <c r="D19" s="641" t="n"/>
      <c r="E19" s="641" t="n"/>
      <c r="F19" s="607" t="n"/>
      <c r="G19" s="607" t="n"/>
      <c r="H19" s="317" t="n"/>
      <c r="I19" s="317" t="n"/>
      <c r="J19" s="127" t="n"/>
      <c r="K19" s="423" t="n"/>
      <c r="L19" s="423" t="n"/>
      <c r="M19" s="127" t="n"/>
      <c r="N19" s="240" t="n"/>
      <c r="O19" s="240" t="n"/>
      <c r="Q19" s="303" t="n"/>
      <c r="R19" s="69" t="n"/>
    </row>
    <row r="20" ht="16.5" customHeight="1" s="227">
      <c r="A20" s="33" t="n"/>
      <c r="B20" s="642" t="inlineStr">
        <is>
          <t>DENEY 3</t>
        </is>
      </c>
      <c r="C20" s="482" t="n"/>
      <c r="D20" s="445" t="n">
        <v>60</v>
      </c>
      <c r="E20" s="482" t="n"/>
      <c r="F20" s="515" t="inlineStr">
        <is>
          <t>kV</t>
        </is>
      </c>
      <c r="G20" s="482" t="n"/>
      <c r="H20" s="317" t="n"/>
      <c r="J20" s="127" t="n"/>
      <c r="K20" s="423" t="n"/>
      <c r="M20" s="127" t="n"/>
      <c r="N20" s="240" t="n"/>
      <c r="Q20" s="303" t="n"/>
      <c r="R20" s="69" t="n"/>
      <c r="W20" s="131" t="n">
        <v>30</v>
      </c>
    </row>
    <row r="21" ht="9.75" customHeight="1" s="227">
      <c r="A21" s="33" t="n"/>
      <c r="B21" s="640" t="n"/>
      <c r="C21" s="640" t="n"/>
      <c r="D21" s="641" t="n"/>
      <c r="E21" s="641" t="n"/>
      <c r="F21" s="607" t="n"/>
      <c r="G21" s="607" t="n"/>
      <c r="H21" s="317" t="n"/>
      <c r="I21" s="317" t="n"/>
      <c r="J21" s="127" t="n"/>
      <c r="K21" s="423" t="n"/>
      <c r="L21" s="423" t="n"/>
      <c r="M21" s="127" t="n"/>
      <c r="N21" s="240" t="n"/>
      <c r="O21" s="240" t="n"/>
      <c r="Q21" s="303" t="n"/>
      <c r="R21" s="69" t="n"/>
    </row>
    <row r="22" ht="16.5" customHeight="1" s="227">
      <c r="A22" s="33" t="n"/>
      <c r="B22" s="642" t="inlineStr">
        <is>
          <t>DENEY 4</t>
        </is>
      </c>
      <c r="C22" s="482" t="n"/>
      <c r="D22" s="445" t="n">
        <v>60</v>
      </c>
      <c r="E22" s="482" t="n"/>
      <c r="F22" s="515" t="inlineStr">
        <is>
          <t>kV</t>
        </is>
      </c>
      <c r="G22" s="482" t="n"/>
      <c r="H22" s="317" t="n"/>
      <c r="J22" s="127" t="n"/>
      <c r="K22" s="423" t="n"/>
      <c r="M22" s="127" t="n"/>
      <c r="N22" s="240" t="n"/>
      <c r="Q22" s="303" t="n"/>
      <c r="R22" s="69" t="n"/>
    </row>
    <row r="23" ht="9.75" customHeight="1" s="227">
      <c r="A23" s="33" t="n"/>
      <c r="B23" s="640" t="n"/>
      <c r="C23" s="640" t="n"/>
      <c r="D23" s="641" t="n"/>
      <c r="E23" s="641" t="n"/>
      <c r="F23" s="607" t="n"/>
      <c r="G23" s="607" t="n"/>
      <c r="H23" s="317" t="n"/>
      <c r="I23" s="317" t="n"/>
      <c r="J23" s="127" t="n"/>
      <c r="K23" s="423" t="n"/>
      <c r="L23" s="423" t="n"/>
      <c r="M23" s="127" t="n"/>
      <c r="N23" s="240" t="n"/>
      <c r="O23" s="240" t="n"/>
      <c r="Q23" s="303" t="n"/>
      <c r="R23" s="69" t="n"/>
    </row>
    <row r="24" ht="16.5" customHeight="1" s="227">
      <c r="A24" s="33" t="n"/>
      <c r="B24" s="642" t="inlineStr">
        <is>
          <t>DENEY 5</t>
        </is>
      </c>
      <c r="C24" s="482" t="n"/>
      <c r="D24" s="445" t="n">
        <v>60</v>
      </c>
      <c r="E24" s="482" t="n"/>
      <c r="F24" s="515" t="inlineStr">
        <is>
          <t>kV</t>
        </is>
      </c>
      <c r="G24" s="482" t="n"/>
      <c r="H24" s="317" t="n"/>
      <c r="J24" s="127" t="n"/>
      <c r="K24" s="423" t="n"/>
      <c r="M24" s="127" t="n"/>
      <c r="N24" s="240" t="n"/>
      <c r="Q24" s="303" t="n"/>
      <c r="R24" s="69" t="n"/>
    </row>
    <row r="25" ht="9.75" customHeight="1" s="227">
      <c r="A25" s="33" t="n"/>
      <c r="B25" s="640" t="n"/>
      <c r="C25" s="640" t="n"/>
      <c r="D25" s="641" t="n"/>
      <c r="E25" s="641" t="n"/>
      <c r="F25" s="607" t="n"/>
      <c r="G25" s="607" t="n"/>
      <c r="H25" s="317" t="n"/>
      <c r="I25" s="317" t="n"/>
      <c r="J25" s="127" t="n"/>
      <c r="K25" s="423" t="n"/>
      <c r="L25" s="423" t="n"/>
      <c r="M25" s="127" t="n"/>
      <c r="N25" s="240" t="n"/>
      <c r="O25" s="240" t="n"/>
      <c r="Q25" s="303" t="n"/>
      <c r="R25" s="69" t="n"/>
    </row>
    <row r="26" ht="16.5" customHeight="1" s="227">
      <c r="A26" s="33" t="n"/>
      <c r="B26" s="642" t="inlineStr">
        <is>
          <t>DENEY 6</t>
        </is>
      </c>
      <c r="C26" s="482" t="n"/>
      <c r="D26" s="445" t="n">
        <v>60</v>
      </c>
      <c r="E26" s="482" t="n"/>
      <c r="F26" s="515" t="inlineStr">
        <is>
          <t>kV</t>
        </is>
      </c>
      <c r="G26" s="482" t="n"/>
      <c r="H26" s="317" t="n"/>
      <c r="J26" s="127" t="n"/>
      <c r="K26" s="423" t="n"/>
      <c r="M26" s="127" t="n"/>
      <c r="N26" s="240" t="n"/>
      <c r="Q26" s="303" t="n"/>
      <c r="R26" s="69" t="n"/>
    </row>
    <row r="27" ht="9.75" customHeight="1" s="227">
      <c r="A27" s="33" t="n"/>
      <c r="B27" s="640" t="n"/>
      <c r="C27" s="640" t="n"/>
      <c r="D27" s="607" t="n"/>
      <c r="E27" s="607" t="n"/>
      <c r="F27" s="607" t="n"/>
      <c r="G27" s="607" t="n"/>
      <c r="H27" s="317" t="n"/>
      <c r="I27" s="317" t="n"/>
      <c r="J27" s="127" t="n"/>
      <c r="K27" s="423" t="n"/>
      <c r="L27" s="423" t="n"/>
      <c r="M27" s="127" t="n"/>
      <c r="N27" s="240" t="n"/>
      <c r="O27" s="240" t="n"/>
      <c r="Q27" s="303" t="n"/>
      <c r="R27" s="69" t="n"/>
    </row>
    <row r="28" ht="16.5" customHeight="1" s="227">
      <c r="A28" s="33" t="n"/>
      <c r="B28" s="410" t="inlineStr">
        <is>
          <t>Vort</t>
        </is>
      </c>
      <c r="C28" s="482" t="n"/>
      <c r="D28" s="445">
        <f>(D16+D18+D20+D22+D24+D26)/6</f>
        <v/>
      </c>
      <c r="E28" s="482" t="n"/>
      <c r="F28" s="370" t="inlineStr">
        <is>
          <t>kV</t>
        </is>
      </c>
      <c r="G28" s="482" t="n"/>
      <c r="H28" s="30" t="n"/>
      <c r="I28" s="23" t="n"/>
      <c r="J28" s="23" t="n"/>
      <c r="K28" s="30" t="n"/>
      <c r="L28" s="30" t="n"/>
      <c r="M28" s="30" t="n"/>
      <c r="N28" s="30" t="n"/>
      <c r="O28" s="30" t="n"/>
      <c r="P28" s="30" t="n"/>
      <c r="Q28" s="317" t="n"/>
      <c r="R28" s="69" t="n"/>
    </row>
    <row r="29" ht="15" customHeight="1" s="227">
      <c r="A29" s="10" t="n"/>
      <c r="B29" s="377" t="n"/>
      <c r="C29" s="446" t="n"/>
      <c r="D29" s="641" t="n"/>
      <c r="E29" s="641" t="n"/>
      <c r="F29" s="423" t="n"/>
      <c r="G29" s="423" t="n"/>
      <c r="H29" s="30" t="n"/>
      <c r="I29" s="23" t="n"/>
      <c r="J29" s="23" t="n"/>
      <c r="K29" s="30" t="n"/>
      <c r="L29" s="30" t="n"/>
      <c r="M29" s="30" t="n"/>
      <c r="N29" s="30" t="n"/>
      <c r="O29" s="30" t="n"/>
      <c r="P29" s="30" t="n"/>
      <c r="Q29" s="117" t="n"/>
      <c r="R29" s="11" t="n"/>
    </row>
    <row r="30" ht="15" customHeight="1" s="227">
      <c r="A30" s="10" t="n"/>
      <c r="B30" s="643" t="inlineStr">
        <is>
          <t>Testin Adı</t>
        </is>
      </c>
      <c r="C30" s="644" t="n"/>
      <c r="D30" s="645" t="n"/>
      <c r="E30" s="646" t="inlineStr">
        <is>
          <t>Değer</t>
        </is>
      </c>
      <c r="F30" s="644" t="n"/>
      <c r="G30" s="645" t="n"/>
      <c r="H30" s="647" t="inlineStr">
        <is>
          <t>Birim</t>
        </is>
      </c>
      <c r="I30" s="644" t="n"/>
      <c r="J30" s="645" t="n"/>
      <c r="K30" s="647" t="inlineStr">
        <is>
          <t>Standardı</t>
        </is>
      </c>
      <c r="L30" s="644" t="n"/>
      <c r="M30" s="645" t="n"/>
      <c r="N30" s="648" t="inlineStr">
        <is>
          <t>Sınır Değerler</t>
        </is>
      </c>
      <c r="O30" s="644" t="n"/>
      <c r="P30" s="644" t="n"/>
      <c r="Q30" s="649" t="n"/>
      <c r="R30" s="11" t="n"/>
    </row>
    <row r="31" ht="6" customHeight="1" s="227">
      <c r="A31" s="10" t="n"/>
      <c r="B31" s="528" t="n"/>
      <c r="C31" s="240" t="n"/>
      <c r="D31" s="240" t="n"/>
      <c r="E31" s="650" t="n"/>
      <c r="F31" s="650" t="n"/>
      <c r="G31" s="650" t="n"/>
      <c r="H31" s="651" t="n"/>
      <c r="I31" s="651" t="n"/>
      <c r="J31" s="651" t="n"/>
      <c r="K31" s="651" t="n"/>
      <c r="L31" s="651" t="n"/>
      <c r="M31" s="651" t="n"/>
      <c r="N31" s="651" t="n"/>
      <c r="O31" s="651" t="n"/>
      <c r="P31" s="651" t="n"/>
      <c r="Q31" s="652" t="n"/>
      <c r="R31" s="11" t="n"/>
    </row>
    <row r="32" ht="15" customHeight="1" s="227">
      <c r="A32" s="10" t="n"/>
      <c r="B32" s="422" t="inlineStr">
        <is>
          <t>Asidite</t>
        </is>
      </c>
      <c r="C32" s="99" t="n"/>
      <c r="D32" s="482" t="n"/>
      <c r="E32" s="370" t="n">
        <v>0.094</v>
      </c>
      <c r="F32" s="99" t="n"/>
      <c r="G32" s="482" t="n"/>
      <c r="H32" s="370" t="inlineStr">
        <is>
          <t>mgKOH/g</t>
        </is>
      </c>
      <c r="I32" s="99" t="n"/>
      <c r="J32" s="482" t="n"/>
      <c r="K32" s="370" t="inlineStr">
        <is>
          <t>ASTMD664</t>
        </is>
      </c>
      <c r="L32" s="99" t="n"/>
      <c r="M32" s="482" t="n"/>
      <c r="N32" s="653" t="inlineStr">
        <is>
          <t>max 0,300 mgKOH/g</t>
        </is>
      </c>
      <c r="O32" s="99" t="n"/>
      <c r="P32" s="99" t="n"/>
      <c r="Q32" s="482" t="n"/>
      <c r="R32" s="11" t="n"/>
    </row>
    <row r="33" ht="6" customHeight="1" s="227">
      <c r="A33" s="10" t="n"/>
      <c r="B33" s="377" t="n"/>
      <c r="C33" s="446" t="n"/>
      <c r="D33" s="446" t="n"/>
      <c r="E33" s="423" t="n"/>
      <c r="F33" s="423" t="n"/>
      <c r="G33" s="423" t="n"/>
      <c r="H33" s="423" t="n"/>
      <c r="I33" s="423" t="n"/>
      <c r="J33" s="423" t="n"/>
      <c r="K33" s="423" t="n"/>
      <c r="L33" s="423" t="n"/>
      <c r="M33" s="423" t="n"/>
      <c r="N33" s="654" t="n"/>
      <c r="O33" s="654" t="n"/>
      <c r="P33" s="654" t="n"/>
      <c r="Q33" s="655" t="n"/>
      <c r="R33" s="11" t="n"/>
    </row>
    <row r="34" ht="15" customHeight="1" s="227">
      <c r="A34" s="10" t="n"/>
      <c r="B34" s="656" t="inlineStr">
        <is>
          <t>Yoğunluk</t>
        </is>
      </c>
      <c r="C34" s="99" t="n"/>
      <c r="D34" s="482" t="n"/>
      <c r="E34" s="657" t="n">
        <v>0.886</v>
      </c>
      <c r="F34" s="99" t="n"/>
      <c r="G34" s="482" t="n"/>
      <c r="H34" s="504" t="inlineStr">
        <is>
          <t>g/cm3</t>
        </is>
      </c>
      <c r="I34" s="99" t="n"/>
      <c r="J34" s="482" t="n"/>
      <c r="K34" s="370" t="inlineStr">
        <is>
          <t>ASTMD1298</t>
        </is>
      </c>
      <c r="L34" s="99" t="n"/>
      <c r="M34" s="482" t="n"/>
      <c r="N34" s="653" t="inlineStr">
        <is>
          <t>0,800-0,950 g/cm3</t>
        </is>
      </c>
      <c r="O34" s="99" t="n"/>
      <c r="P34" s="99" t="n"/>
      <c r="Q34" s="482" t="n"/>
      <c r="R34" s="11" t="n"/>
    </row>
    <row r="35" ht="6" customHeight="1" s="227">
      <c r="A35" s="10" t="n"/>
      <c r="B35" s="658" t="n"/>
      <c r="C35" s="598" t="n"/>
      <c r="D35" s="598" t="n"/>
      <c r="E35" s="423" t="n"/>
      <c r="F35" s="423" t="n"/>
      <c r="G35" s="423" t="n"/>
      <c r="H35" s="423" t="n"/>
      <c r="I35" s="423" t="n"/>
      <c r="J35" s="423" t="n"/>
      <c r="K35" s="423" t="n"/>
      <c r="L35" s="423" t="n"/>
      <c r="M35" s="423" t="n"/>
      <c r="N35" s="654" t="n"/>
      <c r="O35" s="654" t="n"/>
      <c r="P35" s="654" t="n"/>
      <c r="Q35" s="655" t="n"/>
      <c r="R35" s="11" t="n"/>
    </row>
    <row r="36" ht="15" customHeight="1" s="227">
      <c r="A36" s="10" t="n"/>
      <c r="B36" s="422" t="inlineStr">
        <is>
          <t>Çözünmüş Su</t>
        </is>
      </c>
      <c r="C36" s="99" t="n"/>
      <c r="D36" s="482" t="n"/>
      <c r="E36" s="370" t="n">
        <v>10.5</v>
      </c>
      <c r="F36" s="99" t="n"/>
      <c r="G36" s="482" t="n"/>
      <c r="H36" s="370" t="inlineStr">
        <is>
          <t>ppm</t>
        </is>
      </c>
      <c r="I36" s="99" t="n"/>
      <c r="J36" s="482" t="n"/>
      <c r="K36" s="370" t="inlineStr">
        <is>
          <t>ASTMD1533</t>
        </is>
      </c>
      <c r="L36" s="99" t="n"/>
      <c r="M36" s="482" t="n"/>
      <c r="N36" s="653" t="inlineStr">
        <is>
          <t>max 30 ppm</t>
        </is>
      </c>
      <c r="O36" s="99" t="n"/>
      <c r="P36" s="99" t="n"/>
      <c r="Q36" s="482" t="n"/>
      <c r="R36" s="11" t="n"/>
      <c r="Z36" s="231" t="n"/>
    </row>
    <row r="37" ht="6" customHeight="1" s="227">
      <c r="A37" s="10" t="n"/>
      <c r="B37" s="377" t="n"/>
      <c r="C37" s="446" t="n"/>
      <c r="D37" s="446" t="n"/>
      <c r="E37" s="423" t="n"/>
      <c r="F37" s="423" t="n"/>
      <c r="G37" s="423" t="n"/>
      <c r="H37" s="423" t="n"/>
      <c r="I37" s="423" t="n"/>
      <c r="J37" s="423" t="n"/>
      <c r="K37" s="423" t="n"/>
      <c r="L37" s="423" t="n"/>
      <c r="M37" s="423" t="n"/>
      <c r="N37" s="423" t="n"/>
      <c r="O37" s="423" t="n"/>
      <c r="P37" s="423" t="n"/>
      <c r="Q37" s="659" t="n"/>
      <c r="R37" s="11" t="n"/>
    </row>
    <row r="38" ht="15" customHeight="1" s="227">
      <c r="A38" s="10" t="n"/>
      <c r="B38" s="656" t="inlineStr">
        <is>
          <t>Görünüş</t>
        </is>
      </c>
      <c r="C38" s="99" t="n"/>
      <c r="D38" s="482" t="n"/>
      <c r="E38" s="660" t="inlineStr">
        <is>
          <t>AÇIK SARI</t>
        </is>
      </c>
      <c r="F38" s="99" t="n"/>
      <c r="G38" s="99" t="n"/>
      <c r="H38" s="99" t="n"/>
      <c r="I38" s="99" t="n"/>
      <c r="J38" s="99" t="n"/>
      <c r="K38" s="99" t="n"/>
      <c r="L38" s="99" t="n"/>
      <c r="M38" s="99" t="n"/>
      <c r="N38" s="99" t="n"/>
      <c r="O38" s="99" t="n"/>
      <c r="P38" s="99" t="n"/>
      <c r="Q38" s="482" t="n"/>
      <c r="R38" s="11" t="n"/>
    </row>
    <row r="39" ht="15.6" customHeight="1" s="227">
      <c r="A39" s="10" t="n"/>
      <c r="B39" s="661" t="inlineStr">
        <is>
          <t>KULLANILAN CİHAZLARA AİT BİLGİLER</t>
        </is>
      </c>
      <c r="Q39" s="212" t="n"/>
      <c r="R39" s="11" t="n"/>
    </row>
    <row r="40" ht="15" customHeight="1" s="227">
      <c r="A40" s="10" t="n"/>
      <c r="B40" s="3" t="n"/>
      <c r="C40" s="317" t="inlineStr">
        <is>
          <t>SA-60 DİELEKTRİK DAYANIM TEST CİHAZI</t>
        </is>
      </c>
      <c r="Q40" s="143" t="n"/>
      <c r="R40" s="11" t="n"/>
    </row>
    <row r="41" ht="15" customHeight="1" s="227">
      <c r="A41" s="10" t="n"/>
      <c r="B41" s="53" t="n"/>
      <c r="C41" s="613" t="inlineStr">
        <is>
          <t>SERİ NO: 97142  KAL. NO: 537602 / TARİH: 27.05.2025</t>
        </is>
      </c>
      <c r="Q41" s="55" t="n"/>
      <c r="R41" s="11" t="n"/>
    </row>
    <row r="42" ht="15" customHeight="1" s="227">
      <c r="A42" s="10" t="n"/>
      <c r="B42" s="3" t="n"/>
      <c r="C42" s="317" t="inlineStr">
        <is>
          <t>MEZÜR</t>
        </is>
      </c>
      <c r="Q42" s="143" t="n"/>
      <c r="R42" s="11" t="n"/>
    </row>
    <row r="43" ht="15" customHeight="1" s="227">
      <c r="A43" s="10" t="n"/>
      <c r="B43" s="528" t="n"/>
      <c r="C43" s="317" t="inlineStr">
        <is>
          <t>KAL. NO: 389202 / TARİH: 16.04.2025</t>
        </is>
      </c>
      <c r="Q43" s="143" t="n"/>
      <c r="R43" s="11" t="n"/>
    </row>
    <row r="44" ht="15" customHeight="1" s="227">
      <c r="A44" s="10" t="n"/>
      <c r="B44" s="528" t="n"/>
      <c r="C44" s="317" t="inlineStr">
        <is>
          <t>DENSİMETRE</t>
        </is>
      </c>
      <c r="Q44" s="117" t="n"/>
      <c r="R44" s="11" t="n"/>
    </row>
    <row r="45" ht="15" customHeight="1" s="227">
      <c r="A45" s="10" t="n"/>
      <c r="B45" s="528" t="n"/>
      <c r="C45" s="317" t="inlineStr">
        <is>
          <t>KAL.NO: 389201 / TARİH:  17.04.2025</t>
        </is>
      </c>
      <c r="Q45" s="117" t="n"/>
      <c r="R45" s="11" t="n"/>
    </row>
    <row r="46" ht="15" customHeight="1" s="227">
      <c r="A46" s="10" t="n"/>
      <c r="B46" s="310" t="n"/>
      <c r="C46" s="662" t="inlineStr">
        <is>
          <t>COU-LO AQUAMAX KF Moisture Meter</t>
        </is>
      </c>
      <c r="D46" s="50" t="n"/>
      <c r="E46" s="50" t="n"/>
      <c r="F46" s="50" t="n"/>
      <c r="G46" s="50" t="n"/>
      <c r="H46" s="50" t="n"/>
      <c r="I46" s="50" t="n"/>
      <c r="J46" s="50" t="n"/>
      <c r="K46" s="50" t="n"/>
      <c r="L46" s="50" t="n"/>
      <c r="M46" s="50" t="n"/>
      <c r="N46" s="50" t="n"/>
      <c r="O46" s="50" t="n"/>
      <c r="P46" s="50" t="n"/>
      <c r="Q46" s="312" t="n"/>
      <c r="R46" s="11" t="n"/>
    </row>
    <row r="47" ht="15.75" customHeight="1" s="227">
      <c r="A47" s="10" t="n"/>
      <c r="B47" s="663" t="inlineStr">
        <is>
          <t>Sonuç : Yapılan ölçümler sonucu izolasyon yağının test değerleri uygun bulunmuştur.</t>
        </is>
      </c>
      <c r="C47" s="47" t="n"/>
      <c r="D47" s="47" t="n"/>
      <c r="E47" s="47" t="n"/>
      <c r="F47" s="47" t="n"/>
      <c r="G47" s="47" t="n"/>
      <c r="H47" s="47" t="n"/>
      <c r="I47" s="47" t="n"/>
      <c r="J47" s="47" t="n"/>
      <c r="K47" s="47" t="n"/>
      <c r="L47" s="47" t="n"/>
      <c r="M47" s="47" t="n"/>
      <c r="N47" s="47" t="n"/>
      <c r="O47" s="47" t="n"/>
      <c r="P47" s="47" t="n"/>
      <c r="Q47" s="211" t="n"/>
      <c r="R47" s="11" t="n"/>
    </row>
    <row r="48" ht="15" customHeight="1" s="227">
      <c r="A48" s="10" t="n"/>
      <c r="B48" s="62" t="n"/>
      <c r="Q48" s="212" t="n"/>
      <c r="R48" s="11" t="n"/>
    </row>
    <row r="49" ht="15" customHeight="1" s="227">
      <c r="A49" s="10" t="n"/>
      <c r="B49" s="62" t="n"/>
      <c r="Q49" s="212" t="n"/>
      <c r="R49" s="11" t="n"/>
    </row>
    <row r="50" ht="15" customHeight="1" s="227">
      <c r="A50" s="10" t="n"/>
      <c r="B50" s="62" t="n"/>
      <c r="Q50" s="212" t="n"/>
      <c r="R50" s="11" t="n"/>
    </row>
    <row r="51" ht="15" customHeight="1" s="227">
      <c r="A51" s="10" t="n"/>
      <c r="B51" s="181" t="inlineStr">
        <is>
          <t>Not:</t>
        </is>
      </c>
      <c r="C51" s="664" t="inlineStr">
        <is>
          <t>Yağ örneği firmamız çalışanları tarafından alınmıştır.</t>
        </is>
      </c>
      <c r="D51" s="50" t="n"/>
      <c r="E51" s="50" t="n"/>
      <c r="F51" s="50" t="n"/>
      <c r="G51" s="50" t="n"/>
      <c r="H51" s="50" t="n"/>
      <c r="I51" s="50" t="n"/>
      <c r="J51" s="50" t="n"/>
      <c r="K51" s="50" t="n"/>
      <c r="L51" s="50" t="n"/>
      <c r="M51" s="50" t="n"/>
      <c r="N51" s="50" t="n"/>
      <c r="O51" s="50" t="n"/>
      <c r="P51" s="50" t="n"/>
      <c r="Q51" s="213" t="n"/>
      <c r="R51" s="11" t="n"/>
    </row>
    <row r="52" ht="22.5" customHeight="1" s="227">
      <c r="A52" s="10" t="n"/>
      <c r="B52" s="365" t="inlineStr">
        <is>
          <t>UNVAN</t>
        </is>
      </c>
      <c r="C52" s="47" t="n"/>
      <c r="D52" s="47" t="n"/>
      <c r="E52" s="531" t="inlineStr">
        <is>
          <t>:</t>
        </is>
      </c>
      <c r="F52" s="368">
        <f>'ANA SAYFA'!F80:J80</f>
        <v/>
      </c>
      <c r="G52" s="47" t="n"/>
      <c r="H52" s="47" t="n"/>
      <c r="I52" s="211" t="n"/>
      <c r="J52" s="485" t="inlineStr">
        <is>
          <t>ONAYLAYAN</t>
        </is>
      </c>
      <c r="K52" s="99" t="n"/>
      <c r="L52" s="99" t="n"/>
      <c r="M52" s="99" t="n"/>
      <c r="N52" s="99" t="n"/>
      <c r="O52" s="99" t="n"/>
      <c r="P52" s="99" t="n"/>
      <c r="Q52" s="482" t="n"/>
      <c r="R52" s="11" t="n"/>
    </row>
    <row r="53" ht="22.5" customHeight="1" s="227">
      <c r="A53" s="10" t="n"/>
      <c r="B53" s="365" t="inlineStr">
        <is>
          <t>TEST TARİHİ</t>
        </is>
      </c>
      <c r="C53" s="47" t="n"/>
      <c r="D53" s="47" t="n"/>
      <c r="E53" s="531" t="inlineStr">
        <is>
          <t>:</t>
        </is>
      </c>
      <c r="F53" s="533">
        <f>'ANA SAYFA'!F79:J79+1</f>
        <v/>
      </c>
      <c r="G53" s="47" t="n"/>
      <c r="H53" s="47" t="n"/>
      <c r="I53" s="211" t="n"/>
      <c r="J53" s="53" t="n"/>
      <c r="K53" s="54" t="n"/>
      <c r="L53" s="134" t="n"/>
      <c r="M53" s="134" t="n"/>
      <c r="N53" s="134" t="n"/>
      <c r="O53" s="134" t="n"/>
      <c r="P53" s="134" t="n"/>
      <c r="Q53" s="135" t="n"/>
      <c r="R53" s="11" t="n"/>
    </row>
    <row r="54" ht="22.5" customHeight="1" s="227">
      <c r="A54" s="10" t="n"/>
      <c r="B54" s="355" t="inlineStr">
        <is>
          <t>ODA SİCİL NO</t>
        </is>
      </c>
      <c r="C54" s="99" t="n"/>
      <c r="D54" s="99" t="n"/>
      <c r="E54" s="366" t="inlineStr">
        <is>
          <t>:</t>
        </is>
      </c>
      <c r="F54" s="534">
        <f>'ANA SAYFA'!F81:J81</f>
        <v/>
      </c>
      <c r="G54" s="47" t="n"/>
      <c r="H54" s="47" t="n"/>
      <c r="I54" s="211" t="n"/>
      <c r="J54" s="53" t="n"/>
      <c r="K54" s="54" t="n"/>
      <c r="L54" s="134" t="n"/>
      <c r="M54" s="134" t="n"/>
      <c r="N54" s="134" t="n"/>
      <c r="O54" s="134" t="n"/>
      <c r="P54" s="134" t="n"/>
      <c r="Q54" s="135" t="n"/>
      <c r="R54" s="11" t="n"/>
    </row>
    <row r="55" ht="22.5" customHeight="1" s="227">
      <c r="A55" s="10" t="n"/>
      <c r="B55" s="355" t="inlineStr">
        <is>
          <t>EKİPNET NO</t>
        </is>
      </c>
      <c r="C55" s="99" t="n"/>
      <c r="D55" s="99" t="n"/>
      <c r="E55" s="356" t="inlineStr">
        <is>
          <t>:</t>
        </is>
      </c>
      <c r="F55" s="383">
        <f>'ANA SAYFA'!F82:J82</f>
        <v/>
      </c>
      <c r="G55" s="99" t="n"/>
      <c r="H55" s="99" t="n"/>
      <c r="I55" s="482" t="n"/>
      <c r="J55" s="535" t="n"/>
      <c r="K55" s="139" t="n"/>
      <c r="L55" s="139" t="n"/>
      <c r="M55" s="139" t="n"/>
      <c r="N55" s="139" t="n"/>
      <c r="O55" s="139" t="n"/>
      <c r="P55" s="139" t="n"/>
      <c r="Q55" s="136" t="n"/>
      <c r="R55" s="11" t="n"/>
    </row>
    <row r="56" ht="12" customHeight="1" s="227">
      <c r="A56" s="15" t="n"/>
      <c r="B56" s="16" t="n"/>
      <c r="C56" s="16" t="n"/>
      <c r="D56" s="16" t="n"/>
      <c r="E56" s="16" t="n"/>
      <c r="F56" s="16" t="n"/>
      <c r="G56" s="16" t="n"/>
      <c r="H56" s="16" t="n"/>
      <c r="I56" s="16" t="n"/>
      <c r="J56" s="16" t="n"/>
      <c r="K56" s="16" t="n"/>
      <c r="L56" s="16" t="n"/>
      <c r="M56" s="16" t="n"/>
      <c r="N56" s="16" t="n"/>
      <c r="O56" s="16" t="n"/>
      <c r="P56" s="16" t="n"/>
      <c r="Q56" s="16" t="n"/>
      <c r="R56" s="17" t="n"/>
    </row>
  </sheetData>
  <mergeCells count="104">
    <mergeCell ref="D20:E20"/>
    <mergeCell ref="K32:M32"/>
    <mergeCell ref="N20:O20"/>
    <mergeCell ref="F16:G16"/>
    <mergeCell ref="K24:L24"/>
    <mergeCell ref="N34:Q34"/>
    <mergeCell ref="B22:C22"/>
    <mergeCell ref="B53:D53"/>
    <mergeCell ref="D22:E22"/>
    <mergeCell ref="B47:Q50"/>
    <mergeCell ref="C45:P45"/>
    <mergeCell ref="N22:O22"/>
    <mergeCell ref="B34:D34"/>
    <mergeCell ref="K26:L26"/>
    <mergeCell ref="N36:Q36"/>
    <mergeCell ref="F53:I53"/>
    <mergeCell ref="I8:K8"/>
    <mergeCell ref="B30:D30"/>
    <mergeCell ref="C40:P40"/>
    <mergeCell ref="E5:K5"/>
    <mergeCell ref="H30:J30"/>
    <mergeCell ref="B10:I10"/>
    <mergeCell ref="K34:M34"/>
    <mergeCell ref="B54:D54"/>
    <mergeCell ref="B24:C24"/>
    <mergeCell ref="D24:E24"/>
    <mergeCell ref="K36:M36"/>
    <mergeCell ref="N24:O24"/>
    <mergeCell ref="J2:Q2"/>
    <mergeCell ref="B26:C26"/>
    <mergeCell ref="D26:E26"/>
    <mergeCell ref="N26:O26"/>
    <mergeCell ref="B16:C16"/>
    <mergeCell ref="N16:O16"/>
    <mergeCell ref="F52:I52"/>
    <mergeCell ref="C42:P42"/>
    <mergeCell ref="L8:N8"/>
    <mergeCell ref="E30:G30"/>
    <mergeCell ref="B18:C18"/>
    <mergeCell ref="G7:H7"/>
    <mergeCell ref="F20:G20"/>
    <mergeCell ref="F18:G18"/>
    <mergeCell ref="F54:I54"/>
    <mergeCell ref="C44:P44"/>
    <mergeCell ref="E32:G32"/>
    <mergeCell ref="B36:D36"/>
    <mergeCell ref="B5:D5"/>
    <mergeCell ref="C46:P46"/>
    <mergeCell ref="O7:Q7"/>
    <mergeCell ref="F28:G28"/>
    <mergeCell ref="K16:L16"/>
    <mergeCell ref="B7:C7"/>
    <mergeCell ref="G2:H2"/>
    <mergeCell ref="E34:G34"/>
    <mergeCell ref="J10:Q10"/>
    <mergeCell ref="D7:F7"/>
    <mergeCell ref="H32:J32"/>
    <mergeCell ref="E36:G36"/>
    <mergeCell ref="O5:P5"/>
    <mergeCell ref="N18:O18"/>
    <mergeCell ref="D8:F8"/>
    <mergeCell ref="N32:Q32"/>
    <mergeCell ref="H16:I16"/>
    <mergeCell ref="B28:C28"/>
    <mergeCell ref="D28:E28"/>
    <mergeCell ref="F22:G22"/>
    <mergeCell ref="H22:I22"/>
    <mergeCell ref="E38:Q38"/>
    <mergeCell ref="B20:C20"/>
    <mergeCell ref="H34:J34"/>
    <mergeCell ref="K18:L18"/>
    <mergeCell ref="I7:K7"/>
    <mergeCell ref="H20:I20"/>
    <mergeCell ref="H36:J36"/>
    <mergeCell ref="L5:N5"/>
    <mergeCell ref="N30:Q30"/>
    <mergeCell ref="G8:H8"/>
    <mergeCell ref="B38:D38"/>
    <mergeCell ref="F24:G24"/>
    <mergeCell ref="C51:Q51"/>
    <mergeCell ref="K20:L20"/>
    <mergeCell ref="C41:P41"/>
    <mergeCell ref="O8:Q8"/>
    <mergeCell ref="F26:G26"/>
    <mergeCell ref="B55:D55"/>
    <mergeCell ref="K22:L22"/>
    <mergeCell ref="G3:H3"/>
    <mergeCell ref="B8:C8"/>
    <mergeCell ref="D16:E16"/>
    <mergeCell ref="C43:P43"/>
    <mergeCell ref="B32:D32"/>
    <mergeCell ref="F55:I55"/>
    <mergeCell ref="B12:Q12"/>
    <mergeCell ref="D18:E18"/>
    <mergeCell ref="B39:Q39"/>
    <mergeCell ref="K30:M30"/>
    <mergeCell ref="L7:N7"/>
    <mergeCell ref="B14:Q14"/>
    <mergeCell ref="J3:Q3"/>
    <mergeCell ref="H24:I24"/>
    <mergeCell ref="H18:I18"/>
    <mergeCell ref="B52:D52"/>
    <mergeCell ref="J52:Q52"/>
    <mergeCell ref="H26:I26"/>
  </mergeCells>
  <pageMargins left="0.1968503937007874" right="0.1968503937007874" top="0.3543307086614173" bottom="0.3543307086614173" header="0.5" footer="0.5"/>
  <pageSetup orientation="portrait" paperSize="9"/>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Z56"/>
  <sheetViews>
    <sheetView tabSelected="1" topLeftCell="A6" workbookViewId="0">
      <selection activeCell="T18" sqref="T18"/>
    </sheetView>
  </sheetViews>
  <sheetFormatPr baseColWidth="8" defaultRowHeight="15"/>
  <cols>
    <col width="2.85546875" customWidth="1" style="227" min="1" max="1"/>
    <col width="5.42578125" customWidth="1" style="227" min="2" max="16"/>
    <col width="6.42578125" customWidth="1" style="227" min="17" max="17"/>
    <col width="2.85546875" customWidth="1" style="227" min="18" max="18"/>
    <col width="9.140625" customWidth="1" style="227" min="19" max="16384"/>
  </cols>
  <sheetData>
    <row r="1" ht="11.2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46" t="n"/>
      <c r="C2" s="47" t="n"/>
      <c r="D2" s="47" t="n"/>
      <c r="E2" s="47" t="n"/>
      <c r="F2" s="48" t="n"/>
      <c r="G2" s="298" t="inlineStr">
        <is>
          <t xml:space="preserve">  ŞALT SAHASI          </t>
        </is>
      </c>
      <c r="H2" s="47" t="n"/>
      <c r="I2" s="151" t="inlineStr">
        <is>
          <t>:</t>
        </is>
      </c>
      <c r="J2" s="468">
        <f>'KAPAK SAYFASI'!D9</f>
        <v/>
      </c>
      <c r="K2" s="47" t="n"/>
      <c r="L2" s="47" t="n"/>
      <c r="M2" s="47" t="n"/>
      <c r="N2" s="47" t="n"/>
      <c r="O2" s="47" t="n"/>
      <c r="P2" s="47" t="n"/>
      <c r="Q2" s="211" t="n"/>
      <c r="R2" s="11" t="n"/>
    </row>
    <row r="3" ht="29.25" customHeight="1" s="227">
      <c r="A3" s="10" t="n"/>
      <c r="B3" s="49" t="n"/>
      <c r="C3" s="50" t="n"/>
      <c r="D3" s="50" t="n"/>
      <c r="E3" s="50" t="n"/>
      <c r="F3" s="51" t="n"/>
      <c r="G3" s="391" t="inlineStr">
        <is>
          <t xml:space="preserve">  LOKASYON</t>
        </is>
      </c>
      <c r="H3" s="50" t="n"/>
      <c r="I3" s="193" t="inlineStr">
        <is>
          <t>:</t>
        </is>
      </c>
      <c r="J3" s="396">
        <f>'KAPAK SAYFASI'!D11</f>
        <v/>
      </c>
      <c r="K3" s="50" t="n"/>
      <c r="L3" s="50" t="n"/>
      <c r="M3" s="50" t="n"/>
      <c r="N3" s="50" t="n"/>
      <c r="O3" s="50" t="n"/>
      <c r="P3" s="50" t="n"/>
      <c r="Q3" s="213" t="n"/>
      <c r="R3" s="11" t="n"/>
    </row>
    <row r="4" ht="10.5" customHeight="1" s="227">
      <c r="A4" s="10" t="n"/>
      <c r="B4" s="39" t="n"/>
      <c r="C4" s="40" t="n"/>
      <c r="D4" s="40" t="n"/>
      <c r="E4" s="40" t="n"/>
      <c r="F4" s="40" t="n"/>
      <c r="G4" s="40" t="n"/>
      <c r="H4" s="40" t="n"/>
      <c r="I4" s="40" t="n"/>
      <c r="J4" s="40" t="n"/>
      <c r="K4" s="40" t="n"/>
      <c r="L4" s="40" t="n"/>
      <c r="M4" s="40" t="n"/>
      <c r="N4" s="40" t="n"/>
      <c r="O4" s="40" t="n"/>
      <c r="P4" s="40" t="n"/>
      <c r="Q4" s="41" t="n"/>
      <c r="R4" s="11" t="n"/>
    </row>
    <row r="5" ht="18.75" customHeight="1" s="227">
      <c r="A5" s="10" t="n"/>
      <c r="B5" s="469" t="n"/>
      <c r="C5" s="47" t="n"/>
      <c r="D5" s="47" t="n"/>
      <c r="E5" s="471" t="n"/>
      <c r="F5" s="47" t="n"/>
      <c r="G5" s="47" t="n"/>
      <c r="H5" s="47" t="n"/>
      <c r="I5" s="47" t="n"/>
      <c r="J5" s="47" t="n"/>
      <c r="K5" s="47" t="n"/>
      <c r="L5" s="472" t="n"/>
      <c r="M5" s="47" t="n"/>
      <c r="N5" s="47" t="n"/>
      <c r="O5" s="473" t="n"/>
      <c r="P5" s="47" t="n"/>
      <c r="Q5" s="195" t="n"/>
      <c r="R5" s="11" t="n"/>
    </row>
    <row r="6" ht="6.75" customHeight="1" s="227">
      <c r="A6" s="10" t="n"/>
      <c r="B6" s="196" t="n"/>
      <c r="C6" s="197" t="n"/>
      <c r="D6" s="197" t="n"/>
      <c r="E6" s="197" t="n"/>
      <c r="F6" s="197" t="n"/>
      <c r="G6" s="197" t="n"/>
      <c r="H6" s="197" t="n"/>
      <c r="I6" s="197" t="n"/>
      <c r="J6" s="197" t="n"/>
      <c r="K6" s="197" t="n"/>
      <c r="L6" s="197" t="n"/>
      <c r="M6" s="197" t="n"/>
      <c r="N6" s="197" t="n"/>
      <c r="O6" s="197" t="n"/>
      <c r="P6" s="197" t="n"/>
      <c r="Q6" s="198" t="n"/>
      <c r="R6" s="11" t="n"/>
    </row>
    <row r="7" ht="15" customHeight="1" s="227">
      <c r="A7" s="10" t="n"/>
      <c r="B7" s="204" t="n"/>
      <c r="C7" s="205" t="n"/>
      <c r="D7" s="205" t="n"/>
      <c r="E7" s="205" t="n"/>
      <c r="F7" s="205" t="n"/>
      <c r="G7" s="205" t="n"/>
      <c r="H7" s="205" t="n"/>
      <c r="I7" s="205" t="n"/>
      <c r="J7" s="205" t="n"/>
      <c r="K7" s="205" t="n"/>
      <c r="L7" s="205" t="n"/>
      <c r="M7" s="205" t="n"/>
      <c r="N7" s="205" t="n"/>
      <c r="O7" s="205" t="n"/>
      <c r="P7" s="205" t="n"/>
      <c r="Q7" s="206" t="n"/>
      <c r="R7" s="11" t="n"/>
    </row>
    <row r="8">
      <c r="A8" s="10" t="n"/>
      <c r="B8" s="665" t="inlineStr">
        <is>
          <t>FİRMA YETKİLİLERİNİN DİKKATİNE</t>
        </is>
      </c>
      <c r="Q8" s="212" t="n"/>
      <c r="R8" s="11" t="n"/>
    </row>
    <row r="9" ht="6.75" customHeight="1" s="227">
      <c r="A9" s="10" t="n"/>
      <c r="B9" s="62" t="n"/>
      <c r="Q9" s="212" t="n"/>
      <c r="R9" s="11" t="n"/>
    </row>
    <row r="10" ht="18.75" customHeight="1" s="227">
      <c r="A10" s="10" t="n"/>
      <c r="B10" s="666" t="inlineStr">
        <is>
          <t xml:space="preserve">
              İşletmenizde bulunan trafoların testini 05.08.2026 tarihinde yapmış bulunmaktayız.
Test kapsamı içerisinde istenilen trafo yağ analizi işleminin yapılabilmesi için trafodan yağ numunesi alınması gerekmektedir. İşletmenizde bulunan ASTOR marka, 1000kVA, '27-07840' seri numaralı trafonun hermetik tip olmasından dolayı yağ numunesi alınmamıştır.          
              Hermetik tip trafolar atmosfere kapalıdır ve numune alma yerleri mühürlüdür. Mühürlerin açılıp numune alınması durumunda trafonun hermetik özelliği bozulacağından dolayı, fabrika standartlarına göre arıza durumu olmadığı sürece hiçbir şekilde hermetik trafolardan yağ numunesi alınamaz.
              Bilgilerinize sunarız.
</t>
        </is>
      </c>
      <c r="Q10" s="212" t="n"/>
      <c r="R10" s="11" t="n"/>
    </row>
    <row r="11" hidden="1" ht="6.75" customHeight="1" s="227">
      <c r="A11" s="10" t="n"/>
      <c r="B11" s="62" t="n"/>
      <c r="Q11" s="212" t="n"/>
      <c r="R11" s="11" t="n"/>
      <c r="T11" t="n">
        <v>30</v>
      </c>
    </row>
    <row r="12" ht="18.75" customHeight="1" s="227">
      <c r="A12" s="10" t="n"/>
      <c r="B12" s="62" t="n"/>
      <c r="Q12" s="212" t="n"/>
      <c r="R12" s="11" t="n"/>
    </row>
    <row r="13" ht="7.5" customHeight="1" s="227">
      <c r="A13" s="10" t="n"/>
      <c r="B13" s="62" t="n"/>
      <c r="Q13" s="212" t="n"/>
      <c r="R13" s="11" t="n"/>
    </row>
    <row r="14" ht="18.75" customHeight="1" s="227">
      <c r="A14" s="10" t="n"/>
      <c r="B14" s="62" t="n"/>
      <c r="Q14" s="212" t="n"/>
      <c r="R14" s="11" t="n"/>
    </row>
    <row r="15" ht="9.75" customHeight="1" s="227">
      <c r="A15" s="10" t="n"/>
      <c r="B15" s="62" t="n"/>
      <c r="Q15" s="212" t="n"/>
      <c r="R15" s="11" t="n"/>
    </row>
    <row r="16" ht="16.5" customHeight="1" s="227">
      <c r="A16" s="10" t="n"/>
      <c r="B16" s="62" t="n"/>
      <c r="Q16" s="212" t="n"/>
      <c r="R16" s="11" t="n"/>
    </row>
    <row r="17" ht="9.75" customHeight="1" s="227">
      <c r="A17" s="10" t="n"/>
      <c r="B17" s="62" t="n"/>
      <c r="Q17" s="212" t="n"/>
      <c r="R17" s="11" t="n"/>
    </row>
    <row r="18" ht="16.5" customHeight="1" s="227">
      <c r="A18" s="10" t="n"/>
      <c r="B18" s="62" t="n"/>
      <c r="Q18" s="212" t="n"/>
      <c r="R18" s="11" t="n"/>
    </row>
    <row r="19" ht="9.75" customHeight="1" s="227">
      <c r="A19" s="10" t="n"/>
      <c r="B19" s="62" t="n"/>
      <c r="Q19" s="212" t="n"/>
      <c r="R19" s="11" t="n"/>
    </row>
    <row r="20" ht="16.5" customHeight="1" s="227">
      <c r="A20" s="10" t="n"/>
      <c r="B20" s="62" t="n"/>
      <c r="Q20" s="212" t="n"/>
      <c r="R20" s="11" t="n"/>
      <c r="W20" s="131" t="n">
        <v>30</v>
      </c>
    </row>
    <row r="21" ht="9.75" customHeight="1" s="227">
      <c r="A21" s="10" t="n"/>
      <c r="B21" s="62" t="n"/>
      <c r="Q21" s="212" t="n"/>
      <c r="R21" s="11" t="n"/>
    </row>
    <row r="22" ht="16.5" customHeight="1" s="227">
      <c r="A22" s="10" t="n"/>
      <c r="B22" s="62" t="n"/>
      <c r="Q22" s="212" t="n"/>
      <c r="R22" s="11" t="n"/>
    </row>
    <row r="23" ht="9.75" customHeight="1" s="227">
      <c r="A23" s="10" t="n"/>
      <c r="B23" s="62" t="n"/>
      <c r="Q23" s="212" t="n"/>
      <c r="R23" s="11" t="n"/>
    </row>
    <row r="24" ht="16.5" customHeight="1" s="227">
      <c r="A24" s="10" t="n"/>
      <c r="B24" s="62" t="n"/>
      <c r="Q24" s="212" t="n"/>
      <c r="R24" s="11" t="n"/>
    </row>
    <row r="25" ht="9.75" customHeight="1" s="227">
      <c r="A25" s="10" t="n"/>
      <c r="B25" s="62" t="n"/>
      <c r="Q25" s="212" t="n"/>
      <c r="R25" s="11" t="n"/>
    </row>
    <row r="26" ht="16.5" customHeight="1" s="227">
      <c r="A26" s="10" t="n"/>
      <c r="B26" s="62" t="n"/>
      <c r="Q26" s="212" t="n"/>
      <c r="R26" s="11" t="n"/>
    </row>
    <row r="27" ht="9.75" customHeight="1" s="227">
      <c r="A27" s="10" t="n"/>
      <c r="B27" s="62" t="n"/>
      <c r="Q27" s="212" t="n"/>
      <c r="R27" s="11" t="n"/>
    </row>
    <row r="28" ht="16.5" customHeight="1" s="227">
      <c r="A28" s="10" t="n"/>
      <c r="B28" s="62" t="n"/>
      <c r="Q28" s="212" t="n"/>
      <c r="R28" s="11" t="n"/>
    </row>
    <row r="29">
      <c r="A29" s="10" t="n"/>
      <c r="B29" s="62" t="n"/>
      <c r="Q29" s="212" t="n"/>
      <c r="R29" s="11" t="n"/>
    </row>
    <row r="30">
      <c r="A30" s="10" t="n"/>
      <c r="B30" s="62" t="n"/>
      <c r="Q30" s="212" t="n"/>
      <c r="R30" s="11" t="n"/>
    </row>
    <row r="31" ht="6" customHeight="1" s="227">
      <c r="A31" s="10" t="n"/>
      <c r="B31" s="62" t="n"/>
      <c r="Q31" s="212" t="n"/>
      <c r="R31" s="11" t="n"/>
    </row>
    <row r="32">
      <c r="A32" s="10" t="n"/>
      <c r="B32" s="62" t="n"/>
      <c r="Q32" s="212" t="n"/>
      <c r="R32" s="11" t="n"/>
    </row>
    <row r="33" ht="6" customHeight="1" s="227">
      <c r="A33" s="10" t="n"/>
      <c r="B33" s="62" t="n"/>
      <c r="Q33" s="212" t="n"/>
      <c r="R33" s="11" t="n"/>
    </row>
    <row r="34" ht="15" customHeight="1" s="227">
      <c r="A34" s="10" t="n"/>
      <c r="B34" s="62" t="n"/>
      <c r="Q34" s="212" t="n"/>
      <c r="R34" s="11" t="n"/>
    </row>
    <row r="35" ht="6" customHeight="1" s="227">
      <c r="A35" s="10" t="n"/>
      <c r="B35" s="62" t="n"/>
      <c r="Q35" s="212" t="n"/>
      <c r="R35" s="11" t="n"/>
    </row>
    <row r="36">
      <c r="A36" s="10" t="n"/>
      <c r="B36" s="62" t="n"/>
      <c r="Q36" s="212" t="n"/>
      <c r="R36" s="11" t="n"/>
      <c r="Z36" s="231" t="n"/>
    </row>
    <row r="37" ht="6" customHeight="1" s="227">
      <c r="A37" s="10" t="n"/>
      <c r="B37" s="62" t="n"/>
      <c r="Q37" s="212" t="n"/>
      <c r="R37" s="11" t="n"/>
    </row>
    <row r="38">
      <c r="A38" s="10" t="n"/>
      <c r="B38" s="62" t="n"/>
      <c r="Q38" s="212" t="n"/>
      <c r="R38" s="11" t="n"/>
    </row>
    <row r="39" ht="15.75" customHeight="1" s="227">
      <c r="A39" s="10" t="n"/>
      <c r="B39" s="62" t="n"/>
      <c r="Q39" s="212" t="n"/>
      <c r="R39" s="11" t="n"/>
    </row>
    <row r="40">
      <c r="A40" s="10" t="n"/>
      <c r="B40" s="62" t="n"/>
      <c r="Q40" s="212" t="n"/>
      <c r="R40" s="11" t="n"/>
    </row>
    <row r="41" ht="15" customHeight="1" s="227">
      <c r="A41" s="10" t="n"/>
      <c r="B41" s="62" t="n"/>
      <c r="Q41" s="212" t="n"/>
      <c r="R41" s="11" t="n"/>
    </row>
    <row r="42">
      <c r="A42" s="10" t="n"/>
      <c r="B42" s="62" t="n"/>
      <c r="Q42" s="212" t="n"/>
      <c r="R42" s="11" t="n"/>
    </row>
    <row r="43">
      <c r="A43" s="10" t="n"/>
      <c r="B43" s="62" t="n"/>
      <c r="Q43" s="212" t="n"/>
      <c r="R43" s="11" t="n"/>
    </row>
    <row r="44">
      <c r="A44" s="10" t="n"/>
      <c r="B44" s="62" t="n"/>
      <c r="Q44" s="212" t="n"/>
      <c r="R44" s="11" t="n"/>
    </row>
    <row r="45">
      <c r="A45" s="10" t="n"/>
      <c r="B45" s="62" t="n"/>
      <c r="Q45" s="212" t="n"/>
      <c r="R45" s="11" t="n"/>
    </row>
    <row r="46">
      <c r="A46" s="10" t="n"/>
      <c r="B46" s="62" t="n"/>
      <c r="Q46" s="212" t="n"/>
      <c r="R46" s="11" t="n"/>
    </row>
    <row r="47" ht="15.75" customHeight="1" s="227">
      <c r="A47" s="10" t="n"/>
      <c r="B47" s="62" t="n"/>
      <c r="Q47" s="212" t="n"/>
      <c r="R47" s="11" t="n"/>
    </row>
    <row r="48" ht="15" customHeight="1" s="227">
      <c r="A48" s="10" t="n"/>
      <c r="B48" s="207" t="n"/>
      <c r="C48" s="205" t="n"/>
      <c r="D48" s="205" t="n"/>
      <c r="E48" s="205" t="n"/>
      <c r="F48" s="205" t="n"/>
      <c r="G48" s="205" t="n"/>
      <c r="H48" s="205" t="n"/>
      <c r="I48" s="205" t="n"/>
      <c r="J48" s="205" t="n"/>
      <c r="K48" s="205" t="n"/>
      <c r="L48" s="205" t="n"/>
      <c r="M48" s="205" t="n"/>
      <c r="N48" s="205" t="n"/>
      <c r="O48" s="205" t="n"/>
      <c r="P48" s="205" t="n"/>
      <c r="Q48" s="206" t="n"/>
      <c r="R48" s="11" t="n"/>
    </row>
    <row r="49" ht="15" customHeight="1" s="227">
      <c r="A49" s="10" t="n"/>
      <c r="B49" s="207" t="n"/>
      <c r="C49" s="205" t="n"/>
      <c r="D49" s="205" t="n"/>
      <c r="E49" s="205" t="n"/>
      <c r="F49" s="205" t="n"/>
      <c r="G49" s="205" t="n"/>
      <c r="H49" s="205" t="n"/>
      <c r="I49" s="205" t="n"/>
      <c r="J49" s="205" t="n"/>
      <c r="K49" s="205" t="n"/>
      <c r="L49" s="205" t="n"/>
      <c r="M49" s="205" t="n"/>
      <c r="N49" s="205" t="n"/>
      <c r="O49" s="205" t="n"/>
      <c r="P49" s="205" t="n"/>
      <c r="Q49" s="206" t="n"/>
      <c r="R49" s="11" t="n"/>
    </row>
    <row r="50" ht="15" customHeight="1" s="227">
      <c r="A50" s="10" t="n"/>
      <c r="B50" s="199" t="n"/>
      <c r="C50" s="200" t="n"/>
      <c r="D50" s="200" t="n"/>
      <c r="E50" s="200" t="n"/>
      <c r="F50" s="200" t="n"/>
      <c r="G50" s="200" t="n"/>
      <c r="H50" s="200" t="n"/>
      <c r="I50" s="200" t="n"/>
      <c r="J50" s="200" t="n"/>
      <c r="K50" s="200" t="n"/>
      <c r="L50" s="200" t="n"/>
      <c r="M50" s="200" t="n"/>
      <c r="N50" s="200" t="n"/>
      <c r="O50" s="200" t="n"/>
      <c r="P50" s="200" t="n"/>
      <c r="Q50" s="201" t="n"/>
      <c r="R50" s="11" t="n"/>
    </row>
    <row r="51">
      <c r="A51" s="10" t="n"/>
      <c r="B51" s="230" t="n"/>
      <c r="C51" s="231" t="n"/>
      <c r="D51" s="231" t="n"/>
      <c r="E51" s="231" t="n"/>
      <c r="F51" s="231" t="n"/>
      <c r="G51" s="231" t="n"/>
      <c r="H51" s="231" t="n"/>
      <c r="I51" s="231" t="n"/>
      <c r="J51" s="202" t="n"/>
      <c r="K51" s="202" t="n"/>
      <c r="L51" s="202" t="n"/>
      <c r="M51" s="202" t="n"/>
      <c r="N51" s="202" t="n"/>
      <c r="O51" s="202" t="n"/>
      <c r="P51" s="202" t="n"/>
      <c r="Q51" s="203" t="n"/>
      <c r="R51" s="11" t="n"/>
    </row>
    <row r="52" ht="22.5" customHeight="1" s="227">
      <c r="A52" s="10" t="n"/>
      <c r="B52" s="355" t="n"/>
      <c r="C52" s="99" t="n"/>
      <c r="D52" s="99" t="n"/>
      <c r="E52" s="79" t="n"/>
      <c r="F52" s="364" t="n"/>
      <c r="G52" s="99" t="n"/>
      <c r="H52" s="99" t="n"/>
      <c r="I52" s="482" t="n"/>
      <c r="J52" s="290" t="inlineStr">
        <is>
          <t>ONAYLAYAN</t>
        </is>
      </c>
      <c r="K52" s="99" t="n"/>
      <c r="L52" s="99" t="n"/>
      <c r="M52" s="99" t="n"/>
      <c r="N52" s="99" t="n"/>
      <c r="O52" s="99" t="n"/>
      <c r="P52" s="99" t="n"/>
      <c r="Q52" s="482" t="n"/>
      <c r="R52" s="11" t="n"/>
    </row>
    <row r="53" ht="22.5" customHeight="1" s="227">
      <c r="A53" s="10" t="n"/>
      <c r="B53" s="365" t="inlineStr">
        <is>
          <t>UNVAN</t>
        </is>
      </c>
      <c r="C53" s="47" t="n"/>
      <c r="D53" s="47" t="n"/>
      <c r="E53" s="134" t="inlineStr">
        <is>
          <t>:</t>
        </is>
      </c>
      <c r="F53" s="368" t="inlineStr">
        <is>
          <t>Elektrik Mühendisi</t>
        </is>
      </c>
      <c r="G53" s="47" t="n"/>
      <c r="H53" s="47" t="n"/>
      <c r="I53" s="211" t="n"/>
      <c r="J53" s="54" t="n"/>
      <c r="K53" s="54" t="n"/>
      <c r="L53" s="134" t="n"/>
      <c r="M53" s="134" t="n"/>
      <c r="N53" s="134" t="n"/>
      <c r="O53" s="134" t="n"/>
      <c r="P53" s="134" t="n"/>
      <c r="Q53" s="135" t="n"/>
      <c r="R53" s="11" t="n"/>
    </row>
    <row r="54" ht="22.5" customHeight="1" s="227">
      <c r="A54" s="10" t="n"/>
      <c r="B54" s="351" t="inlineStr">
        <is>
          <t>TEST TARİHİ</t>
        </is>
      </c>
      <c r="E54" s="134" t="inlineStr">
        <is>
          <t>:</t>
        </is>
      </c>
      <c r="F54" s="502">
        <f>'KAPAK SAYFASI'!D53</f>
        <v/>
      </c>
      <c r="I54" s="212" t="n"/>
      <c r="J54" s="54" t="n"/>
      <c r="K54" s="54" t="n"/>
      <c r="L54" s="134" t="n"/>
      <c r="M54" s="134" t="n"/>
      <c r="N54" s="134" t="n"/>
      <c r="O54" s="134" t="n"/>
      <c r="P54" s="134" t="n"/>
      <c r="Q54" s="135" t="n"/>
      <c r="R54" s="11" t="n"/>
    </row>
    <row r="55" ht="22.5" customHeight="1" s="227">
      <c r="A55" s="10" t="n"/>
      <c r="B55" s="233" t="n"/>
      <c r="C55" s="234" t="n"/>
      <c r="D55" s="234" t="n"/>
      <c r="E55" s="234" t="n"/>
      <c r="F55" s="234" t="n"/>
      <c r="G55" s="234" t="n"/>
      <c r="H55" s="234" t="n"/>
      <c r="I55" s="235" t="n"/>
      <c r="J55" s="139" t="n"/>
      <c r="K55" s="139" t="n"/>
      <c r="L55" s="139" t="n"/>
      <c r="M55" s="139" t="n"/>
      <c r="N55" s="139" t="n"/>
      <c r="O55" s="139" t="n"/>
      <c r="P55" s="139" t="n"/>
      <c r="Q55" s="136" t="n"/>
      <c r="R55" s="11" t="n"/>
    </row>
    <row r="56" ht="12" customHeight="1" s="227" thickBot="1">
      <c r="A56" s="15" t="n"/>
      <c r="B56" s="16" t="n"/>
      <c r="C56" s="16" t="n"/>
      <c r="D56" s="16" t="n"/>
      <c r="E56" s="16" t="n"/>
      <c r="F56" s="16" t="n"/>
      <c r="G56" s="16" t="n"/>
      <c r="H56" s="16" t="n"/>
      <c r="I56" s="16" t="n"/>
      <c r="J56" s="16" t="n"/>
      <c r="K56" s="16" t="n"/>
      <c r="L56" s="16" t="n"/>
      <c r="M56" s="16" t="n"/>
      <c r="N56" s="16" t="n"/>
      <c r="O56" s="16" t="n"/>
      <c r="P56" s="16" t="n"/>
      <c r="Q56" s="16" t="n"/>
      <c r="R56" s="17" t="n"/>
    </row>
  </sheetData>
  <mergeCells count="17">
    <mergeCell ref="E5:K5"/>
    <mergeCell ref="B5:D5"/>
    <mergeCell ref="B10:Q47"/>
    <mergeCell ref="G2:H2"/>
    <mergeCell ref="J3:Q3"/>
    <mergeCell ref="O5:P5"/>
    <mergeCell ref="F53:I53"/>
    <mergeCell ref="L5:N5"/>
    <mergeCell ref="F52:I52"/>
    <mergeCell ref="J2:Q2"/>
    <mergeCell ref="F54:I54"/>
    <mergeCell ref="B52:D52"/>
    <mergeCell ref="B53:D53"/>
    <mergeCell ref="B8:Q9"/>
    <mergeCell ref="J52:Q52"/>
    <mergeCell ref="G3:H3"/>
    <mergeCell ref="B54:D54"/>
  </mergeCells>
  <pageMargins left="0.5905511811023623" right="0.1968503937007874" top="0.4330708661417323" bottom="0.4330708661417323" header="0.3149606299212598" footer="0.3149606299212598"/>
  <pageSetup orientation="portrait" paperSize="9"/>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terms:created xmlns:dcterms="http://purl.org/dc/terms/" xmlns:xsi="http://www.w3.org/2001/XMLSchema-instance" xsi:type="dcterms:W3CDTF">2006-09-16T00:00:00Z</dcterms:created>
  <dcterms:modified xmlns:dcterms="http://purl.org/dc/terms/" xmlns:xsi="http://www.w3.org/2001/XMLSchema-instance" xsi:type="dcterms:W3CDTF">2026-08-18T13:49:48Z</dcterms:modified>
</cp:coreProperties>
</file>