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2">'HERMETİK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2">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family val="2"/>
      <color rgb="FFFF0000"/>
      <sz val="11"/>
      <scheme val="minor"/>
    </font>
    <font>
      <name val="Calibri"/>
      <charset val="162"/>
      <family val="2"/>
      <color rgb="FFFF0000"/>
      <sz val="11"/>
      <scheme val="minor"/>
    </font>
    <font>
      <name val="Calibri"/>
      <family val="2"/>
      <color rgb="FFFF0000"/>
      <sz val="10"/>
      <scheme val="minor"/>
    </font>
    <font>
      <name val="Wingdings"/>
      <charset val="2"/>
      <color rgb="FFFF0000"/>
      <sz val="10"/>
    </font>
    <font>
      <name val="Calibri"/>
      <charset val="162"/>
      <family val="2"/>
      <b val="1"/>
      <i val="1"/>
      <color theme="1"/>
      <sz val="12"/>
      <scheme val="minor"/>
    </font>
    <font>
      <name val="Calibri"/>
      <charset val="162"/>
      <family val="2"/>
      <i val="1"/>
      <color theme="1"/>
      <sz val="11"/>
      <scheme val="minor"/>
    </font>
    <font>
      <name val="Calibri"/>
      <charset val="162"/>
      <family val="2"/>
      <b val="1"/>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0" fontId="19" fillId="2" borderId="0"/>
    <xf numFmtId="0" fontId="27" fillId="4" borderId="28"/>
    <xf numFmtId="0" fontId="32" fillId="0" borderId="0"/>
  </cellStyleXfs>
  <cellXfs count="667">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10" applyAlignment="1" pivotButton="0" quotePrefix="0" xfId="0">
      <alignment horizontal="center" vertical="center"/>
    </xf>
    <xf numFmtId="14" fontId="11" fillId="0" borderId="4" applyAlignment="1" pivotButton="0" quotePrefix="0" xfId="0">
      <alignment horizontal="left" vertical="center" wrapText="1"/>
    </xf>
    <xf numFmtId="0" fontId="11" fillId="0" borderId="4" applyAlignment="1" pivotButton="0" quotePrefix="0" xfId="0">
      <alignment horizontal="left" vertical="center"/>
    </xf>
    <xf numFmtId="0" fontId="10" fillId="0" borderId="5"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49" fontId="35" fillId="0" borderId="24" applyAlignment="1" pivotButton="0" quotePrefix="0" xfId="0">
      <alignment horizontal="center" vertical="center"/>
    </xf>
    <xf numFmtId="0" fontId="36" fillId="0" borderId="36" applyAlignment="1" pivotButton="0" quotePrefix="0" xfId="0">
      <alignment horizontal="center" vertical="center"/>
    </xf>
    <xf numFmtId="0" fontId="0" fillId="0" borderId="36" pivotButton="0" quotePrefix="0" xfId="0"/>
    <xf numFmtId="0" fontId="35" fillId="0" borderId="0" applyAlignment="1" pivotButton="0" quotePrefix="0" xfId="0">
      <alignment vertical="center"/>
    </xf>
    <xf numFmtId="0" fontId="36" fillId="0" borderId="0" applyAlignment="1" pivotButton="0" quotePrefix="0" xfId="0">
      <alignment vertical="center"/>
    </xf>
    <xf numFmtId="0" fontId="36" fillId="0" borderId="12" applyAlignment="1" pivotButton="0" quotePrefix="0" xfId="0">
      <alignment vertical="center"/>
    </xf>
    <xf numFmtId="0" fontId="35" fillId="0" borderId="24" applyAlignment="1" pivotButton="0" quotePrefix="0" xfId="0">
      <alignment horizontal="center" vertical="center"/>
    </xf>
    <xf numFmtId="0" fontId="0" fillId="0" borderId="24" applyAlignment="1" pivotButton="0" quotePrefix="0" xfId="0">
      <alignment vertical="center"/>
    </xf>
    <xf numFmtId="49" fontId="36" fillId="0" borderId="23" applyAlignment="1" pivotButton="0" quotePrefix="0" xfId="0">
      <alignment horizontal="center" vertical="center"/>
    </xf>
    <xf numFmtId="0" fontId="36" fillId="0" borderId="23" applyAlignment="1" pivotButton="0" quotePrefix="0" xfId="0">
      <alignment horizontal="center" vertical="center"/>
    </xf>
    <xf numFmtId="0" fontId="37" fillId="0" borderId="23" applyAlignment="1" pivotButton="0" quotePrefix="0" xfId="0">
      <alignment horizontal="center" vertical="center"/>
    </xf>
    <xf numFmtId="0" fontId="38" fillId="0" borderId="1" applyAlignment="1" pivotButton="0" quotePrefix="0" xfId="0">
      <alignment horizontal="center" vertical="center"/>
    </xf>
    <xf numFmtId="0" fontId="22" fillId="0" borderId="1" applyAlignment="1" pivotButton="0" quotePrefix="0" xfId="0">
      <alignment horizontal="center" vertical="center"/>
    </xf>
    <xf numFmtId="0" fontId="37" fillId="0" borderId="0" applyAlignment="1" pivotButton="0" quotePrefix="0" xfId="0">
      <alignment vertical="center"/>
    </xf>
    <xf numFmtId="0" fontId="37" fillId="0" borderId="0" applyAlignment="1" pivotButton="0" quotePrefix="0" xfId="0">
      <alignment horizontal="center" vertical="center"/>
    </xf>
    <xf numFmtId="0" fontId="37" fillId="0" borderId="24" applyAlignment="1" pivotButton="0" quotePrefix="0" xfId="0">
      <alignment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36" fillId="0" borderId="8" applyAlignment="1" pivotButton="0" quotePrefix="0" xfId="0">
      <alignment horizontal="right" vertical="center"/>
    </xf>
    <xf numFmtId="0" fontId="6" fillId="0" borderId="10" applyAlignment="1" pivotButton="0" quotePrefix="0" xfId="0">
      <alignment vertical="center"/>
    </xf>
    <xf numFmtId="0" fontId="6" fillId="0" borderId="10" applyAlignment="1" pivotButton="0" quotePrefix="0" xfId="0">
      <alignment horizontal="center" vertical="center"/>
    </xf>
    <xf numFmtId="164" fontId="3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36" fillId="0" borderId="0" applyAlignment="1" pivotButton="0" quotePrefix="0" xfId="0">
      <alignment horizontal="right" vertical="center"/>
    </xf>
    <xf numFmtId="164" fontId="36" fillId="0" borderId="0" applyAlignment="1" pivotButton="0" quotePrefix="0" xfId="0">
      <alignment vertical="center"/>
    </xf>
    <xf numFmtId="164" fontId="36" fillId="0" borderId="8" applyAlignment="1" pivotButton="0" quotePrefix="0" xfId="0">
      <alignment horizontal="right"/>
    </xf>
    <xf numFmtId="2" fontId="35"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35" fillId="0" borderId="0" pivotButton="0" quotePrefix="0" xfId="0"/>
    <xf numFmtId="2" fontId="35" fillId="0" borderId="8"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2" fontId="0" fillId="0" borderId="0" pivotButton="0" quotePrefix="0" xfId="0"/>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12" fillId="0" borderId="0" applyAlignment="1" pivotButton="0" quotePrefix="0" xfId="0">
      <alignment vertical="center"/>
    </xf>
    <xf numFmtId="0" fontId="20" fillId="0" borderId="12" applyAlignment="1" pivotButton="0" quotePrefix="0" xfId="0">
      <alignment horizontal="left" vertical="top" wrapText="1"/>
    </xf>
    <xf numFmtId="0" fontId="12" fillId="0" borderId="5" applyAlignment="1" pivotButton="0" quotePrefix="0" xfId="0">
      <alignment vertical="center"/>
    </xf>
    <xf numFmtId="0" fontId="12" fillId="0" borderId="6" applyAlignment="1" pivotButton="0" quotePrefix="0" xfId="0">
      <alignment vertical="center"/>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9" fillId="0" borderId="33" applyAlignment="1" pivotButton="0" quotePrefix="0" xfId="0">
      <alignment horizontal="center"/>
    </xf>
    <xf numFmtId="0" fontId="40"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0" fontId="12" fillId="0" borderId="10" applyAlignment="1" pivotButton="0" quotePrefix="0" xfId="0">
      <alignment horizontal="left" vertical="center"/>
    </xf>
    <xf numFmtId="0" fontId="12" fillId="0" borderId="1" applyAlignment="1" pivotButton="0" quotePrefix="0" xfId="0">
      <alignment horizontal="right" vertical="center"/>
    </xf>
    <xf numFmtId="0" fontId="0" fillId="0" borderId="35" applyAlignment="1" pivotButton="0" quotePrefix="0" xfId="0">
      <alignment horizontal="center" vertical="center"/>
    </xf>
    <xf numFmtId="49" fontId="0" fillId="0" borderId="1" applyAlignment="1" pivotButton="0" quotePrefix="0" xfId="0">
      <alignment horizontal="right" vertical="center"/>
    </xf>
    <xf numFmtId="2" fontId="0" fillId="0" borderId="0" applyAlignment="1" pivotButton="0" quotePrefix="0" xfId="0">
      <alignment horizontal="left" vertical="center"/>
    </xf>
    <xf numFmtId="166" fontId="0" fillId="0" borderId="0" applyAlignment="1" pivotButton="0" quotePrefix="0" xfId="0">
      <alignment horizontal="center" vertical="center"/>
    </xf>
    <xf numFmtId="2" fontId="0" fillId="0" borderId="10" applyAlignment="1" pivotButton="0" quotePrefix="0" xfId="0">
      <alignment horizontal="left" vertical="center"/>
    </xf>
    <xf numFmtId="0" fontId="7" fillId="0" borderId="44" applyAlignment="1" pivotButton="0" quotePrefix="0" xfId="0">
      <alignment horizontal="center" vertical="center"/>
    </xf>
    <xf numFmtId="0" fontId="0" fillId="0" borderId="45" pivotButton="0" quotePrefix="0" xfId="0"/>
    <xf numFmtId="0" fontId="0" fillId="0" borderId="46" pivotButton="0" quotePrefix="0" xfId="0"/>
    <xf numFmtId="164" fontId="7" fillId="0" borderId="47" applyAlignment="1" pivotButton="0" quotePrefix="0" xfId="0">
      <alignment horizontal="center" vertical="center"/>
    </xf>
    <xf numFmtId="165" fontId="7" fillId="0" borderId="47" applyAlignment="1" pivotButton="0" quotePrefix="0" xfId="0">
      <alignment horizontal="center" vertical="center"/>
    </xf>
    <xf numFmtId="165" fontId="7" fillId="0" borderId="48" applyAlignment="1" pivotButton="0" quotePrefix="0" xfId="0">
      <alignment horizontal="center" vertical="center"/>
    </xf>
    <xf numFmtId="0" fontId="0" fillId="0" borderId="49" pivotButton="0" quotePrefix="0" xfId="0"/>
    <xf numFmtId="164" fontId="7" fillId="0" borderId="0" applyAlignment="1" pivotButton="0" quotePrefix="0" xfId="0">
      <alignment horizontal="center" vertical="center"/>
    </xf>
    <xf numFmtId="165" fontId="7" fillId="0" borderId="0" applyAlignment="1" pivotButton="0" quotePrefix="0" xfId="0">
      <alignment horizontal="center" vertical="center"/>
    </xf>
    <xf numFmtId="165" fontId="7" fillId="0" borderId="12" applyAlignment="1" pivotButton="0" quotePrefix="0" xfId="0">
      <alignment horizontal="center" vertical="center"/>
    </xf>
    <xf numFmtId="164" fontId="6" fillId="0" borderId="1" applyAlignment="1" pivotButton="0" quotePrefix="0" xfId="0">
      <alignment horizontal="center" vertical="center"/>
    </xf>
    <xf numFmtId="164" fontId="6" fillId="0" borderId="0" applyAlignment="1" pivotButton="0" quotePrefix="0" xfId="0">
      <alignment horizontal="center" vertical="center"/>
    </xf>
    <xf numFmtId="164" fontId="6" fillId="0" borderId="12" applyAlignment="1" pivotButton="0" quotePrefix="0" xfId="0">
      <alignment horizontal="center" vertical="center"/>
    </xf>
    <xf numFmtId="0" fontId="6" fillId="0" borderId="1" applyAlignment="1" pivotButton="0" quotePrefix="0" xfId="0">
      <alignment horizontal="left" vertical="center"/>
    </xf>
    <xf numFmtId="164" fontId="0" fillId="0" borderId="1" applyAlignment="1" pivotButton="0" quotePrefix="0" xfId="0">
      <alignment horizontal="center"/>
    </xf>
    <xf numFmtId="0" fontId="6" fillId="0" borderId="11" applyAlignment="1" pivotButton="0" quotePrefix="0" xfId="0">
      <alignment horizontal="left" vertical="center"/>
    </xf>
    <xf numFmtId="164" fontId="0" fillId="0" borderId="12" applyAlignment="1" pivotButton="0" quotePrefix="0" xfId="0">
      <alignment horizontal="center" vertical="center"/>
    </xf>
    <xf numFmtId="164" fontId="41" fillId="0" borderId="1" applyAlignment="1" pivotButton="0" quotePrefix="0" xfId="0">
      <alignment horizontal="left" vertical="center"/>
    </xf>
    <xf numFmtId="0" fontId="12" fillId="0" borderId="33" applyAlignment="1" pivotButton="0" quotePrefix="0" xfId="0">
      <alignment horizontal="center" vertical="center"/>
    </xf>
    <xf numFmtId="164" fontId="0" fillId="0" borderId="6" applyAlignment="1" pivotButton="0" quotePrefix="0" xfId="0">
      <alignment horizontal="center" vertical="center"/>
    </xf>
    <xf numFmtId="0" fontId="12" fillId="0" borderId="35" applyAlignment="1" pivotButton="0" quotePrefix="0" xfId="0">
      <alignment horizontal="left" vertical="top"/>
    </xf>
    <xf numFmtId="0" fontId="0" fillId="0" borderId="7" applyAlignment="1" pivotButton="0" quotePrefix="0" xfId="0">
      <alignment horizontal="left"/>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T43" s="11" t="n"/>
    </row>
    <row r="44" ht="15.75" customHeight="1" s="227">
      <c r="A44" s="10"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0">
    <mergeCell ref="G55:J55"/>
    <mergeCell ref="F68:G68"/>
    <mergeCell ref="AL57:AN57"/>
    <mergeCell ref="V44:AD44"/>
    <mergeCell ref="AL66:AN66"/>
    <mergeCell ref="L66:M66"/>
    <mergeCell ref="AF62:AN62"/>
    <mergeCell ref="B78:J78"/>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546875" customWidth="1" style="227" min="1" max="1"/>
    <col width="5.109375" customWidth="1" style="227" min="2" max="2"/>
    <col width="5.44140625" customWidth="1" style="227" min="4" max="4"/>
    <col width="4.88671875" customWidth="1" style="227" min="8" max="8"/>
    <col width="4.6640625" customWidth="1" style="227" min="10" max="10"/>
    <col width="5.88671875" customWidth="1" style="227" min="11" max="11"/>
    <col width="3.554687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6"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6"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6"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6"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6"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6"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6"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6"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6"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6"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6"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6" customHeight="1" s="227">
      <c r="A43" s="10" t="n"/>
      <c r="B43" s="118" t="n"/>
      <c r="C43" s="23" t="n"/>
      <c r="D43" s="295">
        <f>IF(K27&lt;F27,V30,V31)</f>
        <v/>
      </c>
      <c r="Q43" s="212" t="n"/>
      <c r="R43" s="11" t="n"/>
    </row>
    <row r="44" ht="15.6" customHeight="1" s="227">
      <c r="A44" s="10" t="n"/>
      <c r="B44" s="118" t="n"/>
      <c r="C44" s="23" t="n"/>
      <c r="D44" s="295">
        <f>IF(K28&lt;F28,V36,V37)</f>
        <v/>
      </c>
      <c r="Q44" s="212" t="n"/>
      <c r="R44" s="11" t="n"/>
    </row>
    <row r="45" ht="15.6"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99" t="n"/>
      <c r="H47" s="99" t="n"/>
      <c r="I47" s="482"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5" t="n"/>
      <c r="K50" s="139" t="n"/>
      <c r="L50" s="139" t="n"/>
      <c r="M50" s="139" t="n"/>
      <c r="N50" s="139" t="n"/>
      <c r="O50" s="139" t="n"/>
      <c r="P50" s="139" t="n"/>
      <c r="Q50" s="136" t="n"/>
      <c r="R50" s="11" t="n"/>
    </row>
    <row r="51" ht="1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546875" customWidth="1" style="227" min="1" max="1"/>
    <col width="5" customWidth="1" style="227" min="2" max="2"/>
    <col width="1.5546875" customWidth="1" style="227" min="20" max="20"/>
    <col width="9.109375" customWidth="1" style="227" min="21" max="21"/>
    <col width="5" customWidth="1" style="227" min="22" max="22"/>
    <col width="5.33203125" customWidth="1" style="227" min="25" max="25"/>
    <col width="10.6640625" customWidth="1" style="227" min="27" max="27"/>
    <col width="5.33203125" customWidth="1" style="227" min="28" max="28"/>
    <col width="5" customWidth="1" style="227" min="31" max="31"/>
    <col width="9.10937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36" t="n"/>
      <c r="H2" s="298" t="inlineStr">
        <is>
          <t xml:space="preserve">  ŞALT SAHASI          </t>
        </is>
      </c>
      <c r="I2" s="47" t="n"/>
      <c r="J2" s="47" t="n"/>
      <c r="K2" s="537">
        <f>'ANA SAYFA'!K2</f>
        <v/>
      </c>
      <c r="L2" s="47" t="n"/>
      <c r="M2" s="47" t="n"/>
      <c r="N2" s="47" t="n"/>
      <c r="O2" s="47" t="n"/>
      <c r="P2" s="47" t="n"/>
      <c r="Q2" s="47" t="n"/>
      <c r="R2" s="47" t="n"/>
      <c r="S2" s="211" t="n"/>
      <c r="T2" s="11" t="n"/>
    </row>
    <row r="3" ht="18" customHeight="1" s="227">
      <c r="A3" s="10" t="n"/>
      <c r="B3" s="62" t="n"/>
      <c r="G3" s="538" t="n"/>
      <c r="H3" s="62" t="n"/>
      <c r="K3" s="486" t="n"/>
      <c r="L3" s="486" t="n"/>
      <c r="M3" s="486" t="n"/>
      <c r="N3" s="486" t="n"/>
      <c r="O3" s="486" t="n"/>
      <c r="P3" s="486" t="n"/>
      <c r="Q3" s="486" t="n"/>
      <c r="R3" s="486" t="n"/>
      <c r="S3" s="487" t="n"/>
      <c r="T3" s="11" t="n"/>
    </row>
    <row r="4" ht="3" customHeight="1" s="227">
      <c r="A4" s="10" t="n"/>
      <c r="B4" s="62" t="n"/>
      <c r="G4" s="538" t="n"/>
      <c r="H4" s="539" t="n"/>
      <c r="I4" s="540" t="n"/>
      <c r="J4" s="540" t="n"/>
      <c r="K4" s="193" t="n"/>
      <c r="L4" s="193" t="n"/>
      <c r="M4" s="193" t="n"/>
      <c r="N4" s="193" t="n"/>
      <c r="O4" s="193" t="n"/>
      <c r="P4" s="193" t="n"/>
      <c r="Q4" s="193" t="n"/>
      <c r="R4" s="193" t="n"/>
      <c r="S4" s="541" t="n"/>
      <c r="T4" s="11" t="n"/>
    </row>
    <row r="5" ht="18" customHeight="1" s="227">
      <c r="A5" s="10" t="n"/>
      <c r="B5" s="62" t="n"/>
      <c r="G5" s="538" t="n"/>
      <c r="H5" s="391" t="inlineStr">
        <is>
          <t xml:space="preserve">  LOKASYON</t>
        </is>
      </c>
      <c r="K5" s="537">
        <f>'ANA SAYFA'!K5</f>
        <v/>
      </c>
      <c r="L5" s="47" t="n"/>
      <c r="M5" s="47" t="n"/>
      <c r="N5" s="47" t="n"/>
      <c r="O5" s="47" t="n"/>
      <c r="P5" s="47" t="n"/>
      <c r="Q5" s="47" t="n"/>
      <c r="R5" s="47" t="n"/>
      <c r="S5" s="211" t="n"/>
      <c r="T5" s="11" t="n"/>
    </row>
    <row r="6" ht="18" customHeight="1" s="227">
      <c r="A6" s="10" t="n"/>
      <c r="B6" s="62" t="n"/>
      <c r="G6" s="538"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542" t="n"/>
      <c r="H11" s="486" t="n"/>
      <c r="I11" s="486" t="n"/>
      <c r="J11" s="486" t="n"/>
      <c r="K11" s="291" t="inlineStr">
        <is>
          <t>Kesici Tipi</t>
        </is>
      </c>
      <c r="N11" s="91" t="inlineStr">
        <is>
          <t xml:space="preserve">: </t>
        </is>
      </c>
      <c r="O11" s="543" t="n"/>
      <c r="P11" s="486" t="n"/>
      <c r="Q11" s="486" t="n"/>
      <c r="R11" s="486" t="n"/>
      <c r="S11" s="544" t="n"/>
      <c r="T11" s="11" t="n"/>
    </row>
    <row r="12" ht="3" customHeight="1" s="227">
      <c r="A12" s="10" t="n"/>
      <c r="B12" s="280" t="n"/>
      <c r="C12" s="291" t="n"/>
      <c r="D12" s="291" t="n"/>
      <c r="E12" s="291" t="n"/>
      <c r="F12" s="67" t="n"/>
      <c r="G12" s="545" t="n"/>
      <c r="H12" s="545" t="n"/>
      <c r="I12" s="545" t="n"/>
      <c r="J12" s="545" t="n"/>
      <c r="K12" s="277" t="n"/>
      <c r="L12" s="277" t="n"/>
      <c r="M12" s="317" t="n"/>
      <c r="N12" s="127" t="n"/>
      <c r="O12" s="546" t="n"/>
      <c r="P12" s="546" t="n"/>
      <c r="Q12" s="546" t="n"/>
      <c r="R12" s="546" t="n"/>
      <c r="S12" s="547" t="n"/>
      <c r="T12" s="11" t="n"/>
    </row>
    <row r="13" ht="15" customHeight="1" s="227">
      <c r="A13" s="10" t="n"/>
      <c r="B13" s="247" t="inlineStr">
        <is>
          <t>Anma Akımı (A)</t>
        </is>
      </c>
      <c r="F13" s="89" t="inlineStr">
        <is>
          <t>:</t>
        </is>
      </c>
      <c r="G13" s="548" t="n"/>
      <c r="H13" s="486" t="n"/>
      <c r="I13" s="486" t="n"/>
      <c r="J13" s="486" t="n"/>
      <c r="K13" s="277" t="inlineStr">
        <is>
          <t>İmal Yılı</t>
        </is>
      </c>
      <c r="N13" s="549" t="inlineStr">
        <is>
          <t>:</t>
        </is>
      </c>
      <c r="O13" s="550" t="n"/>
      <c r="P13" s="486" t="n"/>
      <c r="Q13" s="486" t="n"/>
      <c r="R13" s="486" t="n"/>
      <c r="S13" s="487" t="n"/>
      <c r="T13" s="11" t="n"/>
    </row>
    <row r="14" ht="3" customHeight="1" s="227">
      <c r="A14" s="10" t="n"/>
      <c r="B14" s="280" t="n"/>
      <c r="C14" s="291" t="n"/>
      <c r="D14" s="291" t="n"/>
      <c r="E14" s="291" t="n"/>
      <c r="F14" s="67" t="n"/>
      <c r="G14" s="545" t="n"/>
      <c r="H14" s="545" t="n"/>
      <c r="I14" s="545" t="n"/>
      <c r="J14" s="545" t="n"/>
      <c r="K14" s="277" t="n"/>
      <c r="L14" s="277" t="n"/>
      <c r="M14" s="317" t="n"/>
      <c r="N14" s="127" t="n"/>
      <c r="O14" s="546" t="n"/>
      <c r="P14" s="546" t="n"/>
      <c r="Q14" s="546" t="n"/>
      <c r="R14" s="546" t="n"/>
      <c r="S14" s="547" t="n"/>
      <c r="T14" s="11" t="n"/>
    </row>
    <row r="15" ht="15" customHeight="1" s="227">
      <c r="A15" s="10" t="n"/>
      <c r="B15" s="280" t="inlineStr">
        <is>
          <t>Gerilim Seviyesi (V)</t>
        </is>
      </c>
      <c r="F15" s="89" t="inlineStr">
        <is>
          <t xml:space="preserve">:  </t>
        </is>
      </c>
      <c r="G15" s="548" t="n"/>
      <c r="H15" s="486" t="n"/>
      <c r="I15" s="486" t="n"/>
      <c r="J15" s="486" t="n"/>
      <c r="K15" s="277" t="inlineStr">
        <is>
          <t>Seri Numarası</t>
        </is>
      </c>
      <c r="N15" s="549" t="inlineStr">
        <is>
          <t>:</t>
        </is>
      </c>
      <c r="O15" s="551" t="n"/>
      <c r="P15" s="486" t="n"/>
      <c r="Q15" s="486" t="n"/>
      <c r="R15" s="486" t="n"/>
      <c r="S15" s="487" t="n"/>
      <c r="T15" s="11" t="n"/>
    </row>
    <row r="16" ht="3" customHeight="1" s="227">
      <c r="A16" s="10" t="n"/>
      <c r="B16" s="280" t="n"/>
      <c r="C16" s="291" t="n"/>
      <c r="D16" s="291" t="n"/>
      <c r="E16" s="291" t="n"/>
      <c r="F16" s="67" t="n"/>
      <c r="G16" s="545" t="n"/>
      <c r="H16" s="545" t="n"/>
      <c r="I16" s="545" t="n"/>
      <c r="J16" s="545" t="n"/>
      <c r="K16" s="277" t="n"/>
      <c r="L16" s="277" t="n"/>
      <c r="M16" s="317" t="n"/>
      <c r="N16" s="127" t="n"/>
      <c r="O16" s="546" t="n"/>
      <c r="P16" s="546" t="n"/>
      <c r="Q16" s="546" t="n"/>
      <c r="R16" s="546" t="n"/>
      <c r="S16" s="547" t="n"/>
      <c r="T16" s="11" t="n"/>
    </row>
    <row r="17" ht="15" customHeight="1" s="227">
      <c r="A17" s="10" t="n"/>
      <c r="B17" s="267" t="inlineStr">
        <is>
          <t>Motor Gerilimi</t>
        </is>
      </c>
      <c r="F17" s="549" t="inlineStr">
        <is>
          <t>:</t>
        </is>
      </c>
      <c r="G17" s="548" t="n"/>
      <c r="H17" s="486" t="n"/>
      <c r="I17" s="486" t="n"/>
      <c r="J17" s="486" t="n"/>
      <c r="K17" s="277" t="inlineStr">
        <is>
          <t>Bobin Gerilimi</t>
        </is>
      </c>
      <c r="N17" s="549" t="inlineStr">
        <is>
          <t>:</t>
        </is>
      </c>
      <c r="O17" s="551"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552" t="n"/>
      <c r="H24" s="487" t="n"/>
      <c r="I24" s="553" t="n"/>
      <c r="J24" s="554" t="n"/>
      <c r="K24" s="291" t="inlineStr">
        <is>
          <t>Kesici Temizliği</t>
        </is>
      </c>
      <c r="O24" s="89" t="inlineStr">
        <is>
          <t>:</t>
        </is>
      </c>
      <c r="P24" s="552" t="n"/>
      <c r="Q24" s="487" t="n"/>
      <c r="R24" s="553" t="n"/>
      <c r="S24" s="554" t="n"/>
      <c r="T24" s="11" t="n"/>
    </row>
    <row r="25" ht="3.75" customHeight="1" s="227">
      <c r="A25" s="10" t="n"/>
      <c r="B25" s="70" t="n"/>
      <c r="C25" s="67" t="n"/>
      <c r="D25" s="67" t="n"/>
      <c r="E25" s="67" t="n"/>
      <c r="F25" s="67" t="n"/>
      <c r="G25" s="555" t="n"/>
      <c r="H25" s="555" t="n"/>
      <c r="I25" s="556" t="n"/>
      <c r="J25" s="94" t="n"/>
      <c r="K25" s="67" t="n"/>
      <c r="L25" s="67" t="n"/>
      <c r="M25" s="67" t="n"/>
      <c r="N25" s="67" t="n"/>
      <c r="O25" s="67" t="n"/>
      <c r="P25" s="556" t="n"/>
      <c r="Q25" s="556" t="n"/>
      <c r="R25" s="556" t="n"/>
      <c r="S25" s="120" t="n"/>
      <c r="T25" s="11" t="n"/>
    </row>
    <row r="26" ht="15" customHeight="1" s="227">
      <c r="A26" s="10" t="n"/>
      <c r="B26" s="280" t="inlineStr">
        <is>
          <t>DC Redresör Kontrolü</t>
        </is>
      </c>
      <c r="F26" s="89" t="inlineStr">
        <is>
          <t>:</t>
        </is>
      </c>
      <c r="G26" s="557" t="n"/>
      <c r="H26" s="552" t="n"/>
      <c r="I26" s="553" t="n"/>
      <c r="J26" s="554" t="n"/>
      <c r="K26" s="291" t="inlineStr">
        <is>
          <t>Hücre Temizliği</t>
        </is>
      </c>
      <c r="O26" s="89" t="inlineStr">
        <is>
          <t>:</t>
        </is>
      </c>
      <c r="P26" s="552" t="n"/>
      <c r="Q26" s="487" t="n"/>
      <c r="R26" s="553" t="n"/>
      <c r="S26" s="554" t="n"/>
      <c r="T26" s="11" t="n"/>
    </row>
    <row r="27" ht="3.75" customHeight="1" s="227">
      <c r="A27" s="10" t="n"/>
      <c r="B27" s="70" t="n"/>
      <c r="C27" s="67" t="n"/>
      <c r="D27" s="67" t="n"/>
      <c r="E27" s="67" t="n"/>
      <c r="F27" s="67" t="n"/>
      <c r="G27" s="555" t="n"/>
      <c r="H27" s="555" t="n"/>
      <c r="I27" s="556" t="n"/>
      <c r="J27" s="94" t="n"/>
      <c r="K27" s="67" t="n"/>
      <c r="L27" s="67" t="n"/>
      <c r="M27" s="67" t="n"/>
      <c r="N27" s="67" t="n"/>
      <c r="O27" s="67" t="n"/>
      <c r="P27" s="556" t="n"/>
      <c r="Q27" s="556" t="n"/>
      <c r="R27" s="556" t="n"/>
      <c r="S27" s="120" t="n"/>
      <c r="T27" s="11" t="n"/>
    </row>
    <row r="28" ht="15" customHeight="1" s="227">
      <c r="A28" s="10" t="n"/>
      <c r="B28" s="280" t="inlineStr">
        <is>
          <t>İndikatör Kontrolü</t>
        </is>
      </c>
      <c r="F28" s="89" t="inlineStr">
        <is>
          <t>:</t>
        </is>
      </c>
      <c r="G28" s="552" t="n"/>
      <c r="H28" s="487" t="n"/>
      <c r="I28" s="553" t="n"/>
      <c r="J28" s="93" t="n"/>
      <c r="K28" s="291" t="inlineStr">
        <is>
          <t>Bara Kontrolü</t>
        </is>
      </c>
      <c r="O28" s="116" t="inlineStr">
        <is>
          <t xml:space="preserve">: </t>
        </is>
      </c>
      <c r="P28" s="552" t="n"/>
      <c r="Q28" s="487" t="n"/>
      <c r="R28" s="553" t="n"/>
      <c r="S28" s="93" t="n"/>
      <c r="T28" s="11" t="n"/>
    </row>
    <row r="29" ht="3.75" customHeight="1" s="227">
      <c r="A29" s="10" t="n"/>
      <c r="B29" s="70" t="n"/>
      <c r="C29" s="67" t="n"/>
      <c r="D29" s="67" t="n"/>
      <c r="E29" s="67" t="n"/>
      <c r="F29" s="67" t="n"/>
      <c r="G29" s="555" t="n"/>
      <c r="H29" s="555" t="n"/>
      <c r="I29" s="556" t="n"/>
      <c r="J29" s="94" t="n"/>
      <c r="K29" s="67" t="n"/>
      <c r="L29" s="67" t="n"/>
      <c r="M29" s="67" t="n"/>
      <c r="N29" s="67" t="n"/>
      <c r="O29" s="67" t="n"/>
      <c r="P29" s="556" t="n"/>
      <c r="Q29" s="556" t="n"/>
      <c r="R29" s="556" t="n"/>
      <c r="S29" s="120" t="n"/>
      <c r="T29" s="11" t="n"/>
    </row>
    <row r="30" ht="15" customHeight="1" s="227">
      <c r="A30" s="10" t="n"/>
      <c r="B30" s="280" t="inlineStr">
        <is>
          <t>Mekanik Konrolü</t>
        </is>
      </c>
      <c r="F30" s="89" t="inlineStr">
        <is>
          <t>:</t>
        </is>
      </c>
      <c r="G30" s="552" t="n"/>
      <c r="H30" s="487" t="n"/>
      <c r="I30" s="553" t="n"/>
      <c r="J30" s="93" t="n"/>
      <c r="K30" s="291" t="inlineStr">
        <is>
          <t>Isıtıcı Kontrolü</t>
        </is>
      </c>
      <c r="O30" s="89" t="inlineStr">
        <is>
          <t>:</t>
        </is>
      </c>
      <c r="P30" s="552" t="n"/>
      <c r="Q30" s="487" t="n"/>
      <c r="R30" s="553" t="n"/>
      <c r="S30" s="93" t="n"/>
      <c r="T30" s="11" t="n"/>
    </row>
    <row r="31" ht="3.75" customHeight="1" s="227">
      <c r="A31" s="10" t="n"/>
      <c r="B31" s="70" t="n"/>
      <c r="C31" s="67" t="n"/>
      <c r="D31" s="67" t="n"/>
      <c r="E31" s="67" t="n"/>
      <c r="F31" s="67" t="n"/>
      <c r="G31" s="555" t="n"/>
      <c r="H31" s="555" t="n"/>
      <c r="I31" s="556" t="n"/>
      <c r="J31" s="94" t="n"/>
      <c r="K31" s="67" t="n"/>
      <c r="L31" s="67" t="n"/>
      <c r="M31" s="67" t="n"/>
      <c r="N31" s="67" t="n"/>
      <c r="O31" s="67" t="n"/>
      <c r="P31" s="556" t="n"/>
      <c r="Q31" s="556" t="n"/>
      <c r="R31" s="556" t="n"/>
      <c r="S31" s="120" t="n"/>
      <c r="T31" s="11" t="n"/>
    </row>
    <row r="32" ht="15" customHeight="1" s="227">
      <c r="A32" s="10" t="n"/>
      <c r="B32" s="280" t="inlineStr">
        <is>
          <t>Kablo Başlığı Kontrolü</t>
        </is>
      </c>
      <c r="F32" s="110" t="inlineStr">
        <is>
          <t>:</t>
        </is>
      </c>
      <c r="G32" s="552" t="n"/>
      <c r="H32" s="487" t="n"/>
      <c r="I32" s="553" t="n"/>
      <c r="J32" s="93" t="n"/>
      <c r="K32" s="291" t="inlineStr">
        <is>
          <t>A.A Röle Kontrolü</t>
        </is>
      </c>
      <c r="O32" s="111" t="inlineStr">
        <is>
          <t>:</t>
        </is>
      </c>
      <c r="P32" s="552" t="n"/>
      <c r="Q32" s="487" t="n"/>
      <c r="R32" s="55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58" t="n"/>
      <c r="C34" s="559" t="n"/>
      <c r="D34" s="559" t="n"/>
      <c r="E34" s="559" t="n"/>
      <c r="F34" s="559" t="n"/>
      <c r="G34" s="559" t="n"/>
      <c r="H34" s="559" t="n"/>
      <c r="I34" s="559" t="n"/>
      <c r="J34" s="559" t="n"/>
      <c r="K34" s="559" t="n"/>
      <c r="L34" s="559" t="n"/>
      <c r="M34" s="559" t="n"/>
      <c r="N34" s="559" t="n"/>
      <c r="O34" s="559" t="n"/>
      <c r="P34" s="559" t="n"/>
      <c r="Q34" s="559" t="n"/>
      <c r="R34" s="559" t="n"/>
      <c r="S34" s="560" t="n"/>
      <c r="T34" s="11" t="n"/>
    </row>
    <row r="35" ht="15.75" customHeight="1" s="227">
      <c r="A35" s="10" t="n"/>
      <c r="B35" s="485" t="n"/>
      <c r="C35" s="47" t="n"/>
      <c r="D35" s="47" t="n"/>
      <c r="E35" s="47" t="n"/>
      <c r="F35" s="47" t="n"/>
      <c r="G35" s="47" t="n"/>
      <c r="H35" s="47" t="n"/>
      <c r="I35" s="47" t="n"/>
      <c r="J35" s="47" t="n"/>
      <c r="K35" s="47" t="n"/>
      <c r="L35" s="47" t="n"/>
      <c r="M35" s="47" t="n"/>
      <c r="N35" s="47" t="n"/>
      <c r="O35" s="47" t="n"/>
      <c r="P35" s="47" t="n"/>
      <c r="Q35" s="47" t="n"/>
      <c r="R35" s="47" t="n"/>
      <c r="S35" s="211" t="n"/>
      <c r="T35" s="11" t="n"/>
      <c r="V35" s="54" t="n"/>
      <c r="W35" s="54" t="n"/>
      <c r="X35" s="54" t="n"/>
      <c r="AE35" s="54" t="n"/>
      <c r="AF35" s="54" t="n"/>
      <c r="AG35" s="54" t="n"/>
      <c r="AH35" s="54" t="n"/>
      <c r="AI35" s="54" t="n"/>
      <c r="AJ35" s="54" t="n"/>
      <c r="AK35" s="54" t="n"/>
      <c r="AL35" s="54" t="n"/>
      <c r="AM35" s="54" t="n"/>
      <c r="AN35" s="54" t="n"/>
    </row>
    <row r="36" ht="3" customHeight="1" s="227">
      <c r="A36" s="10" t="n"/>
      <c r="B36" s="62" t="n"/>
      <c r="S36" s="212"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62" t="n"/>
      <c r="S37" s="21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62" t="n"/>
      <c r="S38" s="212"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62" t="n"/>
      <c r="S39" s="21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62" t="n"/>
      <c r="S40" s="212"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62" t="n"/>
      <c r="S41" s="21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62" t="n"/>
      <c r="S42" s="212"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49" t="n"/>
      <c r="C43" s="50" t="n"/>
      <c r="D43" s="50" t="n"/>
      <c r="E43" s="50" t="n"/>
      <c r="F43" s="50" t="n"/>
      <c r="G43" s="50" t="n"/>
      <c r="H43" s="50" t="n"/>
      <c r="I43" s="50" t="n"/>
      <c r="J43" s="50" t="n"/>
      <c r="K43" s="50" t="n"/>
      <c r="L43" s="50" t="n"/>
      <c r="M43" s="50" t="n"/>
      <c r="N43" s="50" t="n"/>
      <c r="O43" s="50" t="n"/>
      <c r="P43" s="50" t="n"/>
      <c r="Q43" s="50" t="n"/>
      <c r="R43" s="50" t="n"/>
      <c r="S43" s="213"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1" t="n"/>
      <c r="D50" s="99" t="n"/>
      <c r="E50" s="99" t="n"/>
      <c r="F50" s="562" t="inlineStr">
        <is>
          <t>kV</t>
        </is>
      </c>
      <c r="G50" s="563" t="n"/>
      <c r="H50" s="99" t="n"/>
      <c r="I50" s="564" t="inlineStr">
        <is>
          <t>GΩ</t>
        </is>
      </c>
      <c r="J50" s="565">
        <f>IF(G50&gt;50,1,0)</f>
        <v/>
      </c>
      <c r="K50" s="376" t="n"/>
      <c r="L50" s="99" t="n"/>
      <c r="M50" s="99" t="n"/>
      <c r="N50" s="482" t="n"/>
      <c r="O50" s="566" t="n"/>
      <c r="P50" s="99" t="n"/>
      <c r="Q50" s="99" t="n"/>
      <c r="R50" s="564"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67" t="n"/>
      <c r="C51" s="27" t="n"/>
      <c r="D51" s="27" t="n"/>
      <c r="E51" s="27" t="n"/>
      <c r="F51" s="568" t="n"/>
      <c r="G51" s="569" t="n"/>
      <c r="H51" s="569" t="n"/>
      <c r="I51" s="27" t="n"/>
      <c r="J51" s="27" t="n"/>
      <c r="K51" s="27" t="n"/>
      <c r="L51" s="27" t="n"/>
      <c r="M51" s="27" t="n"/>
      <c r="N51" s="27" t="n"/>
      <c r="O51" s="570" t="n"/>
      <c r="P51" s="570" t="n"/>
      <c r="Q51" s="570"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1" t="n"/>
      <c r="D52" s="99" t="n"/>
      <c r="E52" s="99" t="n"/>
      <c r="F52" s="562" t="inlineStr">
        <is>
          <t>kV</t>
        </is>
      </c>
      <c r="G52" s="563" t="n"/>
      <c r="H52" s="99" t="n"/>
      <c r="I52" s="564" t="inlineStr">
        <is>
          <t>GΩ</t>
        </is>
      </c>
      <c r="J52" s="565">
        <f>IF(G52&gt;50,1,0)</f>
        <v/>
      </c>
      <c r="K52" s="376" t="n"/>
      <c r="L52" s="99" t="n"/>
      <c r="M52" s="99" t="n"/>
      <c r="N52" s="482" t="n"/>
      <c r="O52" s="571" t="n"/>
      <c r="P52" s="99" t="n"/>
      <c r="Q52" s="99" t="n"/>
      <c r="R52" s="564"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67" t="n"/>
      <c r="C53" s="27" t="n"/>
      <c r="D53" s="27" t="n"/>
      <c r="E53" s="27" t="n"/>
      <c r="F53" s="568" t="n"/>
      <c r="G53" s="569" t="n"/>
      <c r="H53" s="569" t="n"/>
      <c r="I53" s="27" t="n"/>
      <c r="J53" s="27" t="n"/>
      <c r="K53" s="27" t="n"/>
      <c r="L53" s="27" t="n"/>
      <c r="M53" s="27" t="n"/>
      <c r="N53" s="27" t="n"/>
      <c r="O53" s="570" t="n"/>
      <c r="P53" s="570" t="n"/>
      <c r="Q53" s="570"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1" t="n"/>
      <c r="D54" s="99" t="n"/>
      <c r="E54" s="99" t="n"/>
      <c r="F54" s="562" t="inlineStr">
        <is>
          <t>kV</t>
        </is>
      </c>
      <c r="G54" s="563" t="n"/>
      <c r="H54" s="99" t="n"/>
      <c r="I54" s="564" t="inlineStr">
        <is>
          <t>GΩ</t>
        </is>
      </c>
      <c r="J54" s="565">
        <f>IF(G54&gt;50,1,0)</f>
        <v/>
      </c>
      <c r="K54" s="376" t="n"/>
      <c r="L54" s="99" t="n"/>
      <c r="M54" s="99" t="n"/>
      <c r="N54" s="482" t="n"/>
      <c r="O54" s="571" t="n"/>
      <c r="P54" s="99" t="n"/>
      <c r="Q54" s="99" t="n"/>
      <c r="R54" s="564"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2" t="n"/>
      <c r="D61" s="99" t="n"/>
      <c r="E61" s="482" t="inlineStr">
        <is>
          <t>ms</t>
        </is>
      </c>
      <c r="F61" s="527">
        <f>MAX(V80:V85)</f>
        <v/>
      </c>
      <c r="G61" s="99" t="n"/>
      <c r="H61" s="398" t="inlineStr">
        <is>
          <t>ms</t>
        </is>
      </c>
      <c r="I61" s="482" t="n"/>
      <c r="J61" s="572" t="n"/>
      <c r="K61" s="99" t="n"/>
      <c r="L61" s="482" t="inlineStr">
        <is>
          <t>ms</t>
        </is>
      </c>
      <c r="M61" s="527">
        <f>MAX(X80:X85)</f>
        <v/>
      </c>
      <c r="N61" s="99" t="n"/>
      <c r="O61" s="398" t="inlineStr">
        <is>
          <t>ms</t>
        </is>
      </c>
      <c r="P61" s="482" t="n"/>
      <c r="Q61" s="573"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4" t="n"/>
      <c r="C62" s="575" t="n"/>
      <c r="D62" s="575" t="n"/>
      <c r="F62" s="3" t="n"/>
      <c r="G62" s="127" t="n"/>
      <c r="H62" s="127" t="n"/>
      <c r="I62" s="143" t="n"/>
      <c r="J62" s="575" t="n"/>
      <c r="K62" s="575"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2" t="n"/>
      <c r="D63" s="99" t="n"/>
      <c r="E63" s="482" t="inlineStr">
        <is>
          <t>ms</t>
        </is>
      </c>
      <c r="F63" s="374" t="inlineStr">
        <is>
          <t>BOBİN AKIMI</t>
        </is>
      </c>
      <c r="G63" s="99" t="n"/>
      <c r="H63" s="99" t="n"/>
      <c r="I63" s="482" t="n"/>
      <c r="J63" s="572" t="n"/>
      <c r="K63" s="99" t="n"/>
      <c r="L63" s="482" t="inlineStr">
        <is>
          <t>ms</t>
        </is>
      </c>
      <c r="M63" s="374" t="inlineStr">
        <is>
          <t>BOBİN AKIMI</t>
        </is>
      </c>
      <c r="N63" s="99" t="n"/>
      <c r="O63" s="99" t="n"/>
      <c r="P63" s="482" t="n"/>
      <c r="Q63" s="573"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4" t="n"/>
      <c r="C64" s="575" t="n"/>
      <c r="D64" s="575" t="n"/>
      <c r="F64" s="3" t="n"/>
      <c r="G64" s="127" t="n"/>
      <c r="H64" s="127" t="n"/>
      <c r="I64" s="143" t="n"/>
      <c r="J64" s="575" t="n"/>
      <c r="K64" s="575" t="n"/>
      <c r="M64" s="3" t="n"/>
      <c r="N64" s="127" t="n"/>
      <c r="O64" s="127" t="n"/>
      <c r="P64" s="143" t="n"/>
      <c r="S64" s="212" t="n"/>
      <c r="T64" s="11" t="n"/>
    </row>
    <row r="65" ht="15" customHeight="1" s="227">
      <c r="A65" s="10" t="n"/>
      <c r="B65" s="504" t="inlineStr">
        <is>
          <t>L-3</t>
        </is>
      </c>
      <c r="C65" s="572" t="n"/>
      <c r="D65" s="99" t="n"/>
      <c r="E65" s="482" t="inlineStr">
        <is>
          <t>ms</t>
        </is>
      </c>
      <c r="F65" s="576" t="n"/>
      <c r="G65" s="99" t="n"/>
      <c r="H65" s="398" t="inlineStr">
        <is>
          <t>A</t>
        </is>
      </c>
      <c r="I65" s="482" t="n"/>
      <c r="J65" s="572" t="n"/>
      <c r="K65" s="99" t="n"/>
      <c r="L65" s="482" t="inlineStr">
        <is>
          <t>ms</t>
        </is>
      </c>
      <c r="M65" s="576" t="n"/>
      <c r="N65" s="99" t="n"/>
      <c r="O65" s="398" t="inlineStr">
        <is>
          <t>A</t>
        </is>
      </c>
      <c r="P65" s="482" t="n"/>
      <c r="Q65" s="573" t="n"/>
      <c r="R65" s="99" t="n"/>
      <c r="S65" s="482" t="n"/>
      <c r="T65" s="11" t="n"/>
    </row>
    <row r="66" ht="3" customHeight="1" s="227">
      <c r="A66" s="10" t="n"/>
      <c r="B66" s="577" t="n"/>
      <c r="C66" s="578" t="n"/>
      <c r="D66" s="578"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79" t="n"/>
      <c r="D67" s="579" t="n"/>
      <c r="E67" s="579" t="n"/>
      <c r="F67" s="579" t="n"/>
      <c r="G67" s="579" t="n"/>
      <c r="H67" s="579" t="n"/>
      <c r="I67" s="579" t="n"/>
      <c r="J67" s="579" t="n"/>
      <c r="K67" s="579" t="n"/>
      <c r="L67" s="579" t="n"/>
      <c r="M67" s="579" t="n"/>
      <c r="N67" s="579" t="n"/>
      <c r="O67" s="579" t="n"/>
      <c r="P67" s="579" t="n"/>
      <c r="Q67" s="579" t="n"/>
      <c r="R67" s="579" t="n"/>
      <c r="S67" s="398" t="n"/>
      <c r="T67" s="11" t="n"/>
    </row>
    <row r="68" ht="15.75" customHeight="1" s="227">
      <c r="A68" s="10" t="n"/>
      <c r="B68" s="580" t="inlineStr">
        <is>
          <t>Sonuç :</t>
        </is>
      </c>
      <c r="C68" s="581" t="n"/>
      <c r="D68" s="582"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3"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4" t="n"/>
      <c r="C70" s="585" t="n"/>
      <c r="D70" s="585" t="n"/>
      <c r="E70" s="585" t="n"/>
      <c r="F70" s="585" t="n"/>
      <c r="G70" s="585" t="n"/>
      <c r="H70" s="585" t="n"/>
      <c r="I70" s="585" t="n"/>
      <c r="J70" s="585" t="n"/>
      <c r="K70" s="585" t="n"/>
      <c r="L70" s="585" t="n"/>
      <c r="M70" s="585" t="n"/>
      <c r="N70" s="585" t="n"/>
      <c r="O70" s="585" t="n"/>
      <c r="P70" s="585" t="n"/>
      <c r="Q70" s="585" t="n"/>
      <c r="R70" s="585" t="n"/>
      <c r="S70" s="586" t="n"/>
      <c r="T70" s="11" t="n"/>
    </row>
    <row r="71" ht="15.75" customHeight="1" s="227">
      <c r="A71" s="10" t="n"/>
      <c r="B71" s="584" t="n"/>
      <c r="C71" s="585" t="n"/>
      <c r="D71" s="585" t="n"/>
      <c r="E71" s="585" t="n"/>
      <c r="F71" s="585" t="n"/>
      <c r="G71" s="585" t="n"/>
      <c r="H71" s="585" t="n"/>
      <c r="I71" s="585" t="n"/>
      <c r="J71" s="585" t="n"/>
      <c r="K71" s="585" t="n"/>
      <c r="L71" s="585" t="n"/>
      <c r="M71" s="585" t="n"/>
      <c r="N71" s="585" t="n"/>
      <c r="O71" s="585" t="n"/>
      <c r="P71" s="585" t="n"/>
      <c r="Q71" s="585" t="n"/>
      <c r="R71" s="585" t="n"/>
      <c r="S71" s="586" t="n"/>
      <c r="T71" s="11" t="n"/>
    </row>
    <row r="72" ht="15.75" customHeight="1" s="227">
      <c r="A72" s="10" t="n"/>
      <c r="B72" s="587" t="n"/>
      <c r="C72" s="588" t="n"/>
      <c r="D72" s="588" t="n"/>
      <c r="E72" s="588" t="n"/>
      <c r="F72" s="588" t="n"/>
      <c r="G72" s="588" t="n"/>
      <c r="H72" s="588" t="n"/>
      <c r="I72" s="588" t="n"/>
      <c r="J72" s="588" t="n"/>
      <c r="K72" s="588" t="n"/>
      <c r="L72" s="588" t="n"/>
      <c r="M72" s="588" t="n"/>
      <c r="N72" s="588" t="n"/>
      <c r="O72" s="588" t="n"/>
      <c r="P72" s="588" t="n"/>
      <c r="Q72" s="588" t="n"/>
      <c r="R72" s="588" t="n"/>
      <c r="S72" s="589" t="n"/>
      <c r="T72" s="11" t="n"/>
    </row>
    <row r="73" ht="4.5" customHeight="1" s="227">
      <c r="A73" s="10" t="n"/>
      <c r="B73" s="590"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1" t="inlineStr">
        <is>
          <t>Rapor Tarihi</t>
        </is>
      </c>
      <c r="C74" s="47" t="n"/>
      <c r="D74" s="47" t="n"/>
      <c r="E74" s="27" t="inlineStr">
        <is>
          <t>:</t>
        </is>
      </c>
      <c r="F74" s="592">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3">
        <f>'ANA SAYFA'!F79</f>
        <v/>
      </c>
      <c r="J75" s="212" t="n"/>
      <c r="K75" s="161" t="n"/>
      <c r="L75" s="162" t="n"/>
      <c r="M75" s="27" t="n"/>
      <c r="N75" s="594" t="n"/>
      <c r="O75" s="594" t="n"/>
      <c r="P75" s="594" t="n"/>
      <c r="Q75" s="594" t="n"/>
      <c r="R75" s="594" t="n"/>
      <c r="S75" s="595" t="n"/>
      <c r="T75" s="11" t="n"/>
    </row>
    <row r="76" ht="13.5" customHeight="1" s="227">
      <c r="A76" s="10" t="n"/>
      <c r="B76" s="267" t="inlineStr">
        <is>
          <t>Unvan</t>
        </is>
      </c>
      <c r="E76" s="27" t="inlineStr">
        <is>
          <t>:</t>
        </is>
      </c>
      <c r="F76" s="596" t="inlineStr">
        <is>
          <t>Elektrik Mühendisi</t>
        </is>
      </c>
      <c r="J76" s="212" t="n"/>
      <c r="K76" s="161" t="n"/>
      <c r="L76" s="162" t="n"/>
      <c r="M76" s="27" t="n"/>
      <c r="N76" s="27" t="n"/>
      <c r="O76" s="27" t="n"/>
      <c r="P76" s="27" t="n"/>
      <c r="Q76" s="27" t="n"/>
      <c r="R76" s="27" t="n"/>
      <c r="S76" s="597" t="n"/>
      <c r="T76" s="11" t="n"/>
    </row>
    <row r="77" ht="13.5" customHeight="1" s="227">
      <c r="A77" s="10" t="n"/>
      <c r="B77" s="267" t="inlineStr">
        <is>
          <t>Sicil No</t>
        </is>
      </c>
      <c r="E77" s="27" t="inlineStr">
        <is>
          <t>:</t>
        </is>
      </c>
      <c r="F77" s="596" t="n"/>
      <c r="J77" s="212" t="n"/>
      <c r="K77" s="267" t="n"/>
      <c r="L77" s="277" t="n"/>
      <c r="M77" s="27" t="n"/>
      <c r="N77" s="598" t="n"/>
      <c r="O77" s="598" t="n"/>
      <c r="P77" s="598" t="n"/>
      <c r="Q77" s="598" t="n"/>
      <c r="R77" s="598" t="n"/>
      <c r="S77" s="596" t="n"/>
      <c r="T77" s="11" t="n"/>
    </row>
    <row r="78" ht="13.5" customHeight="1" s="227">
      <c r="A78" s="10" t="n"/>
      <c r="B78" s="163" t="inlineStr">
        <is>
          <t>Ekipnet No</t>
        </is>
      </c>
      <c r="C78" s="50" t="n"/>
      <c r="D78" s="50" t="n"/>
      <c r="E78" s="599" t="inlineStr">
        <is>
          <t>:</t>
        </is>
      </c>
      <c r="F78" s="600" t="n"/>
      <c r="G78" s="50" t="n"/>
      <c r="H78" s="50" t="n"/>
      <c r="I78" s="50" t="n"/>
      <c r="J78" s="213" t="n"/>
      <c r="K78" s="163" t="n"/>
      <c r="L78" s="164" t="n"/>
      <c r="M78" s="599" t="n"/>
      <c r="N78" s="601" t="n"/>
      <c r="O78" s="601" t="n"/>
      <c r="P78" s="601" t="n"/>
      <c r="Q78" s="601" t="n"/>
      <c r="R78" s="601" t="n"/>
      <c r="S78" s="600"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2">
        <f>C61-C63</f>
        <v/>
      </c>
      <c r="X80" s="603">
        <f>J61-J63</f>
        <v/>
      </c>
    </row>
    <row r="81" ht="15" customHeight="1" s="227">
      <c r="V81" s="602">
        <f>C61-C65</f>
        <v/>
      </c>
      <c r="X81" s="603">
        <f>J61-J65</f>
        <v/>
      </c>
    </row>
    <row r="82" ht="15" customHeight="1" s="227">
      <c r="V82" s="602">
        <f>C63-C65</f>
        <v/>
      </c>
      <c r="X82" s="603">
        <f>J63-J65</f>
        <v/>
      </c>
    </row>
    <row r="83" ht="15" customHeight="1" s="227">
      <c r="V83" s="602">
        <f>C63-C61</f>
        <v/>
      </c>
      <c r="X83" s="603">
        <f>J63-J61</f>
        <v/>
      </c>
    </row>
    <row r="84" ht="15" customHeight="1" s="227">
      <c r="V84" s="602">
        <f>C65-C61</f>
        <v/>
      </c>
      <c r="X84" s="603">
        <f>J65-J61</f>
        <v/>
      </c>
    </row>
    <row r="85" ht="15" customHeight="1" s="227">
      <c r="V85" s="602">
        <f>C65-C63</f>
        <v/>
      </c>
      <c r="X85" s="603">
        <f>J65-J63</f>
        <v/>
      </c>
      <c r="AA85" s="60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4.88671875" customWidth="1" style="227" min="16" max="16"/>
    <col width="4.5546875" customWidth="1" style="227" min="17" max="17"/>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6" t="inlineStr">
        <is>
          <t>VDC</t>
        </is>
      </c>
      <c r="K17" s="375">
        <f>H17/D17</f>
        <v/>
      </c>
      <c r="L17" s="99" t="n"/>
      <c r="M17" s="606"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6" t="inlineStr">
        <is>
          <t>VDC</t>
        </is>
      </c>
      <c r="K18" s="375">
        <f>H18/D18</f>
        <v/>
      </c>
      <c r="L18" s="99" t="n"/>
      <c r="M18" s="606"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6" t="inlineStr">
        <is>
          <t>VDC</t>
        </is>
      </c>
      <c r="K19" s="375">
        <f>H19/D19</f>
        <v/>
      </c>
      <c r="L19" s="99" t="n"/>
      <c r="M19" s="606"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336" t="n"/>
      <c r="R29" s="11" t="n"/>
    </row>
    <row r="30" ht="5.25" customHeight="1" s="227">
      <c r="A30" s="10" t="n"/>
      <c r="R30" s="11" t="n"/>
    </row>
    <row r="31" ht="15" customHeight="1" s="227">
      <c r="A31" s="10" t="n"/>
      <c r="R31" s="11" t="n"/>
    </row>
    <row r="32" ht="13.5" customHeight="1" s="227">
      <c r="A32" s="10" t="n"/>
      <c r="R32" s="11" t="n"/>
    </row>
    <row r="33" ht="13.5" customHeight="1" s="227">
      <c r="A33" s="10" t="n"/>
      <c r="R33" s="11" t="n"/>
    </row>
    <row r="34" ht="13.5" customHeight="1" s="227">
      <c r="A34" s="10" t="n"/>
      <c r="R34" s="11" t="n"/>
    </row>
    <row r="35" ht="13.5" customHeight="1" s="227">
      <c r="A35" s="10" t="n"/>
      <c r="R35" s="11" t="n"/>
    </row>
    <row r="36" ht="13.5" customHeight="1" s="227">
      <c r="A36" s="10"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28" t="n"/>
      <c r="C38" s="317" t="n"/>
      <c r="E38" s="317" t="n"/>
      <c r="G38" s="317" t="n"/>
      <c r="I38" s="317" t="n"/>
      <c r="K38" s="127" t="n"/>
      <c r="L38" s="607" t="n"/>
      <c r="N38" s="127" t="n"/>
      <c r="O38" s="607" t="n"/>
      <c r="Q38" s="143" t="n"/>
      <c r="R38" s="11" t="n"/>
    </row>
    <row r="39" ht="15" customHeight="1" s="227">
      <c r="A39" s="10" t="n"/>
      <c r="B39" s="528" t="n"/>
      <c r="C39" s="317" t="n"/>
      <c r="D39" s="317" t="n"/>
      <c r="E39" s="317" t="n"/>
      <c r="F39" s="317" t="n"/>
      <c r="G39" s="317" t="n"/>
      <c r="H39" s="317" t="n"/>
      <c r="I39" s="317" t="n"/>
      <c r="J39" s="317" t="n"/>
      <c r="K39" s="127" t="n"/>
      <c r="L39" s="607" t="n"/>
      <c r="M39" s="607" t="n"/>
      <c r="N39" s="127" t="n"/>
      <c r="O39" s="607" t="n"/>
      <c r="P39" s="607" t="n"/>
      <c r="Q39" s="143" t="n"/>
      <c r="R39" s="11" t="n"/>
    </row>
    <row r="40" ht="15" customHeight="1" s="227">
      <c r="A40" s="10" t="n"/>
      <c r="B40" s="528" t="n"/>
      <c r="C40" s="317" t="n"/>
      <c r="E40" s="317" t="n"/>
      <c r="G40" s="317" t="n"/>
      <c r="I40" s="317" t="n"/>
      <c r="K40" s="127" t="n"/>
      <c r="L40" s="607" t="n"/>
      <c r="N40" s="127" t="n"/>
      <c r="O40" s="607" t="n"/>
      <c r="Q40" s="143" t="n"/>
      <c r="R40" s="11" t="n"/>
    </row>
    <row r="41" ht="15" customHeight="1" s="227">
      <c r="A41" s="10" t="n"/>
      <c r="B41" s="528" t="n"/>
      <c r="C41" s="317" t="n"/>
      <c r="D41" s="317" t="n"/>
      <c r="E41" s="317" t="n"/>
      <c r="F41" s="317" t="n"/>
      <c r="G41" s="317" t="n"/>
      <c r="H41" s="317" t="n"/>
      <c r="I41" s="317" t="n"/>
      <c r="J41" s="317" t="n"/>
      <c r="K41" s="127" t="n"/>
      <c r="L41" s="607" t="n"/>
      <c r="M41" s="607" t="n"/>
      <c r="N41" s="127" t="n"/>
      <c r="O41" s="607" t="n"/>
      <c r="P41" s="607" t="n"/>
      <c r="Q41" s="143" t="n"/>
      <c r="R41" s="11" t="n"/>
    </row>
    <row r="42" ht="15" customHeight="1" s="227">
      <c r="A42" s="10" t="n"/>
      <c r="B42" s="528" t="n"/>
      <c r="C42" s="317" t="n"/>
      <c r="D42" s="317" t="n"/>
      <c r="E42" s="317" t="n"/>
      <c r="F42" s="317" t="n"/>
      <c r="G42" s="317" t="n"/>
      <c r="H42" s="317" t="n"/>
      <c r="I42" s="317" t="n"/>
      <c r="J42" s="317" t="n"/>
      <c r="K42" s="127" t="n"/>
      <c r="L42" s="607" t="n"/>
      <c r="M42" s="607" t="n"/>
      <c r="N42" s="127" t="n"/>
      <c r="O42" s="607" t="n"/>
      <c r="P42" s="607" t="n"/>
      <c r="Q42" s="143" t="n"/>
      <c r="R42" s="11" t="n"/>
    </row>
    <row r="43" ht="15" customHeight="1" s="227">
      <c r="A43" s="10" t="n"/>
      <c r="B43" s="528" t="n"/>
      <c r="C43" s="317" t="n"/>
      <c r="D43" s="317" t="n"/>
      <c r="E43" s="317" t="n"/>
      <c r="F43" s="317" t="n"/>
      <c r="G43" s="317" t="n"/>
      <c r="H43" s="317" t="n"/>
      <c r="I43" s="317" t="n"/>
      <c r="J43" s="317" t="n"/>
      <c r="K43" s="127" t="n"/>
      <c r="L43" s="607" t="n"/>
      <c r="M43" s="607" t="n"/>
      <c r="N43" s="127" t="n"/>
      <c r="O43" s="607" t="n"/>
      <c r="P43" s="607" t="n"/>
      <c r="Q43" s="143" t="n"/>
      <c r="R43" s="11" t="n"/>
    </row>
    <row r="44" ht="15" customHeight="1" s="227">
      <c r="A44" s="10" t="n"/>
      <c r="B44" s="528" t="n"/>
      <c r="C44" s="317" t="n"/>
      <c r="D44" s="317" t="n"/>
      <c r="E44" s="317" t="n"/>
      <c r="F44" s="317" t="n"/>
      <c r="G44" s="317" t="n"/>
      <c r="H44" s="317" t="n"/>
      <c r="I44" s="317" t="n"/>
      <c r="J44" s="317" t="n"/>
      <c r="K44" s="127" t="n"/>
      <c r="L44" s="607" t="n"/>
      <c r="M44" s="607" t="n"/>
      <c r="N44" s="127" t="n"/>
      <c r="O44" s="607" t="n"/>
      <c r="P44" s="607" t="n"/>
      <c r="Q44" s="143" t="n"/>
      <c r="R44" s="11" t="n"/>
    </row>
    <row r="45" ht="15" customHeight="1" s="227">
      <c r="A45" s="10" t="n"/>
      <c r="B45" s="528" t="n"/>
      <c r="C45" s="317" t="n"/>
      <c r="D45" s="317" t="n"/>
      <c r="E45" s="317" t="n"/>
      <c r="F45" s="317" t="n"/>
      <c r="G45" s="317" t="n"/>
      <c r="H45" s="317" t="n"/>
      <c r="I45" s="317" t="n"/>
      <c r="J45" s="317" t="n"/>
      <c r="K45" s="127" t="n"/>
      <c r="L45" s="607" t="n"/>
      <c r="M45" s="607" t="n"/>
      <c r="N45" s="127" t="n"/>
      <c r="O45" s="607" t="n"/>
      <c r="P45" s="607"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t="inlineStr">
        <is>
          <t>Yapılan ölçümlerde kesicinin İzolasyon değerleri uygundur.</t>
        </is>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08"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K18:L18"/>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H18:I18"/>
    <mergeCell ref="O38:P38"/>
    <mergeCell ref="K19:L19"/>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19" t="inlineStr">
        <is>
          <t>Kontak Direnci µΩ</t>
        </is>
      </c>
      <c r="C14" s="99" t="n"/>
      <c r="D14" s="99" t="n"/>
      <c r="E14" s="99" t="n"/>
      <c r="F14" s="99" t="n"/>
      <c r="G14" s="99" t="n"/>
      <c r="H14" s="99" t="n"/>
      <c r="I14" s="482" t="n"/>
      <c r="J14" s="609" t="inlineStr">
        <is>
          <t xml:space="preserve">L-1 </t>
        </is>
      </c>
      <c r="K14" s="79" t="n"/>
      <c r="L14" s="79" t="n"/>
      <c r="M14" s="79" t="n"/>
      <c r="N14" s="79" t="n"/>
      <c r="O14" s="79" t="n"/>
      <c r="P14" s="53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0"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1"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2"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3" t="n"/>
      <c r="E22" s="317" t="n"/>
      <c r="G22" s="317" t="n"/>
      <c r="I22" s="317" t="n"/>
      <c r="K22" s="317" t="n"/>
      <c r="M22" s="317" t="n"/>
      <c r="O22" s="317" t="n"/>
      <c r="Q22" s="117" t="n"/>
      <c r="R22" s="11" t="n"/>
    </row>
    <row r="23" ht="18" customHeight="1" s="227">
      <c r="A23" s="10" t="n"/>
      <c r="B23" s="419" t="inlineStr">
        <is>
          <t>Kontak Direnci µΩ</t>
        </is>
      </c>
      <c r="C23" s="99" t="n"/>
      <c r="D23" s="99" t="n"/>
      <c r="E23" s="99" t="n"/>
      <c r="F23" s="99" t="n"/>
      <c r="G23" s="99" t="n"/>
      <c r="H23" s="99" t="n"/>
      <c r="I23" s="482" t="n"/>
      <c r="J23" s="609" t="inlineStr">
        <is>
          <t>L-2</t>
        </is>
      </c>
      <c r="K23" s="79" t="n"/>
      <c r="L23" s="79" t="n"/>
      <c r="M23" s="79" t="n"/>
      <c r="N23" s="79" t="n"/>
      <c r="O23" s="79" t="n"/>
      <c r="P23" s="53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0"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1"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2"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 customHeight="1" s="227">
      <c r="A32" s="10" t="n"/>
      <c r="B32" s="419" t="inlineStr">
        <is>
          <t>Kontak Direnci µΩ</t>
        </is>
      </c>
      <c r="C32" s="99" t="n"/>
      <c r="D32" s="99" t="n"/>
      <c r="E32" s="99" t="n"/>
      <c r="F32" s="99" t="n"/>
      <c r="G32" s="99" t="n"/>
      <c r="H32" s="99" t="n"/>
      <c r="I32" s="482" t="n"/>
      <c r="J32" s="609" t="inlineStr">
        <is>
          <t xml:space="preserve">L-3 </t>
        </is>
      </c>
      <c r="K32" s="79" t="n"/>
      <c r="L32" s="79" t="n"/>
      <c r="M32" s="79" t="n"/>
      <c r="N32" s="79" t="n"/>
      <c r="O32" s="79" t="n"/>
      <c r="P32" s="53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0"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1"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2"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4">
        <f>IF(P14&lt;1,V25,V24)</f>
        <v/>
      </c>
      <c r="E45" s="47" t="n"/>
      <c r="F45" s="47" t="n"/>
      <c r="G45" s="47" t="n"/>
      <c r="H45" s="47" t="n"/>
      <c r="I45" s="47" t="n"/>
      <c r="J45" s="47" t="n"/>
      <c r="K45" s="47" t="n"/>
      <c r="L45" s="47" t="n"/>
      <c r="M45" s="47" t="n"/>
      <c r="N45" s="47" t="n"/>
      <c r="O45" s="47" t="n"/>
      <c r="P45" s="47" t="n"/>
      <c r="Q45" s="211" t="n"/>
      <c r="R45" s="11" t="n"/>
    </row>
    <row r="46" ht="15" customHeight="1" s="227">
      <c r="A46" s="10" t="n"/>
      <c r="B46" s="615" t="n"/>
      <c r="C46" s="616" t="n"/>
      <c r="D46" s="617">
        <f>IF(P23&lt;1,V27,V26)</f>
        <v/>
      </c>
      <c r="Q46" s="212" t="n"/>
      <c r="R46" s="11" t="n"/>
    </row>
    <row r="47" ht="15" customHeight="1" s="227">
      <c r="A47" s="10" t="n"/>
      <c r="B47" s="615" t="n"/>
      <c r="C47" s="616" t="n"/>
      <c r="D47" s="617">
        <f>IF(P32&lt;1,V29,V28)</f>
        <v/>
      </c>
      <c r="Q47" s="212" t="n"/>
      <c r="R47" s="11" t="n"/>
    </row>
    <row r="48" ht="15" customHeight="1" s="227">
      <c r="A48" s="10" t="n"/>
      <c r="B48" s="615" t="n"/>
      <c r="C48" s="616" t="n"/>
      <c r="D48" s="617" t="n"/>
      <c r="Q48" s="212" t="n"/>
      <c r="R48" s="11" t="n"/>
    </row>
    <row r="49" ht="9" customHeight="1" s="227">
      <c r="A49" s="10" t="n"/>
      <c r="B49" s="618" t="n"/>
      <c r="C49" s="619"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0" t="n"/>
      <c r="D10" s="409" t="n"/>
      <c r="E10" s="409" t="n"/>
      <c r="F10" s="409" t="n"/>
      <c r="G10" s="409" t="n"/>
      <c r="H10" s="620" t="n"/>
      <c r="I10" s="620"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1"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2"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3">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49"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49"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49" t="inlineStr">
        <is>
          <t>:</t>
        </is>
      </c>
      <c r="G19" s="284">
        <f>'ANA SAYFA KESİCİ'!G17</f>
        <v/>
      </c>
      <c r="H19" s="486" t="n"/>
      <c r="I19" s="486" t="n"/>
      <c r="J19" s="277" t="inlineStr">
        <is>
          <t>Bobin Gerilimi</t>
        </is>
      </c>
      <c r="M19" s="549"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07" t="n">
        <v>80</v>
      </c>
      <c r="T21" s="607"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6" t="inlineStr">
        <is>
          <t>ms</t>
        </is>
      </c>
      <c r="F25" s="624" t="inlineStr">
        <is>
          <t>Bobin Gerilimi</t>
        </is>
      </c>
      <c r="G25" s="47" t="n"/>
      <c r="H25" s="398">
        <f>'ANA SAYFA KESİCİ'!O17</f>
        <v/>
      </c>
      <c r="I25" s="211" t="n"/>
      <c r="J25" s="374" t="inlineStr">
        <is>
          <t>A-1</t>
        </is>
      </c>
      <c r="K25" s="625">
        <f>'ANA SAYFA KESİCİ'!J61</f>
        <v/>
      </c>
      <c r="L25" s="47" t="n"/>
      <c r="M25" s="41" t="inlineStr">
        <is>
          <t>ms</t>
        </is>
      </c>
      <c r="N25" s="624"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6" t="inlineStr">
        <is>
          <t>ms</t>
        </is>
      </c>
      <c r="F26" s="49" t="n"/>
      <c r="G26" s="50" t="n"/>
      <c r="H26" s="50" t="n"/>
      <c r="I26" s="213" t="n"/>
      <c r="J26" s="374" t="inlineStr">
        <is>
          <t>B-1</t>
        </is>
      </c>
      <c r="K26" s="527">
        <f>'ANA SAYFA KESİCİ'!J63</f>
        <v/>
      </c>
      <c r="L26" s="99" t="n"/>
      <c r="M26" s="606" t="inlineStr">
        <is>
          <t>ms</t>
        </is>
      </c>
      <c r="N26" s="49" t="n"/>
      <c r="O26" s="50" t="n"/>
      <c r="P26" s="50" t="n"/>
      <c r="Q26" s="213" t="n"/>
      <c r="R26" s="11" t="n"/>
    </row>
    <row r="27" ht="15" customHeight="1" s="227">
      <c r="A27" s="33" t="n"/>
      <c r="B27" s="398" t="inlineStr">
        <is>
          <t>C-1</t>
        </is>
      </c>
      <c r="C27" s="527">
        <f>'ANA SAYFA KESİCİ'!C65:D65</f>
        <v/>
      </c>
      <c r="D27" s="99" t="n"/>
      <c r="E27" s="606" t="inlineStr">
        <is>
          <t>ms</t>
        </is>
      </c>
      <c r="F27" s="624" t="inlineStr">
        <is>
          <t>Bobin    Akımı</t>
        </is>
      </c>
      <c r="G27" s="47" t="n"/>
      <c r="H27" s="626">
        <f>'ANA SAYFA KESİCİ'!F65</f>
        <v/>
      </c>
      <c r="I27" s="410" t="inlineStr">
        <is>
          <t>A</t>
        </is>
      </c>
      <c r="J27" s="374" t="inlineStr">
        <is>
          <t>C-1</t>
        </is>
      </c>
      <c r="K27" s="527">
        <f>'ANA SAYFA KESİCİ'!J65</f>
        <v/>
      </c>
      <c r="L27" s="99" t="n"/>
      <c r="M27" s="606" t="inlineStr">
        <is>
          <t>ms</t>
        </is>
      </c>
      <c r="N27" s="624" t="inlineStr">
        <is>
          <t>Bobin    Akımı</t>
        </is>
      </c>
      <c r="O27" s="47" t="n"/>
      <c r="P27" s="626">
        <f>'ANA SAYFA KESİCİ'!M65</f>
        <v/>
      </c>
      <c r="Q27" s="410" t="inlineStr">
        <is>
          <t>A</t>
        </is>
      </c>
      <c r="R27" s="11" t="n"/>
    </row>
    <row r="28" ht="15" customHeight="1" s="227">
      <c r="A28" s="33" t="n"/>
      <c r="B28" s="627" t="inlineStr">
        <is>
          <t>Faz Uyuşmazlığı</t>
        </is>
      </c>
      <c r="C28" s="99" t="n"/>
      <c r="D28" s="99" t="n"/>
      <c r="E28" s="482" t="n"/>
      <c r="F28" s="49" t="n"/>
      <c r="G28" s="50" t="n"/>
      <c r="H28" s="50" t="n"/>
      <c r="I28" s="213" t="n"/>
      <c r="J28" s="627"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8">
        <f>'ANA SAYFA KESİCİ'!F61</f>
        <v/>
      </c>
      <c r="C29" s="99" t="n"/>
      <c r="D29" s="99" t="n"/>
      <c r="E29" s="629" t="inlineStr">
        <is>
          <t>ms</t>
        </is>
      </c>
      <c r="F29" s="630">
        <f>IF(B29&gt;5,W17,W15)</f>
        <v/>
      </c>
      <c r="G29" s="99" t="n"/>
      <c r="H29" s="99" t="n"/>
      <c r="I29" s="482" t="n"/>
      <c r="J29" s="631">
        <f>'ANA SAYFA KESİCİ'!M61</f>
        <v/>
      </c>
      <c r="K29" s="99" t="n"/>
      <c r="L29" s="99" t="n"/>
      <c r="M29" s="146" t="inlineStr">
        <is>
          <t>ms</t>
        </is>
      </c>
      <c r="N29" s="630">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6" customHeight="1" s="227">
      <c r="A39" s="33" t="n"/>
      <c r="B39" s="632" t="inlineStr">
        <is>
          <t>TEDAŞ-MLZ/95-008.A İlgili Teknik Şartnamesi Gereği</t>
        </is>
      </c>
      <c r="Q39" s="212" t="n"/>
      <c r="R39" s="11" t="n"/>
      <c r="V39" s="603" t="n"/>
      <c r="W39" s="361" t="inlineStr">
        <is>
          <t>Kesicinin Açma süreleri uygun değildir.</t>
        </is>
      </c>
    </row>
    <row r="40" ht="15" customHeight="1" s="227">
      <c r="A40" s="33" t="n"/>
      <c r="B40" s="633" t="inlineStr">
        <is>
          <t>Açma süresi: 80 milisaniyeden az</t>
        </is>
      </c>
      <c r="Q40" s="212" t="n"/>
      <c r="R40" s="11" t="n"/>
      <c r="V40" s="603" t="n"/>
      <c r="W40" s="361" t="inlineStr">
        <is>
          <t>Kesicinin Kapama süreleri ve bobin akım değerleri uygundur.</t>
        </is>
      </c>
    </row>
    <row r="41" ht="15" customHeight="1" s="227">
      <c r="A41" s="33" t="n"/>
      <c r="B41" s="633" t="inlineStr">
        <is>
          <t>Kapama süresi: 120 milisaniyeden az</t>
        </is>
      </c>
      <c r="Q41" s="212" t="n"/>
      <c r="R41" s="11" t="n"/>
      <c r="V41" s="603" t="n"/>
      <c r="W41" s="361" t="inlineStr">
        <is>
          <t>Kesicinin Kapama süreleri uygun değildir.</t>
        </is>
      </c>
    </row>
    <row r="42" ht="15" customHeight="1" s="227">
      <c r="A42" s="33" t="n"/>
      <c r="B42" s="633" t="inlineStr">
        <is>
          <t>Açma süresi faz uyuşmazlığı: 5 milisaniyeden az</t>
        </is>
      </c>
      <c r="Q42" s="212" t="n"/>
      <c r="R42" s="11" t="n"/>
      <c r="W42" s="361" t="inlineStr">
        <is>
          <t>Kesicinin Açma-Kapama Süresi Faz Uyuşmazlığı uygundur.</t>
        </is>
      </c>
    </row>
    <row r="43" ht="15" customHeight="1" s="227">
      <c r="A43" s="33" t="n"/>
      <c r="B43" s="633" t="inlineStr">
        <is>
          <t>Kapama süresi faz uyuşmazlığı: 5 milisaniyeden az</t>
        </is>
      </c>
      <c r="Q43" s="212" t="n"/>
      <c r="R43" s="11" t="n"/>
      <c r="V43" s="603"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4">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5" t="n"/>
      <c r="K51" s="139" t="n"/>
      <c r="L51" s="139" t="n"/>
      <c r="M51" s="139" t="n"/>
      <c r="N51" s="139" t="n"/>
      <c r="O51" s="139" t="n"/>
      <c r="P51" s="139" t="n"/>
      <c r="Q51" s="136" t="n"/>
      <c r="R51" s="11" t="n"/>
    </row>
    <row r="52" ht="1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 customHeight="1" s="227">
      <c r="S56" s="54" t="n"/>
    </row>
    <row r="57" ht="15" customHeight="1" s="227">
      <c r="S57" s="127" t="n"/>
    </row>
    <row r="58" ht="15" customHeight="1" s="227">
      <c r="S58" s="27" t="n"/>
    </row>
    <row r="59" ht="15" customHeight="1" s="227">
      <c r="S59" s="127" t="n"/>
    </row>
    <row r="60" ht="15" customHeight="1" s="227">
      <c r="S60" s="635"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zoomScale="82" zoomScaleNormal="82" workbookViewId="0">
      <selection activeCell="A1" sqref="A1"/>
    </sheetView>
  </sheetViews>
  <sheetFormatPr baseColWidth="8" defaultRowHeight="15"/>
  <cols>
    <col width="2.88671875" customWidth="1" style="227" min="1" max="1"/>
    <col width="5.44140625" customWidth="1" style="227" min="2" max="2"/>
    <col width="6.44140625" customWidth="1" style="227" min="17" max="17"/>
    <col width="2.88671875" customWidth="1" style="227" min="18" max="18"/>
    <col width="9.109375" customWidth="1" style="227" min="19" max="19"/>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606" t="n"/>
      <c r="R4" s="11" t="n"/>
    </row>
    <row r="5" ht="18" customHeight="1" s="227">
      <c r="A5" s="10" t="n"/>
      <c r="B5" s="514" t="inlineStr">
        <is>
          <t>Dosya Adı :</t>
        </is>
      </c>
      <c r="C5" s="99" t="n"/>
      <c r="D5" s="99" t="n"/>
      <c r="E5" s="636" t="inlineStr">
        <is>
          <t>İZOLASYON YAĞI TEST SONUÇLARI</t>
        </is>
      </c>
      <c r="F5" s="99" t="n"/>
      <c r="G5" s="99" t="n"/>
      <c r="H5" s="99" t="n"/>
      <c r="I5" s="99" t="n"/>
      <c r="J5" s="99" t="n"/>
      <c r="K5" s="482" t="n"/>
      <c r="L5" s="637" t="inlineStr">
        <is>
          <t>Güç:</t>
        </is>
      </c>
      <c r="M5" s="99" t="n"/>
      <c r="N5" s="482" t="n"/>
      <c r="O5" s="432">
        <f>'ANA SAYFA'!G13</f>
        <v/>
      </c>
      <c r="P5" s="482" t="n"/>
      <c r="Q5" s="636" t="inlineStr">
        <is>
          <t>kVA</t>
        </is>
      </c>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5" customHeight="1" s="227">
      <c r="A7" s="10" t="n"/>
      <c r="B7" s="421" t="inlineStr">
        <is>
          <t>Üretici :</t>
        </is>
      </c>
      <c r="C7" s="482" t="n"/>
      <c r="D7" s="638">
        <f>'ANA SAYFA'!G11</f>
        <v/>
      </c>
      <c r="E7" s="47" t="n"/>
      <c r="F7" s="211" t="n"/>
      <c r="G7" s="639" t="inlineStr">
        <is>
          <t>Model :</t>
        </is>
      </c>
      <c r="H7" s="482" t="n"/>
      <c r="I7" s="638">
        <f>'ANA SAYFA'!O13</f>
        <v/>
      </c>
      <c r="J7" s="47" t="n"/>
      <c r="K7" s="211" t="n"/>
      <c r="L7" s="421" t="inlineStr">
        <is>
          <t>Seri Numarası :</t>
        </is>
      </c>
      <c r="M7" s="99" t="n"/>
      <c r="N7" s="482" t="n"/>
      <c r="O7" s="374">
        <f>'ANA SAYFA'!O15</f>
        <v/>
      </c>
      <c r="P7" s="99" t="n"/>
      <c r="Q7" s="482" t="n"/>
      <c r="R7" s="11" t="n"/>
    </row>
    <row r="8" ht="15" customHeight="1" s="227">
      <c r="A8" s="10" t="n"/>
      <c r="B8" s="374" t="inlineStr">
        <is>
          <t>Yağ Markası:</t>
        </is>
      </c>
      <c r="C8" s="482" t="n"/>
      <c r="D8" s="374">
        <f>'ANA SAYFA'!G17</f>
        <v/>
      </c>
      <c r="E8" s="99" t="n"/>
      <c r="F8" s="482" t="n"/>
      <c r="G8" s="418" t="inlineStr">
        <is>
          <t>Yağ Ağırlığı:</t>
        </is>
      </c>
      <c r="H8" s="482" t="n"/>
      <c r="I8" s="374">
        <f>'ANA SAYFA'!O17</f>
        <v/>
      </c>
      <c r="J8" s="99" t="n"/>
      <c r="K8" s="482" t="n"/>
      <c r="L8" s="421" t="inlineStr">
        <is>
          <t>Gerilim Seviyesi:</t>
        </is>
      </c>
      <c r="M8" s="99" t="n"/>
      <c r="N8" s="482" t="n"/>
      <c r="O8" s="374">
        <f>'ANA SAYFA'!G15</f>
        <v/>
      </c>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8" customHeight="1" s="227">
      <c r="A10" s="10" t="n"/>
      <c r="B10" s="402" t="inlineStr">
        <is>
          <t>RAPOR TARİHİ :</t>
        </is>
      </c>
      <c r="C10" s="99" t="n"/>
      <c r="D10" s="99" t="n"/>
      <c r="E10" s="99" t="n"/>
      <c r="F10" s="99" t="n"/>
      <c r="G10" s="99" t="n"/>
      <c r="H10" s="99" t="n"/>
      <c r="I10" s="99" t="n"/>
      <c r="J10" s="499">
        <f>'ANA SAYFA'!F78</f>
        <v/>
      </c>
      <c r="K10" s="99" t="n"/>
      <c r="L10" s="99" t="n"/>
      <c r="M10" s="99" t="n"/>
      <c r="N10" s="99" t="n"/>
      <c r="O10" s="99" t="n"/>
      <c r="P10" s="99" t="n"/>
      <c r="Q10" s="482" t="n"/>
      <c r="R10" s="11" t="n"/>
    </row>
    <row r="11" ht="6.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c r="T11" t="n">
        <v>30</v>
      </c>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DİELEKTRİK DAYANIM TESTİ ( VDE0370 )</t>
        </is>
      </c>
      <c r="C14" s="99" t="n"/>
      <c r="D14" s="99" t="n"/>
      <c r="E14" s="99" t="n"/>
      <c r="F14" s="99" t="n"/>
      <c r="G14" s="99" t="n"/>
      <c r="H14" s="99" t="n"/>
      <c r="I14" s="99" t="n"/>
      <c r="J14" s="99" t="n"/>
      <c r="K14" s="99" t="n"/>
      <c r="L14" s="99" t="n"/>
      <c r="M14" s="99" t="n"/>
      <c r="N14" s="99" t="n"/>
      <c r="O14" s="99" t="n"/>
      <c r="P14" s="99" t="n"/>
      <c r="Q14" s="482" t="n"/>
      <c r="R14" s="11" t="n"/>
    </row>
    <row r="15" ht="9.75"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6.5" customHeight="1" s="227">
      <c r="A16" s="10" t="n"/>
      <c r="B16" s="523" t="inlineStr">
        <is>
          <t>DENEY 1</t>
        </is>
      </c>
      <c r="C16" s="482" t="n"/>
      <c r="D16" s="445" t="n">
        <v>60</v>
      </c>
      <c r="E16" s="482" t="n"/>
      <c r="F16" s="515" t="inlineStr">
        <is>
          <t>kV</t>
        </is>
      </c>
      <c r="G16" s="482" t="n"/>
      <c r="H16" s="317" t="n"/>
      <c r="J16" s="127" t="n"/>
      <c r="K16" s="423" t="n"/>
      <c r="M16" s="127" t="n"/>
      <c r="N16" s="240" t="n"/>
      <c r="Q16" s="304" t="n"/>
      <c r="R16" s="11" t="n"/>
    </row>
    <row r="17" ht="9.75" customHeight="1" s="227">
      <c r="A17" s="33" t="n"/>
      <c r="B17" s="640" t="n"/>
      <c r="C17" s="640" t="n"/>
      <c r="D17" s="641" t="n"/>
      <c r="E17" s="641" t="n"/>
      <c r="F17" s="607" t="n"/>
      <c r="G17" s="607" t="n"/>
      <c r="H17" s="317" t="n"/>
      <c r="I17" s="317" t="n"/>
      <c r="J17" s="127" t="n"/>
      <c r="K17" s="423" t="n"/>
      <c r="L17" s="423" t="n"/>
      <c r="M17" s="127" t="n"/>
      <c r="N17" s="240" t="n"/>
      <c r="O17" s="240" t="n"/>
      <c r="Q17" s="303" t="n"/>
      <c r="R17" s="69" t="n"/>
    </row>
    <row r="18" ht="16.5" customHeight="1" s="227">
      <c r="A18" s="33" t="n"/>
      <c r="B18" s="642" t="inlineStr">
        <is>
          <t>DENEY 2</t>
        </is>
      </c>
      <c r="C18" s="482" t="n"/>
      <c r="D18" s="445" t="n">
        <v>60</v>
      </c>
      <c r="E18" s="482" t="n"/>
      <c r="F18" s="515" t="inlineStr">
        <is>
          <t>kV</t>
        </is>
      </c>
      <c r="G18" s="482" t="n"/>
      <c r="H18" s="317" t="n"/>
      <c r="J18" s="127" t="n"/>
      <c r="K18" s="423" t="n"/>
      <c r="M18" s="127" t="n"/>
      <c r="N18" s="240" t="n"/>
      <c r="Q18" s="303" t="n"/>
      <c r="R18" s="69" t="n"/>
    </row>
    <row r="19" ht="9.75" customHeight="1" s="227">
      <c r="A19" s="33" t="n"/>
      <c r="B19" s="640" t="n"/>
      <c r="C19" s="640" t="n"/>
      <c r="D19" s="641" t="n"/>
      <c r="E19" s="641" t="n"/>
      <c r="F19" s="607" t="n"/>
      <c r="G19" s="607" t="n"/>
      <c r="H19" s="317" t="n"/>
      <c r="I19" s="317" t="n"/>
      <c r="J19" s="127" t="n"/>
      <c r="K19" s="423" t="n"/>
      <c r="L19" s="423" t="n"/>
      <c r="M19" s="127" t="n"/>
      <c r="N19" s="240" t="n"/>
      <c r="O19" s="240" t="n"/>
      <c r="Q19" s="303" t="n"/>
      <c r="R19" s="69" t="n"/>
    </row>
    <row r="20" ht="16.5" customHeight="1" s="227">
      <c r="A20" s="33" t="n"/>
      <c r="B20" s="642" t="inlineStr">
        <is>
          <t>DENEY 3</t>
        </is>
      </c>
      <c r="C20" s="482" t="n"/>
      <c r="D20" s="445" t="n">
        <v>60</v>
      </c>
      <c r="E20" s="482" t="n"/>
      <c r="F20" s="515" t="inlineStr">
        <is>
          <t>kV</t>
        </is>
      </c>
      <c r="G20" s="482" t="n"/>
      <c r="H20" s="317" t="n"/>
      <c r="J20" s="127" t="n"/>
      <c r="K20" s="423" t="n"/>
      <c r="M20" s="127" t="n"/>
      <c r="N20" s="240" t="n"/>
      <c r="Q20" s="303" t="n"/>
      <c r="R20" s="69" t="n"/>
      <c r="W20" s="131" t="n">
        <v>30</v>
      </c>
    </row>
    <row r="21" ht="9.75" customHeight="1" s="227">
      <c r="A21" s="33" t="n"/>
      <c r="B21" s="640" t="n"/>
      <c r="C21" s="640" t="n"/>
      <c r="D21" s="641" t="n"/>
      <c r="E21" s="641" t="n"/>
      <c r="F21" s="607" t="n"/>
      <c r="G21" s="607" t="n"/>
      <c r="H21" s="317" t="n"/>
      <c r="I21" s="317" t="n"/>
      <c r="J21" s="127" t="n"/>
      <c r="K21" s="423" t="n"/>
      <c r="L21" s="423" t="n"/>
      <c r="M21" s="127" t="n"/>
      <c r="N21" s="240" t="n"/>
      <c r="O21" s="240" t="n"/>
      <c r="Q21" s="303" t="n"/>
      <c r="R21" s="69" t="n"/>
    </row>
    <row r="22" ht="16.5" customHeight="1" s="227">
      <c r="A22" s="33" t="n"/>
      <c r="B22" s="642" t="inlineStr">
        <is>
          <t>DENEY 4</t>
        </is>
      </c>
      <c r="C22" s="482" t="n"/>
      <c r="D22" s="445" t="n">
        <v>60</v>
      </c>
      <c r="E22" s="482" t="n"/>
      <c r="F22" s="515" t="inlineStr">
        <is>
          <t>kV</t>
        </is>
      </c>
      <c r="G22" s="482" t="n"/>
      <c r="H22" s="317" t="n"/>
      <c r="J22" s="127" t="n"/>
      <c r="K22" s="423" t="n"/>
      <c r="M22" s="127" t="n"/>
      <c r="N22" s="240" t="n"/>
      <c r="Q22" s="303" t="n"/>
      <c r="R22" s="69" t="n"/>
    </row>
    <row r="23" ht="9.75" customHeight="1" s="227">
      <c r="A23" s="33" t="n"/>
      <c r="B23" s="640" t="n"/>
      <c r="C23" s="640" t="n"/>
      <c r="D23" s="641" t="n"/>
      <c r="E23" s="641" t="n"/>
      <c r="F23" s="607" t="n"/>
      <c r="G23" s="607" t="n"/>
      <c r="H23" s="317" t="n"/>
      <c r="I23" s="317" t="n"/>
      <c r="J23" s="127" t="n"/>
      <c r="K23" s="423" t="n"/>
      <c r="L23" s="423" t="n"/>
      <c r="M23" s="127" t="n"/>
      <c r="N23" s="240" t="n"/>
      <c r="O23" s="240" t="n"/>
      <c r="Q23" s="303" t="n"/>
      <c r="R23" s="69" t="n"/>
    </row>
    <row r="24" ht="16.5" customHeight="1" s="227">
      <c r="A24" s="33" t="n"/>
      <c r="B24" s="642" t="inlineStr">
        <is>
          <t>DENEY 5</t>
        </is>
      </c>
      <c r="C24" s="482" t="n"/>
      <c r="D24" s="445" t="n">
        <v>60</v>
      </c>
      <c r="E24" s="482" t="n"/>
      <c r="F24" s="515" t="inlineStr">
        <is>
          <t>kV</t>
        </is>
      </c>
      <c r="G24" s="482" t="n"/>
      <c r="H24" s="317" t="n"/>
      <c r="J24" s="127" t="n"/>
      <c r="K24" s="423" t="n"/>
      <c r="M24" s="127" t="n"/>
      <c r="N24" s="240" t="n"/>
      <c r="Q24" s="303" t="n"/>
      <c r="R24" s="69" t="n"/>
    </row>
    <row r="25" ht="9.75" customHeight="1" s="227">
      <c r="A25" s="33" t="n"/>
      <c r="B25" s="640" t="n"/>
      <c r="C25" s="640" t="n"/>
      <c r="D25" s="641" t="n"/>
      <c r="E25" s="641" t="n"/>
      <c r="F25" s="607" t="n"/>
      <c r="G25" s="607" t="n"/>
      <c r="H25" s="317" t="n"/>
      <c r="I25" s="317" t="n"/>
      <c r="J25" s="127" t="n"/>
      <c r="K25" s="423" t="n"/>
      <c r="L25" s="423" t="n"/>
      <c r="M25" s="127" t="n"/>
      <c r="N25" s="240" t="n"/>
      <c r="O25" s="240" t="n"/>
      <c r="Q25" s="303" t="n"/>
      <c r="R25" s="69" t="n"/>
    </row>
    <row r="26" ht="16.5" customHeight="1" s="227">
      <c r="A26" s="33" t="n"/>
      <c r="B26" s="642" t="inlineStr">
        <is>
          <t>DENEY 6</t>
        </is>
      </c>
      <c r="C26" s="482" t="n"/>
      <c r="D26" s="445" t="n">
        <v>60</v>
      </c>
      <c r="E26" s="482" t="n"/>
      <c r="F26" s="515" t="inlineStr">
        <is>
          <t>kV</t>
        </is>
      </c>
      <c r="G26" s="482" t="n"/>
      <c r="H26" s="317" t="n"/>
      <c r="J26" s="127" t="n"/>
      <c r="K26" s="423" t="n"/>
      <c r="M26" s="127" t="n"/>
      <c r="N26" s="240" t="n"/>
      <c r="Q26" s="303" t="n"/>
      <c r="R26" s="69" t="n"/>
    </row>
    <row r="27" ht="9.75" customHeight="1" s="227">
      <c r="A27" s="33" t="n"/>
      <c r="B27" s="640" t="n"/>
      <c r="C27" s="640" t="n"/>
      <c r="D27" s="607" t="n"/>
      <c r="E27" s="607" t="n"/>
      <c r="F27" s="607" t="n"/>
      <c r="G27" s="607" t="n"/>
      <c r="H27" s="317" t="n"/>
      <c r="I27" s="317" t="n"/>
      <c r="J27" s="127" t="n"/>
      <c r="K27" s="423" t="n"/>
      <c r="L27" s="423" t="n"/>
      <c r="M27" s="127" t="n"/>
      <c r="N27" s="240" t="n"/>
      <c r="O27" s="240" t="n"/>
      <c r="Q27" s="303" t="n"/>
      <c r="R27" s="69" t="n"/>
    </row>
    <row r="28" ht="16.5" customHeight="1" s="227">
      <c r="A28" s="33" t="n"/>
      <c r="B28" s="410" t="inlineStr">
        <is>
          <t>Vort</t>
        </is>
      </c>
      <c r="C28" s="482" t="n"/>
      <c r="D28" s="445">
        <f>(D16+D18+D20+D22+D24+D26)/6</f>
        <v/>
      </c>
      <c r="E28" s="482" t="n"/>
      <c r="F28" s="370" t="inlineStr">
        <is>
          <t>kV</t>
        </is>
      </c>
      <c r="G28" s="482" t="n"/>
      <c r="H28" s="30" t="n"/>
      <c r="I28" s="23" t="n"/>
      <c r="J28" s="23" t="n"/>
      <c r="K28" s="30" t="n"/>
      <c r="L28" s="30" t="n"/>
      <c r="M28" s="30" t="n"/>
      <c r="N28" s="30" t="n"/>
      <c r="O28" s="30" t="n"/>
      <c r="P28" s="30" t="n"/>
      <c r="Q28" s="317" t="n"/>
      <c r="R28" s="69" t="n"/>
    </row>
    <row r="29" ht="15" customHeight="1" s="227">
      <c r="A29" s="10" t="n"/>
      <c r="B29" s="377" t="n"/>
      <c r="C29" s="446" t="n"/>
      <c r="D29" s="641" t="n"/>
      <c r="E29" s="641" t="n"/>
      <c r="F29" s="423" t="n"/>
      <c r="G29" s="423" t="n"/>
      <c r="H29" s="30" t="n"/>
      <c r="I29" s="23" t="n"/>
      <c r="J29" s="23" t="n"/>
      <c r="K29" s="30" t="n"/>
      <c r="L29" s="30" t="n"/>
      <c r="M29" s="30" t="n"/>
      <c r="N29" s="30" t="n"/>
      <c r="O29" s="30" t="n"/>
      <c r="P29" s="30" t="n"/>
      <c r="Q29" s="117" t="n"/>
      <c r="R29" s="11" t="n"/>
    </row>
    <row r="30" ht="15" customHeight="1" s="227">
      <c r="A30" s="10" t="n"/>
      <c r="B30" s="643" t="inlineStr">
        <is>
          <t>Testin Adı</t>
        </is>
      </c>
      <c r="C30" s="644" t="n"/>
      <c r="D30" s="645" t="n"/>
      <c r="E30" s="646" t="inlineStr">
        <is>
          <t>Değer</t>
        </is>
      </c>
      <c r="F30" s="644" t="n"/>
      <c r="G30" s="645" t="n"/>
      <c r="H30" s="647" t="inlineStr">
        <is>
          <t>Birim</t>
        </is>
      </c>
      <c r="I30" s="644" t="n"/>
      <c r="J30" s="645" t="n"/>
      <c r="K30" s="647" t="inlineStr">
        <is>
          <t>Standardı</t>
        </is>
      </c>
      <c r="L30" s="644" t="n"/>
      <c r="M30" s="645" t="n"/>
      <c r="N30" s="648" t="inlineStr">
        <is>
          <t>Sınır Değerler</t>
        </is>
      </c>
      <c r="O30" s="644" t="n"/>
      <c r="P30" s="644" t="n"/>
      <c r="Q30" s="649" t="n"/>
      <c r="R30" s="11" t="n"/>
    </row>
    <row r="31" ht="6" customHeight="1" s="227">
      <c r="A31" s="10" t="n"/>
      <c r="B31" s="528" t="n"/>
      <c r="C31" s="240" t="n"/>
      <c r="D31" s="240" t="n"/>
      <c r="E31" s="650" t="n"/>
      <c r="F31" s="650" t="n"/>
      <c r="G31" s="650" t="n"/>
      <c r="H31" s="651" t="n"/>
      <c r="I31" s="651" t="n"/>
      <c r="J31" s="651" t="n"/>
      <c r="K31" s="651" t="n"/>
      <c r="L31" s="651" t="n"/>
      <c r="M31" s="651" t="n"/>
      <c r="N31" s="651" t="n"/>
      <c r="O31" s="651" t="n"/>
      <c r="P31" s="651" t="n"/>
      <c r="Q31" s="652" t="n"/>
      <c r="R31" s="11" t="n"/>
    </row>
    <row r="32" ht="15" customHeight="1" s="227">
      <c r="A32" s="10" t="n"/>
      <c r="B32" s="422" t="inlineStr">
        <is>
          <t>Asidite</t>
        </is>
      </c>
      <c r="C32" s="99" t="n"/>
      <c r="D32" s="482" t="n"/>
      <c r="E32" s="370" t="n">
        <v>0.094</v>
      </c>
      <c r="F32" s="99" t="n"/>
      <c r="G32" s="482" t="n"/>
      <c r="H32" s="370" t="inlineStr">
        <is>
          <t>mgKOH/g</t>
        </is>
      </c>
      <c r="I32" s="99" t="n"/>
      <c r="J32" s="482" t="n"/>
      <c r="K32" s="370" t="inlineStr">
        <is>
          <t>ASTMD664</t>
        </is>
      </c>
      <c r="L32" s="99" t="n"/>
      <c r="M32" s="482" t="n"/>
      <c r="N32" s="653" t="inlineStr">
        <is>
          <t>max 0,300 mgKOH/g</t>
        </is>
      </c>
      <c r="O32" s="99" t="n"/>
      <c r="P32" s="99" t="n"/>
      <c r="Q32" s="482" t="n"/>
      <c r="R32" s="11" t="n"/>
    </row>
    <row r="33" ht="6" customHeight="1" s="227">
      <c r="A33" s="10" t="n"/>
      <c r="B33" s="377" t="n"/>
      <c r="C33" s="446" t="n"/>
      <c r="D33" s="446" t="n"/>
      <c r="E33" s="423" t="n"/>
      <c r="F33" s="423" t="n"/>
      <c r="G33" s="423" t="n"/>
      <c r="H33" s="423" t="n"/>
      <c r="I33" s="423" t="n"/>
      <c r="J33" s="423" t="n"/>
      <c r="K33" s="423" t="n"/>
      <c r="L33" s="423" t="n"/>
      <c r="M33" s="423" t="n"/>
      <c r="N33" s="654" t="n"/>
      <c r="O33" s="654" t="n"/>
      <c r="P33" s="654" t="n"/>
      <c r="Q33" s="655" t="n"/>
      <c r="R33" s="11" t="n"/>
    </row>
    <row r="34" ht="15" customHeight="1" s="227">
      <c r="A34" s="10" t="n"/>
      <c r="B34" s="656" t="inlineStr">
        <is>
          <t>Yoğunluk</t>
        </is>
      </c>
      <c r="C34" s="99" t="n"/>
      <c r="D34" s="482" t="n"/>
      <c r="E34" s="657" t="n">
        <v>0.886</v>
      </c>
      <c r="F34" s="99" t="n"/>
      <c r="G34" s="482" t="n"/>
      <c r="H34" s="504" t="inlineStr">
        <is>
          <t>g/cm3</t>
        </is>
      </c>
      <c r="I34" s="99" t="n"/>
      <c r="J34" s="482" t="n"/>
      <c r="K34" s="370" t="inlineStr">
        <is>
          <t>ASTMD1298</t>
        </is>
      </c>
      <c r="L34" s="99" t="n"/>
      <c r="M34" s="482" t="n"/>
      <c r="N34" s="653" t="inlineStr">
        <is>
          <t>0,800-0,950 g/cm3</t>
        </is>
      </c>
      <c r="O34" s="99" t="n"/>
      <c r="P34" s="99" t="n"/>
      <c r="Q34" s="482" t="n"/>
      <c r="R34" s="11" t="n"/>
    </row>
    <row r="35" ht="6" customHeight="1" s="227">
      <c r="A35" s="10" t="n"/>
      <c r="B35" s="658" t="n"/>
      <c r="C35" s="598" t="n"/>
      <c r="D35" s="598" t="n"/>
      <c r="E35" s="423" t="n"/>
      <c r="F35" s="423" t="n"/>
      <c r="G35" s="423" t="n"/>
      <c r="H35" s="423" t="n"/>
      <c r="I35" s="423" t="n"/>
      <c r="J35" s="423" t="n"/>
      <c r="K35" s="423" t="n"/>
      <c r="L35" s="423" t="n"/>
      <c r="M35" s="423" t="n"/>
      <c r="N35" s="654" t="n"/>
      <c r="O35" s="654" t="n"/>
      <c r="P35" s="654" t="n"/>
      <c r="Q35" s="655" t="n"/>
      <c r="R35" s="11" t="n"/>
    </row>
    <row r="36" ht="15" customHeight="1" s="227">
      <c r="A36" s="10" t="n"/>
      <c r="B36" s="422" t="inlineStr">
        <is>
          <t>Çözünmüş Su</t>
        </is>
      </c>
      <c r="C36" s="99" t="n"/>
      <c r="D36" s="482" t="n"/>
      <c r="E36" s="370" t="n">
        <v>10.5</v>
      </c>
      <c r="F36" s="99" t="n"/>
      <c r="G36" s="482" t="n"/>
      <c r="H36" s="370" t="inlineStr">
        <is>
          <t>ppm</t>
        </is>
      </c>
      <c r="I36" s="99" t="n"/>
      <c r="J36" s="482" t="n"/>
      <c r="K36" s="370" t="inlineStr">
        <is>
          <t>ASTMD1533</t>
        </is>
      </c>
      <c r="L36" s="99" t="n"/>
      <c r="M36" s="482" t="n"/>
      <c r="N36" s="653" t="inlineStr">
        <is>
          <t>max 30 ppm</t>
        </is>
      </c>
      <c r="O36" s="99" t="n"/>
      <c r="P36" s="99" t="n"/>
      <c r="Q36" s="482" t="n"/>
      <c r="R36" s="11" t="n"/>
      <c r="Z36" s="231" t="n"/>
    </row>
    <row r="37" ht="6" customHeight="1" s="227">
      <c r="A37" s="10" t="n"/>
      <c r="B37" s="377" t="n"/>
      <c r="C37" s="446" t="n"/>
      <c r="D37" s="446" t="n"/>
      <c r="E37" s="423" t="n"/>
      <c r="F37" s="423" t="n"/>
      <c r="G37" s="423" t="n"/>
      <c r="H37" s="423" t="n"/>
      <c r="I37" s="423" t="n"/>
      <c r="J37" s="423" t="n"/>
      <c r="K37" s="423" t="n"/>
      <c r="L37" s="423" t="n"/>
      <c r="M37" s="423" t="n"/>
      <c r="N37" s="423" t="n"/>
      <c r="O37" s="423" t="n"/>
      <c r="P37" s="423" t="n"/>
      <c r="Q37" s="659" t="n"/>
      <c r="R37" s="11" t="n"/>
    </row>
    <row r="38" ht="15" customHeight="1" s="227">
      <c r="A38" s="10" t="n"/>
      <c r="B38" s="656" t="inlineStr">
        <is>
          <t>Görünüş</t>
        </is>
      </c>
      <c r="C38" s="99" t="n"/>
      <c r="D38" s="482" t="n"/>
      <c r="E38" s="660" t="inlineStr">
        <is>
          <t>AÇIK SARI</t>
        </is>
      </c>
      <c r="F38" s="99" t="n"/>
      <c r="G38" s="99" t="n"/>
      <c r="H38" s="99" t="n"/>
      <c r="I38" s="99" t="n"/>
      <c r="J38" s="99" t="n"/>
      <c r="K38" s="99" t="n"/>
      <c r="L38" s="99" t="n"/>
      <c r="M38" s="99" t="n"/>
      <c r="N38" s="99" t="n"/>
      <c r="O38" s="99" t="n"/>
      <c r="P38" s="99" t="n"/>
      <c r="Q38" s="482" t="n"/>
      <c r="R38" s="11" t="n"/>
    </row>
    <row r="39" ht="15.6" customHeight="1" s="227">
      <c r="A39" s="10" t="n"/>
      <c r="B39" s="661" t="inlineStr">
        <is>
          <t>KULLANILAN CİHAZLARA AİT BİLGİLER</t>
        </is>
      </c>
      <c r="Q39" s="212" t="n"/>
      <c r="R39" s="11" t="n"/>
    </row>
    <row r="40" ht="15" customHeight="1" s="227">
      <c r="A40" s="10" t="n"/>
      <c r="B40" s="3" t="n"/>
      <c r="C40" s="317" t="inlineStr">
        <is>
          <t>SA-60 DİELEKTRİK DAYANIM TEST CİHAZI</t>
        </is>
      </c>
      <c r="Q40" s="143" t="n"/>
      <c r="R40" s="11" t="n"/>
    </row>
    <row r="41" ht="15" customHeight="1" s="227">
      <c r="A41" s="10" t="n"/>
      <c r="B41" s="53" t="n"/>
      <c r="C41" s="613" t="inlineStr">
        <is>
          <t>SERİ NO: 97142  KAL. NO: 537602 / TARİH: 27.05.2025</t>
        </is>
      </c>
      <c r="Q41" s="55" t="n"/>
      <c r="R41" s="11" t="n"/>
    </row>
    <row r="42" ht="15" customHeight="1" s="227">
      <c r="A42" s="10" t="n"/>
      <c r="B42" s="3" t="n"/>
      <c r="C42" s="317" t="inlineStr">
        <is>
          <t>MEZÜR</t>
        </is>
      </c>
      <c r="Q42" s="143" t="n"/>
      <c r="R42" s="11" t="n"/>
    </row>
    <row r="43" ht="15" customHeight="1" s="227">
      <c r="A43" s="10" t="n"/>
      <c r="B43" s="528" t="n"/>
      <c r="C43" s="317" t="inlineStr">
        <is>
          <t>KAL. NO: 389202 / TARİH: 16.04.2025</t>
        </is>
      </c>
      <c r="Q43" s="143" t="n"/>
      <c r="R43" s="11" t="n"/>
    </row>
    <row r="44" ht="15" customHeight="1" s="227">
      <c r="A44" s="10" t="n"/>
      <c r="B44" s="528" t="n"/>
      <c r="C44" s="317" t="inlineStr">
        <is>
          <t>DENSİMETRE</t>
        </is>
      </c>
      <c r="Q44" s="117" t="n"/>
      <c r="R44" s="11" t="n"/>
    </row>
    <row r="45" ht="15" customHeight="1" s="227">
      <c r="A45" s="10" t="n"/>
      <c r="B45" s="528" t="n"/>
      <c r="C45" s="317" t="inlineStr">
        <is>
          <t>KAL.NO: 389201 / TARİH:  17.04.2025</t>
        </is>
      </c>
      <c r="Q45" s="117" t="n"/>
      <c r="R45" s="11" t="n"/>
    </row>
    <row r="46" ht="15" customHeight="1" s="227">
      <c r="A46" s="10" t="n"/>
      <c r="B46" s="310" t="n"/>
      <c r="C46" s="662" t="inlineStr">
        <is>
          <t>COU-LO AQUAMAX KF Moisture Meter</t>
        </is>
      </c>
      <c r="D46" s="50" t="n"/>
      <c r="E46" s="50" t="n"/>
      <c r="F46" s="50" t="n"/>
      <c r="G46" s="50" t="n"/>
      <c r="H46" s="50" t="n"/>
      <c r="I46" s="50" t="n"/>
      <c r="J46" s="50" t="n"/>
      <c r="K46" s="50" t="n"/>
      <c r="L46" s="50" t="n"/>
      <c r="M46" s="50" t="n"/>
      <c r="N46" s="50" t="n"/>
      <c r="O46" s="50" t="n"/>
      <c r="P46" s="50" t="n"/>
      <c r="Q46" s="312" t="n"/>
      <c r="R46" s="11" t="n"/>
    </row>
    <row r="47" ht="15.75" customHeight="1" s="227">
      <c r="A47" s="10" t="n"/>
      <c r="B47" s="663" t="inlineStr">
        <is>
          <t>Sonuç : Yapılan ölçümler sonucu izolasyon yağının test değerleri uygun bulunmuştur.</t>
        </is>
      </c>
      <c r="C47" s="47" t="n"/>
      <c r="D47" s="47" t="n"/>
      <c r="E47" s="47" t="n"/>
      <c r="F47" s="47" t="n"/>
      <c r="G47" s="47" t="n"/>
      <c r="H47" s="47" t="n"/>
      <c r="I47" s="47" t="n"/>
      <c r="J47" s="47" t="n"/>
      <c r="K47" s="47" t="n"/>
      <c r="L47" s="47" t="n"/>
      <c r="M47" s="47" t="n"/>
      <c r="N47" s="47" t="n"/>
      <c r="O47" s="47" t="n"/>
      <c r="P47" s="47" t="n"/>
      <c r="Q47" s="211" t="n"/>
      <c r="R47" s="11" t="n"/>
    </row>
    <row r="48" ht="15" customHeight="1" s="227">
      <c r="A48" s="10" t="n"/>
      <c r="B48" s="62" t="n"/>
      <c r="Q48" s="212" t="n"/>
      <c r="R48" s="11" t="n"/>
    </row>
    <row r="49" ht="15" customHeight="1" s="227">
      <c r="A49" s="10" t="n"/>
      <c r="B49" s="62" t="n"/>
      <c r="Q49" s="212" t="n"/>
      <c r="R49" s="11" t="n"/>
    </row>
    <row r="50" ht="15" customHeight="1" s="227">
      <c r="A50" s="10" t="n"/>
      <c r="B50" s="62" t="n"/>
      <c r="Q50" s="212" t="n"/>
      <c r="R50" s="11" t="n"/>
    </row>
    <row r="51" ht="15" customHeight="1" s="227">
      <c r="A51" s="10" t="n"/>
      <c r="B51" s="181" t="inlineStr">
        <is>
          <t>Not:</t>
        </is>
      </c>
      <c r="C51" s="664" t="inlineStr">
        <is>
          <t>Yağ örneği firmamız çalışanları tarafından alınmıştır.</t>
        </is>
      </c>
      <c r="D51" s="50" t="n"/>
      <c r="E51" s="50" t="n"/>
      <c r="F51" s="50" t="n"/>
      <c r="G51" s="50" t="n"/>
      <c r="H51" s="50" t="n"/>
      <c r="I51" s="50" t="n"/>
      <c r="J51" s="50" t="n"/>
      <c r="K51" s="50" t="n"/>
      <c r="L51" s="50" t="n"/>
      <c r="M51" s="50" t="n"/>
      <c r="N51" s="50" t="n"/>
      <c r="O51" s="50" t="n"/>
      <c r="P51" s="50" t="n"/>
      <c r="Q51" s="213" t="n"/>
      <c r="R51" s="11" t="n"/>
    </row>
    <row r="52" ht="22.5" customHeight="1" s="227">
      <c r="A52" s="10" t="n"/>
      <c r="B52" s="365" t="inlineStr">
        <is>
          <t>UNVAN</t>
        </is>
      </c>
      <c r="C52" s="47" t="n"/>
      <c r="D52" s="47" t="n"/>
      <c r="E52" s="531" t="inlineStr">
        <is>
          <t>:</t>
        </is>
      </c>
      <c r="F52" s="368">
        <f>'ANA SAYFA'!F80:J80</f>
        <v/>
      </c>
      <c r="G52" s="47" t="n"/>
      <c r="H52" s="47" t="n"/>
      <c r="I52" s="211" t="n"/>
      <c r="J52" s="485" t="inlineStr">
        <is>
          <t>ONAYLAYAN</t>
        </is>
      </c>
      <c r="K52" s="99" t="n"/>
      <c r="L52" s="99" t="n"/>
      <c r="M52" s="99" t="n"/>
      <c r="N52" s="99" t="n"/>
      <c r="O52" s="99" t="n"/>
      <c r="P52" s="99" t="n"/>
      <c r="Q52" s="482" t="n"/>
      <c r="R52" s="11" t="n"/>
    </row>
    <row r="53" ht="22.5" customHeight="1" s="227">
      <c r="A53" s="10" t="n"/>
      <c r="B53" s="365" t="inlineStr">
        <is>
          <t>TEST TARİHİ</t>
        </is>
      </c>
      <c r="C53" s="47" t="n"/>
      <c r="D53" s="47" t="n"/>
      <c r="E53" s="531" t="inlineStr">
        <is>
          <t>:</t>
        </is>
      </c>
      <c r="F53" s="533">
        <f>'ANA SAYFA'!F79:J79+1</f>
        <v/>
      </c>
      <c r="G53" s="47" t="n"/>
      <c r="H53" s="47" t="n"/>
      <c r="I53" s="211" t="n"/>
      <c r="J53" s="53" t="n"/>
      <c r="K53" s="54" t="n"/>
      <c r="L53" s="134" t="n"/>
      <c r="M53" s="134" t="n"/>
      <c r="N53" s="134" t="n"/>
      <c r="O53" s="134" t="n"/>
      <c r="P53" s="134" t="n"/>
      <c r="Q53" s="135" t="n"/>
      <c r="R53" s="11" t="n"/>
    </row>
    <row r="54" ht="22.5" customHeight="1" s="227">
      <c r="A54" s="10" t="n"/>
      <c r="B54" s="355" t="inlineStr">
        <is>
          <t>ODA SİCİL NO</t>
        </is>
      </c>
      <c r="C54" s="99" t="n"/>
      <c r="D54" s="99" t="n"/>
      <c r="E54" s="366" t="inlineStr">
        <is>
          <t>:</t>
        </is>
      </c>
      <c r="F54" s="534">
        <f>'ANA SAYFA'!F81:J81</f>
        <v/>
      </c>
      <c r="G54" s="47" t="n"/>
      <c r="H54" s="47" t="n"/>
      <c r="I54" s="211" t="n"/>
      <c r="J54" s="53" t="n"/>
      <c r="K54" s="54" t="n"/>
      <c r="L54" s="134" t="n"/>
      <c r="M54" s="134" t="n"/>
      <c r="N54" s="134" t="n"/>
      <c r="O54" s="134" t="n"/>
      <c r="P54" s="134" t="n"/>
      <c r="Q54" s="135" t="n"/>
      <c r="R54" s="11" t="n"/>
    </row>
    <row r="55" ht="22.5" customHeight="1" s="227">
      <c r="A55" s="10" t="n"/>
      <c r="B55" s="355" t="inlineStr">
        <is>
          <t>EKİPNET NO</t>
        </is>
      </c>
      <c r="C55" s="99" t="n"/>
      <c r="D55" s="99" t="n"/>
      <c r="E55" s="356" t="inlineStr">
        <is>
          <t>:</t>
        </is>
      </c>
      <c r="F55" s="383">
        <f>'ANA SAYFA'!F82:J82</f>
        <v/>
      </c>
      <c r="G55" s="99" t="n"/>
      <c r="H55" s="99" t="n"/>
      <c r="I55" s="482" t="n"/>
      <c r="J55" s="535" t="n"/>
      <c r="K55" s="139" t="n"/>
      <c r="L55" s="139" t="n"/>
      <c r="M55" s="139" t="n"/>
      <c r="N55" s="139" t="n"/>
      <c r="O55" s="139" t="n"/>
      <c r="P55" s="139" t="n"/>
      <c r="Q55" s="136" t="n"/>
      <c r="R55" s="11" t="n"/>
    </row>
    <row r="56" ht="12" customHeight="1" s="227">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C45:P45"/>
    <mergeCell ref="N22:O22"/>
    <mergeCell ref="B34:D34"/>
    <mergeCell ref="K26:L26"/>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65" t="inlineStr">
        <is>
          <t>FİRMA YETKİLİLERİNİN DİKKATİNE</t>
        </is>
      </c>
      <c r="Q8" s="212" t="n"/>
      <c r="R8" s="11" t="n"/>
    </row>
    <row r="9" ht="6.75" customHeight="1" s="227">
      <c r="A9" s="10" t="n"/>
      <c r="B9" s="62" t="n"/>
      <c r="Q9" s="212" t="n"/>
      <c r="R9" s="11" t="n"/>
    </row>
    <row r="10" ht="18.75" customHeight="1" s="227">
      <c r="A10" s="10" t="n"/>
      <c r="B10" s="666"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2026-08-20T07:35:36Z</dcterms:modified>
</cp:coreProperties>
</file>