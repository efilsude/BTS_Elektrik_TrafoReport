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BuÇalışmaKitabı" defaultThemeVersion="124226"/>
  <bookViews>
    <workbookView xWindow="-120" yWindow="-120" windowWidth="29040" windowHeight="15840" tabRatio="851" activeTab="6"/>
  </bookViews>
  <sheets>
    <sheet name="KAPAK SAYFASI" sheetId="65" r:id="rId1"/>
    <sheet name="ANA SAYFA" sheetId="48" r:id="rId2"/>
    <sheet name="OG SARGI MEVCUT KADEME" sheetId="7" r:id="rId3"/>
    <sheet name="AG SARGI" sheetId="15" r:id="rId4"/>
    <sheet name="İZOLASYON " sheetId="17" r:id="rId5"/>
    <sheet name="Ç.O 34500" sheetId="36" r:id="rId6"/>
    <sheet name="HERMETİK YAĞ DİLEKÇESİ" sheetId="66" r:id="rId7"/>
  </sheets>
  <definedNames>
    <definedName name="_xlnm.Print_Area" localSheetId="3">'AG SARGI'!$A$1:$R$49</definedName>
    <definedName name="_xlnm.Print_Area" localSheetId="1">'ANA SAYFA'!$A$1:$T$83</definedName>
    <definedName name="_xlnm.Print_Area" localSheetId="5">'Ç.O 34500'!$A$1:$R$54</definedName>
    <definedName name="_xlnm.Print_Area" localSheetId="6">'HERMETİK YAĞ DİLEKÇESİ'!$A$1:$R$56</definedName>
    <definedName name="_xlnm.Print_Area" localSheetId="4">'İZOLASYON '!$A$1:$R$54</definedName>
    <definedName name="_xlnm.Print_Area" localSheetId="2">'OG SARGI MEVCUT KADEME'!$A$1:$R$49</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9" i="36" l="1"/>
  <c r="J9" i="17"/>
  <c r="J9" i="15"/>
  <c r="J9" i="7"/>
  <c r="F80" i="48"/>
  <c r="F54" i="66"/>
  <c r="F47" i="15"/>
  <c r="F47" i="7"/>
  <c r="D53" i="65"/>
  <c r="F79" i="48" s="1"/>
  <c r="D54" i="65"/>
  <c r="F52" i="36" l="1"/>
  <c r="F52" i="17"/>
  <c r="K5" i="48"/>
  <c r="J3" i="66" l="1"/>
  <c r="J2" i="66"/>
  <c r="T15" i="36" l="1"/>
  <c r="K2" i="48" l="1"/>
  <c r="P13" i="17" l="1"/>
  <c r="X43" i="17" s="1"/>
  <c r="X42" i="17" l="1"/>
  <c r="V38" i="17" s="1"/>
  <c r="C26" i="15" l="1"/>
  <c r="E26" i="15" s="1"/>
  <c r="C25" i="15"/>
  <c r="E25" i="15" s="1"/>
  <c r="C24" i="15"/>
  <c r="E24" i="15" s="1"/>
  <c r="C26" i="7"/>
  <c r="E26" i="7" s="1"/>
  <c r="C25" i="7"/>
  <c r="E25" i="7" s="1"/>
  <c r="C24" i="7"/>
  <c r="E24" i="7" s="1"/>
  <c r="K24" i="7" l="1"/>
  <c r="G24" i="7" s="1"/>
  <c r="V13" i="15" l="1"/>
  <c r="V14" i="15" s="1"/>
  <c r="V13" i="7"/>
  <c r="V14" i="7" s="1"/>
  <c r="F28" i="17" l="1"/>
  <c r="L28" i="17" s="1"/>
  <c r="F23" i="17"/>
  <c r="L23" i="17" s="1"/>
  <c r="F18" i="17"/>
  <c r="L18" i="17" s="1"/>
  <c r="D41" i="17" s="1"/>
  <c r="P23" i="17" l="1"/>
  <c r="Z12" i="17"/>
  <c r="AA12" i="17"/>
  <c r="P28" i="17"/>
  <c r="P18" i="17"/>
  <c r="Y12" i="17"/>
  <c r="AA9" i="17"/>
  <c r="Z9" i="17"/>
  <c r="Y9" i="17"/>
  <c r="J3" i="36" l="1"/>
  <c r="J2" i="36"/>
  <c r="J3" i="17"/>
  <c r="J2" i="17"/>
  <c r="J3" i="15"/>
  <c r="J2" i="15"/>
  <c r="J3" i="7"/>
  <c r="J2" i="7"/>
  <c r="D18" i="17" l="1"/>
  <c r="J18" i="17" s="1"/>
  <c r="Y11" i="17" s="1"/>
  <c r="B28" i="17"/>
  <c r="H28" i="17" s="1"/>
  <c r="D28" i="17"/>
  <c r="J28" i="17" s="1"/>
  <c r="AA11" i="17" s="1"/>
  <c r="B23" i="17"/>
  <c r="H23" i="17" s="1"/>
  <c r="D23" i="17"/>
  <c r="J23" i="17" s="1"/>
  <c r="Z11" i="17" s="1"/>
  <c r="Z10" i="17" l="1"/>
  <c r="N23" i="17"/>
  <c r="AA10" i="17"/>
  <c r="N28" i="17"/>
  <c r="K15" i="36"/>
  <c r="F18" i="36"/>
  <c r="Q70" i="48" l="1"/>
  <c r="Q68" i="48"/>
  <c r="Q66" i="48"/>
  <c r="D11" i="15" l="1"/>
  <c r="AL57" i="48" l="1"/>
  <c r="AI57" i="48"/>
  <c r="AF57" i="48"/>
  <c r="M28" i="36" l="1"/>
  <c r="M27" i="36"/>
  <c r="M26" i="36"/>
  <c r="AL48" i="48"/>
  <c r="AB66" i="48" s="1"/>
  <c r="AI48" i="48"/>
  <c r="AF48" i="48"/>
  <c r="AL66" i="48"/>
  <c r="AI66" i="48"/>
  <c r="AF66" i="48"/>
  <c r="B18" i="17"/>
  <c r="H18" i="17" s="1"/>
  <c r="F18" i="15"/>
  <c r="O15" i="7"/>
  <c r="K26" i="15"/>
  <c r="G26" i="15" s="1"/>
  <c r="K25" i="15"/>
  <c r="G25" i="15" s="1"/>
  <c r="K24" i="15"/>
  <c r="G24" i="15" s="1"/>
  <c r="F18" i="7"/>
  <c r="O7" i="7"/>
  <c r="I7" i="7"/>
  <c r="D7" i="7"/>
  <c r="Y10" i="17" l="1"/>
  <c r="N18" i="17"/>
  <c r="V33" i="15"/>
  <c r="U33" i="15"/>
  <c r="U32" i="15"/>
  <c r="T33" i="15"/>
  <c r="T32" i="15"/>
  <c r="V32" i="15"/>
  <c r="U23" i="15" s="1"/>
  <c r="D11" i="17"/>
  <c r="D11" i="36"/>
  <c r="V66" i="48"/>
  <c r="V57" i="48" s="1"/>
  <c r="Y66" i="48"/>
  <c r="Y57" i="48" s="1"/>
  <c r="AB57" i="48"/>
  <c r="K26" i="7"/>
  <c r="G26" i="7" s="1"/>
  <c r="K25" i="7"/>
  <c r="G25" i="7" s="1"/>
  <c r="O25" i="15" l="1"/>
  <c r="Q25" i="15" s="1"/>
  <c r="O26" i="15"/>
  <c r="Q26" i="15" s="1"/>
  <c r="V33" i="7"/>
  <c r="U33" i="7"/>
  <c r="U32" i="7"/>
  <c r="V32" i="7"/>
  <c r="T33" i="7"/>
  <c r="T32" i="7"/>
  <c r="O24" i="15"/>
  <c r="Q24" i="15" s="1"/>
  <c r="U21" i="15"/>
  <c r="U22" i="15"/>
  <c r="Y48" i="48"/>
  <c r="V48" i="48"/>
  <c r="AB48" i="48"/>
  <c r="F20" i="7"/>
  <c r="U22" i="7" l="1"/>
  <c r="O25" i="7" s="1"/>
  <c r="Q25" i="7" s="1"/>
  <c r="U21" i="7"/>
  <c r="O24" i="7" s="1"/>
  <c r="Q24" i="7" s="1"/>
  <c r="U23" i="7"/>
  <c r="O26" i="7" s="1"/>
  <c r="Q26" i="7" s="1"/>
  <c r="G28" i="36"/>
  <c r="G27" i="36"/>
  <c r="G26" i="36"/>
  <c r="F20" i="36" l="1"/>
  <c r="O27" i="36" s="1"/>
  <c r="O7" i="36"/>
  <c r="I7" i="36"/>
  <c r="D7" i="36"/>
  <c r="D46" i="36" l="1"/>
  <c r="V16" i="36"/>
  <c r="O28" i="36"/>
  <c r="O26" i="36"/>
  <c r="D44" i="36" l="1"/>
  <c r="V15" i="36"/>
  <c r="D48" i="36"/>
  <c r="V17" i="36"/>
  <c r="D7" i="15" l="1"/>
  <c r="M24" i="7" l="1"/>
  <c r="M25" i="7" l="1"/>
  <c r="M26" i="7"/>
  <c r="F20" i="15"/>
  <c r="M24" i="15" l="1"/>
  <c r="O7" i="15" l="1"/>
  <c r="I7" i="15"/>
  <c r="O7" i="17"/>
  <c r="I7" i="17"/>
  <c r="D7" i="17"/>
  <c r="M25" i="15" l="1"/>
  <c r="M26" i="15"/>
</calcChain>
</file>

<file path=xl/sharedStrings.xml><?xml version="1.0" encoding="utf-8"?>
<sst xmlns="http://schemas.openxmlformats.org/spreadsheetml/2006/main" count="482" uniqueCount="206">
  <si>
    <t>Üretici :</t>
  </si>
  <si>
    <t>Model :</t>
  </si>
  <si>
    <t>OTURUM TARİHİ :</t>
  </si>
  <si>
    <t>Operatör :</t>
  </si>
  <si>
    <t>Cihaz :</t>
  </si>
  <si>
    <t>STS 5000</t>
  </si>
  <si>
    <t>Cihaz S/N :</t>
  </si>
  <si>
    <t>19B20</t>
  </si>
  <si>
    <t>Sonuçlar</t>
  </si>
  <si>
    <t>PT Sargı Otomatik</t>
  </si>
  <si>
    <t>Nominal Direnç</t>
  </si>
  <si>
    <t>Hayır</t>
  </si>
  <si>
    <t>Vektör Grubu</t>
  </si>
  <si>
    <t>Nominal Değerler</t>
  </si>
  <si>
    <t>Çıkış Kademesi</t>
  </si>
  <si>
    <t>DC 400A</t>
  </si>
  <si>
    <t>3-faz</t>
  </si>
  <si>
    <t>Seri Numarası :</t>
  </si>
  <si>
    <t xml:space="preserve">  ŞALT SAHASI          </t>
  </si>
  <si>
    <t xml:space="preserve">  LOKASYON</t>
  </si>
  <si>
    <t>:</t>
  </si>
  <si>
    <t>A</t>
  </si>
  <si>
    <t>B</t>
  </si>
  <si>
    <t>C</t>
  </si>
  <si>
    <t>I Testi [A]</t>
  </si>
  <si>
    <t>I DC [A]</t>
  </si>
  <si>
    <t>V DC [V]</t>
  </si>
  <si>
    <t>Zaman [S]</t>
  </si>
  <si>
    <t>R.ölç[Ω]</t>
  </si>
  <si>
    <t>R. Nom</t>
  </si>
  <si>
    <t>Ω</t>
  </si>
  <si>
    <t>Sonuç :</t>
  </si>
  <si>
    <t>A.G. TANK İZOLASYON</t>
  </si>
  <si>
    <t>30 sn</t>
  </si>
  <si>
    <t>45 sn</t>
  </si>
  <si>
    <t>60 sn</t>
  </si>
  <si>
    <t>DAR</t>
  </si>
  <si>
    <t>Sonuç</t>
  </si>
  <si>
    <t>GΩ</t>
  </si>
  <si>
    <t>UYGUN</t>
  </si>
  <si>
    <t>O.G. TANK İZOLASYON</t>
  </si>
  <si>
    <t>O.G. A.G. İZOLASYON</t>
  </si>
  <si>
    <t>PT Her Bir Kademe Oran</t>
  </si>
  <si>
    <t>Kademe #1</t>
  </si>
  <si>
    <t>Test Değerleri</t>
  </si>
  <si>
    <t>Gerilim</t>
  </si>
  <si>
    <t>Frekans</t>
  </si>
  <si>
    <t>50, Hz</t>
  </si>
  <si>
    <t>HV Kademeler</t>
  </si>
  <si>
    <t>LV Ratings</t>
  </si>
  <si>
    <t>Çevirme Oranı</t>
  </si>
  <si>
    <t>Vn HV [V]</t>
  </si>
  <si>
    <t>V LV[V]</t>
  </si>
  <si>
    <t>Ratio</t>
  </si>
  <si>
    <t>Err %</t>
  </si>
  <si>
    <t>ᶲV LV [°]</t>
  </si>
  <si>
    <t>V</t>
  </si>
  <si>
    <t>V HV[V]</t>
  </si>
  <si>
    <r>
      <t>I HV[A</t>
    </r>
    <r>
      <rPr>
        <b/>
        <sz val="11"/>
        <color theme="1"/>
        <rFont val="Calibri"/>
        <family val="2"/>
      </rPr>
      <t>]</t>
    </r>
  </si>
  <si>
    <t xml:space="preserve"> </t>
  </si>
  <si>
    <t>METREL-MI3210</t>
  </si>
  <si>
    <t>26,0m</t>
  </si>
  <si>
    <t>Evet</t>
  </si>
  <si>
    <t>Trafo Markası</t>
  </si>
  <si>
    <t>Kademe Bilgisi</t>
  </si>
  <si>
    <t>Trafo Gücü (kVA)</t>
  </si>
  <si>
    <t>Yağ Markası</t>
  </si>
  <si>
    <t>Gerilim Seviyesi (V)</t>
  </si>
  <si>
    <t>Yağ Ağırlığı (kg)</t>
  </si>
  <si>
    <t>Bağlantı Grubu</t>
  </si>
  <si>
    <t>Kısa Devre Emp.%</t>
  </si>
  <si>
    <t>Kazan Tipi</t>
  </si>
  <si>
    <t>Hermetik</t>
  </si>
  <si>
    <t>Genleşme Tanklı</t>
  </si>
  <si>
    <t>Kuru Tip</t>
  </si>
  <si>
    <t>KONTROLLER</t>
  </si>
  <si>
    <t xml:space="preserve">Trafo Sıcaklık Kontrolü </t>
  </si>
  <si>
    <t>Trafo Temizliği</t>
  </si>
  <si>
    <t>Yağ Seviyesi Kontrolü</t>
  </si>
  <si>
    <t>Bina Temizliği</t>
  </si>
  <si>
    <t>DC Redresör Kontrolü</t>
  </si>
  <si>
    <t>Kablo Sıkılık Kontrolü</t>
  </si>
  <si>
    <t>O.G Conta Kontrolü</t>
  </si>
  <si>
    <t>A.G Conta Kontrolü</t>
  </si>
  <si>
    <t>Kademe Conta Kontrolü</t>
  </si>
  <si>
    <t>Kapak Conta Kontrolü</t>
  </si>
  <si>
    <t>Yağ Kaçağı Kontrolü</t>
  </si>
  <si>
    <t>SARGI DİRENÇLERİ ( Ω )</t>
  </si>
  <si>
    <t>ÇEVİRME ORANI  ( TTR )</t>
  </si>
  <si>
    <r>
      <rPr>
        <sz val="13"/>
        <color theme="1"/>
        <rFont val="Calibri"/>
        <family val="2"/>
        <charset val="162"/>
        <scheme val="minor"/>
      </rPr>
      <t>R</t>
    </r>
    <r>
      <rPr>
        <sz val="8"/>
        <color theme="1"/>
        <rFont val="Calibri"/>
        <family val="2"/>
        <charset val="162"/>
        <scheme val="minor"/>
      </rPr>
      <t>AB  :</t>
    </r>
  </si>
  <si>
    <r>
      <rPr>
        <sz val="13"/>
        <color theme="1"/>
        <rFont val="Calibri"/>
        <family val="2"/>
        <charset val="162"/>
        <scheme val="minor"/>
      </rPr>
      <t>R</t>
    </r>
    <r>
      <rPr>
        <sz val="8"/>
        <color theme="1"/>
        <rFont val="Calibri"/>
        <family val="2"/>
        <charset val="162"/>
        <scheme val="minor"/>
      </rPr>
      <t>an  :</t>
    </r>
  </si>
  <si>
    <t>AB / an</t>
  </si>
  <si>
    <t>BC / bn</t>
  </si>
  <si>
    <t>CA / cn</t>
  </si>
  <si>
    <r>
      <rPr>
        <sz val="13"/>
        <color theme="1"/>
        <rFont val="Calibri"/>
        <family val="2"/>
        <charset val="162"/>
        <scheme val="minor"/>
      </rPr>
      <t>R</t>
    </r>
    <r>
      <rPr>
        <sz val="8"/>
        <color theme="1"/>
        <rFont val="Calibri"/>
        <family val="2"/>
        <charset val="162"/>
        <scheme val="minor"/>
      </rPr>
      <t>AC  :</t>
    </r>
  </si>
  <si>
    <r>
      <rPr>
        <sz val="13"/>
        <color theme="1"/>
        <rFont val="Calibri"/>
        <family val="2"/>
        <charset val="162"/>
        <scheme val="minor"/>
      </rPr>
      <t>R</t>
    </r>
    <r>
      <rPr>
        <sz val="8"/>
        <color theme="1"/>
        <rFont val="Calibri"/>
        <family val="2"/>
        <charset val="162"/>
        <scheme val="minor"/>
      </rPr>
      <t>bn  :</t>
    </r>
  </si>
  <si>
    <r>
      <rPr>
        <sz val="13"/>
        <color theme="1"/>
        <rFont val="Calibri"/>
        <family val="2"/>
        <charset val="162"/>
        <scheme val="minor"/>
      </rPr>
      <t>R</t>
    </r>
    <r>
      <rPr>
        <sz val="8"/>
        <color theme="1"/>
        <rFont val="Calibri"/>
        <family val="2"/>
        <charset val="162"/>
        <scheme val="minor"/>
      </rPr>
      <t>BC  :</t>
    </r>
  </si>
  <si>
    <r>
      <rPr>
        <sz val="13"/>
        <color theme="1"/>
        <rFont val="Calibri"/>
        <family val="2"/>
        <charset val="162"/>
        <scheme val="minor"/>
      </rPr>
      <t>R</t>
    </r>
    <r>
      <rPr>
        <sz val="8"/>
        <color theme="1"/>
        <rFont val="Calibri"/>
        <family val="2"/>
        <charset val="162"/>
        <scheme val="minor"/>
      </rPr>
      <t>cn  :</t>
    </r>
  </si>
  <si>
    <t xml:space="preserve">Kademe Bilgisi </t>
  </si>
  <si>
    <t>İZOLASYON (YALITIM) DİRENÇLERİ ( Ω )</t>
  </si>
  <si>
    <t>Birim</t>
  </si>
  <si>
    <t>Y.G - TANK</t>
  </si>
  <si>
    <t>A.G - TANK</t>
  </si>
  <si>
    <t>Y.G - A.G</t>
  </si>
  <si>
    <t>HV Mevcut Kademe Tap</t>
  </si>
  <si>
    <t>/</t>
  </si>
  <si>
    <t>34500 / 400</t>
  </si>
  <si>
    <t>Dyn11</t>
  </si>
  <si>
    <t>İmal Yılı</t>
  </si>
  <si>
    <t>Seri Numarası</t>
  </si>
  <si>
    <t xml:space="preserve">: </t>
  </si>
  <si>
    <t xml:space="preserve">:  </t>
  </si>
  <si>
    <t>ü</t>
  </si>
  <si>
    <t>G</t>
  </si>
  <si>
    <t>28500 / 400</t>
  </si>
  <si>
    <t>30000 / 400</t>
  </si>
  <si>
    <t>31500 / 400</t>
  </si>
  <si>
    <t>33000 / 400</t>
  </si>
  <si>
    <t>36000 / 400</t>
  </si>
  <si>
    <t xml:space="preserve">LV Kademe Tap </t>
  </si>
  <si>
    <t>DÜŞÜK</t>
  </si>
  <si>
    <t>( A ) Fazına ait çevirme oranı hata yüzdesi hatalı olduğu tespit edilmiştir.</t>
  </si>
  <si>
    <t>( B ) Fazına ait çevirme oranı hata yüzdesi hatalı olduğu tespit edilmiştir.</t>
  </si>
  <si>
    <t>( C ) Fazına ait çevirme oranı hata yüzdesi hatalı olduğu tespit edilmiştir.</t>
  </si>
  <si>
    <t xml:space="preserve">TRAFO BİLGİLERİ </t>
  </si>
  <si>
    <t>Üçevler Mh.  AK-VA Sanayi Sitesi  80. Sk.  No:2/P  Nilüfer  /  BURSA  /  TÜRKİYE</t>
  </si>
  <si>
    <t>Test Sıcaklığı</t>
  </si>
  <si>
    <t>İcra Katsayısı</t>
  </si>
  <si>
    <t>°C</t>
  </si>
  <si>
    <t>500,0 V</t>
  </si>
  <si>
    <t xml:space="preserve">       DAR</t>
  </si>
  <si>
    <t xml:space="preserve">Tap </t>
  </si>
  <si>
    <t>Rapor Tarihi</t>
  </si>
  <si>
    <t>OG-TANK</t>
  </si>
  <si>
    <t>AG-TANK</t>
  </si>
  <si>
    <t>OG-AG</t>
  </si>
  <si>
    <t xml:space="preserve">Yapılan ölçümlerde trafonun izolasyon direnç değerleri düşük bulunmuştur. </t>
  </si>
  <si>
    <t>LİMİT</t>
  </si>
  <si>
    <t>SINIR DEĞER</t>
  </si>
  <si>
    <t>SONUÇ</t>
  </si>
  <si>
    <t>Hata[%]</t>
  </si>
  <si>
    <t>DC 6A</t>
  </si>
  <si>
    <t>ONAYLAYAN</t>
  </si>
  <si>
    <t>ÖLÇÜLEN DEĞERLER</t>
  </si>
  <si>
    <t>Sıcaklık</t>
  </si>
  <si>
    <t>ÇARPAN</t>
  </si>
  <si>
    <r>
      <t xml:space="preserve">Not: </t>
    </r>
    <r>
      <rPr>
        <sz val="9"/>
        <color theme="1"/>
        <rFont val="Calibri"/>
        <family val="2"/>
        <charset val="162"/>
        <scheme val="minor"/>
      </rPr>
      <t>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r>
  </si>
  <si>
    <t xml:space="preserve">  ŞALT SAHASI        </t>
  </si>
  <si>
    <t>RAPOR KONUSU</t>
  </si>
  <si>
    <t>TRAFO BAKIMI VE KONTROLLERİ</t>
  </si>
  <si>
    <t xml:space="preserve">Test Tarihi                </t>
  </si>
  <si>
    <t xml:space="preserve">Rapor Tarihi           </t>
  </si>
  <si>
    <t>Bu belge 5070 sayılı elektronik imza kanununa göre güvenli elektronik imza ile imzalanmıştır.</t>
  </si>
  <si>
    <t>Üçevler Mahallesi Ak-Va Sanayi Sitesi 80. Sokak No:2/P Nilüfer-BURSA</t>
  </si>
  <si>
    <t xml:space="preserve">Müşterinin Adı      </t>
  </si>
  <si>
    <t xml:space="preserve">ADRESİ                     </t>
  </si>
  <si>
    <t>HESAPLANAN DEĞERLER 20°C</t>
  </si>
  <si>
    <t>PRİMER SARGI DİRENCİ TEST SONUÇLARI</t>
  </si>
  <si>
    <t>SEKONDER SARGI DİRENCİ TEST SONUÇLARI</t>
  </si>
  <si>
    <t>D.C. İZOLASYON DİRENCİ TEST SONUÇLARI</t>
  </si>
  <si>
    <t>ÇEVİRME ORANI TEST SONUÇLARI</t>
  </si>
  <si>
    <t>Unvan</t>
  </si>
  <si>
    <t>REFERANS</t>
  </si>
  <si>
    <t>International Electrical Testing Association</t>
  </si>
  <si>
    <t>-</t>
  </si>
  <si>
    <t>Trafonun D.C. İzolasyon test değerleri uygun bulunmuştur.</t>
  </si>
  <si>
    <t>Trafoda yapılan çevirme oranı (TTR) test sonuçları uygun bulmuştur, buna bağlı olarak kademe değiştirici ile sargılar arasındaki bağlantılarda herhangi bir sorun olmadığı gözlemlenmiştir.</t>
  </si>
  <si>
    <t>UNVAN</t>
  </si>
  <si>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</si>
  <si>
    <t>( A ) Fazına ait çevirme oranı hata yüzdesi uygundur.</t>
  </si>
  <si>
    <t>( B ) Fazına ait çevirme oranı hata yüzdesi uygundur.</t>
  </si>
  <si>
    <t>( C ) Fazına ait çevirme oranı hata yüzdesi uygundur.</t>
  </si>
  <si>
    <t>Yapılan ölçümlerde AG (Alçak gerilim) sargısına ait direnç değerleri uygundur.</t>
  </si>
  <si>
    <t>Yapılan ölçümlerde OG (Orta gerilim) sargısına ait direnç değerleri uygundur.</t>
  </si>
  <si>
    <t>FİRMA YETKİLİLERİNİN DİKKATİNE</t>
  </si>
  <si>
    <t>Yapılan ölçümlerde trafonun izolasyon direnç değerleri uygun bulunmuştur.</t>
  </si>
  <si>
    <t>RAPOR TARİHİ</t>
  </si>
  <si>
    <t>Telefon : 444 0 287 - 0224 441 94 33                  Mail:     www.btselektrik.com.tr</t>
  </si>
  <si>
    <t>Test Tarihi</t>
  </si>
  <si>
    <t>TEST TARİHİ</t>
  </si>
  <si>
    <t>TRAFO ETİKETİ</t>
  </si>
  <si>
    <t>Trafo Etiketi</t>
  </si>
  <si>
    <t xml:space="preserve">B.T.S. ELEKTRİK TRAFO BAKIM </t>
  </si>
  <si>
    <t>MÜH. İNŞ. MAK. LAB. SAN. VE TİC. LTD. ŞTİ.</t>
  </si>
  <si>
    <t>Basınç Açma</t>
  </si>
  <si>
    <t>Gaz Açma</t>
  </si>
  <si>
    <t>Termik Alarm</t>
  </si>
  <si>
    <t>Termik Açma</t>
  </si>
  <si>
    <t>İzolatör Kontrolü</t>
  </si>
  <si>
    <t>Gsm      : 0532 206 58 32 - 0538 035 35 94</t>
  </si>
  <si>
    <t>Elektrik Mühendisi</t>
  </si>
  <si>
    <t>Hilmi GÜL</t>
  </si>
  <si>
    <t>05.08.2026</t>
  </si>
  <si>
    <t>TR-1</t>
  </si>
  <si>
    <t>KAYAPA/BURSA</t>
  </si>
  <si>
    <r>
      <t xml:space="preserve">Mevcut şartlar korunması halinde  trafonun kullanımı </t>
    </r>
    <r>
      <rPr>
        <b/>
        <sz val="10"/>
        <color theme="1"/>
        <rFont val="Calibri"/>
        <family val="2"/>
        <charset val="162"/>
        <scheme val="minor"/>
      </rPr>
      <t>UYGUNDUR.</t>
    </r>
    <r>
      <rPr>
        <sz val="10"/>
        <color theme="1"/>
        <rFont val="Calibri"/>
        <family val="2"/>
        <scheme val="minor"/>
      </rPr>
      <t xml:space="preserve"> </t>
    </r>
  </si>
  <si>
    <t>24 VDC</t>
  </si>
  <si>
    <r>
      <t xml:space="preserve">NOTLAR : </t>
    </r>
    <r>
      <rPr>
        <sz val="12"/>
        <color theme="1"/>
        <rFont val="Calibri"/>
        <family val="2"/>
        <charset val="162"/>
        <scheme val="minor"/>
      </rPr>
      <t>Test sonuçlarının değerlendirilmesi kapak sayfasında yapılmıştır.</t>
    </r>
  </si>
  <si>
    <t>OK AMBALAJ</t>
  </si>
  <si>
    <t>ASTOR</t>
  </si>
  <si>
    <t>NYNAS</t>
  </si>
  <si>
    <t>2017</t>
  </si>
  <si>
    <t>27-07840</t>
  </si>
  <si>
    <t>TRAFO TEST RAPORU</t>
  </si>
  <si>
    <t xml:space="preserve">Tarihinde yapılan Trafo test raporu. </t>
  </si>
  <si>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</sst>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0.000"/>
    <numFmt numFmtId="165" formatCode="0.000000"/>
    <numFmt numFmtId="166" formatCode="0.0"/>
    <numFmt numFmtId="167" formatCode="0.00000"/>
    <numFmt numFmtId="168" formatCode="0.0000000"/>
    <numFmt numFmtId="169" formatCode="dd/mm/yyyy;@"/>
    <numFmt numFmtId="170" formatCode="0.0000"/>
    <numFmt numFmtId="171" formatCode="0.0000%"/>
    <numFmt numFmtId="172" formatCode="0.000%"/>
  </numFmts>
  <fonts count="34"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sz val="14"/>
      <color theme="1"/>
      <name val="Calibri"/>
      <family val="2"/>
      <scheme val="minor"/>
    </font>
    <font>
      <sz val="12"/>
      <color theme="1"/>
      <name val="Calibri"/>
      <family val="2"/>
      <scheme val="minor"/>
    </font>
    <font>
      <b/>
      <sz val="14"/>
      <color theme="1"/>
      <name val="Calibri"/>
      <family val="2"/>
      <charset val="162"/>
      <scheme val="minor"/>
    </font>
    <font>
      <sz val="14"/>
      <color theme="1"/>
      <name val="Calibri"/>
      <family val="2"/>
      <charset val="162"/>
      <scheme val="minor"/>
    </font>
    <font>
      <b/>
      <sz val="12"/>
      <color theme="1"/>
      <name val="Calibri"/>
      <family val="2"/>
      <charset val="162"/>
      <scheme val="minor"/>
    </font>
    <font>
      <sz val="9"/>
      <color theme="1"/>
      <name val="Arial Tur"/>
      <charset val="162"/>
    </font>
    <font>
      <b/>
      <sz val="11"/>
      <color theme="1"/>
      <name val="Calibri"/>
      <family val="2"/>
      <scheme val="minor"/>
    </font>
    <font>
      <b/>
      <sz val="11"/>
      <color theme="1"/>
      <name val="Arial Tur"/>
      <charset val="162"/>
    </font>
    <font>
      <b/>
      <sz val="11"/>
      <color theme="1"/>
      <name val="Calibri"/>
      <family val="2"/>
    </font>
    <font>
      <sz val="11"/>
      <name val="Calibri"/>
      <family val="2"/>
      <scheme val="minor"/>
    </font>
    <font>
      <sz val="12"/>
      <name val="Calibri"/>
      <family val="2"/>
      <scheme val="minor"/>
    </font>
    <font>
      <sz val="11"/>
      <color rgb="FF006100"/>
      <name val="Calibri"/>
      <family val="2"/>
      <charset val="162"/>
      <scheme val="minor"/>
    </font>
    <font>
      <sz val="12"/>
      <color theme="1"/>
      <name val="Calibri"/>
      <family val="2"/>
      <charset val="162"/>
      <scheme val="minor"/>
    </font>
    <font>
      <sz val="10"/>
      <color theme="1"/>
      <name val="Calibri"/>
      <family val="2"/>
      <charset val="162"/>
      <scheme val="minor"/>
    </font>
    <font>
      <sz val="10"/>
      <color theme="1"/>
      <name val="Calibri"/>
      <family val="2"/>
      <scheme val="minor"/>
    </font>
    <font>
      <sz val="13"/>
      <color theme="1"/>
      <name val="Calibri"/>
      <family val="2"/>
      <charset val="162"/>
      <scheme val="minor"/>
    </font>
    <font>
      <sz val="8"/>
      <color theme="1"/>
      <name val="Calibri"/>
      <family val="2"/>
      <charset val="162"/>
      <scheme val="minor"/>
    </font>
    <font>
      <sz val="12"/>
      <color theme="1"/>
      <name val="Arial Tur"/>
      <charset val="162"/>
    </font>
    <font>
      <sz val="10"/>
      <color theme="1"/>
      <name val="Wingdings"/>
      <charset val="2"/>
    </font>
    <font>
      <b/>
      <sz val="11"/>
      <color rgb="FF3F3F3F"/>
      <name val="Calibri"/>
      <family val="2"/>
      <charset val="162"/>
      <scheme val="minor"/>
    </font>
    <font>
      <b/>
      <sz val="9"/>
      <color theme="1"/>
      <name val="Calibri"/>
      <family val="2"/>
      <charset val="162"/>
      <scheme val="minor"/>
    </font>
    <font>
      <sz val="9"/>
      <color theme="1"/>
      <name val="Calibri"/>
      <family val="2"/>
      <charset val="162"/>
      <scheme val="minor"/>
    </font>
    <font>
      <sz val="8"/>
      <color theme="1"/>
      <name val="Calibri"/>
      <family val="2"/>
      <scheme val="minor"/>
    </font>
    <font>
      <b/>
      <sz val="10"/>
      <color theme="1"/>
      <name val="Calibri"/>
      <family val="2"/>
      <charset val="162"/>
      <scheme val="minor"/>
    </font>
    <font>
      <u/>
      <sz val="11"/>
      <color theme="10"/>
      <name val="Calibri"/>
      <family val="2"/>
      <scheme val="minor"/>
    </font>
    <font>
      <u/>
      <sz val="11"/>
      <color rgb="FFFFCC00"/>
      <name val="Calibri"/>
      <family val="2"/>
      <scheme val="minor"/>
    </font>
  </fonts>
  <fills count="7">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
    <xf numFmtId="0" fontId="0" fillId="0" borderId="0"/>
    <xf numFmtId="0" fontId="19" fillId="2" borderId="0" applyNumberFormat="0" applyBorder="0" applyAlignment="0" applyProtection="0"/>
    <xf numFmtId="0" fontId="27" fillId="4" borderId="28" applyNumberFormat="0" applyAlignment="0" applyProtection="0"/>
    <xf numFmtId="0" fontId="32" fillId="0" borderId="0" applyNumberFormat="0" applyFill="0" applyBorder="0" applyAlignment="0" applyProtection="0"/>
  </cellStyleXfs>
  <cellXfs count="481">
    <xf numFmtId="0" fontId="0" fillId="0" borderId="0" xfId="0"/>
    <xf numFmtId="0" fontId="0" fillId="0" borderId="0" xfId="0" applyBorder="1"/>
    <xf numFmtId="0" fontId="0" fillId="0" borderId="1" xfId="0" applyBorder="1" applyAlignment="1">
      <alignment horizontal="center" vertical="center"/>
    </xf>
    <xf numFmtId="0" fontId="0" fillId="0" borderId="11" xfId="0"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1" xfId="0" applyBorder="1"/>
    <xf numFmtId="0" fontId="0" fillId="0" borderId="12" xfId="0" applyBorder="1"/>
    <xf numFmtId="0" fontId="0" fillId="0" borderId="16" xfId="0" applyBorder="1"/>
    <xf numFmtId="0" fontId="0" fillId="0" borderId="17" xfId="0" applyBorder="1"/>
    <xf numFmtId="0" fontId="0" fillId="0" borderId="13" xfId="0" applyBorder="1"/>
    <xf numFmtId="0" fontId="0" fillId="0" borderId="14" xfId="0" applyBorder="1"/>
    <xf numFmtId="0" fontId="0" fillId="0" borderId="15" xfId="0" applyBorder="1"/>
    <xf numFmtId="0" fontId="0" fillId="0" borderId="18" xfId="0" applyBorder="1"/>
    <xf numFmtId="0" fontId="0" fillId="0" borderId="19" xfId="0" applyBorder="1"/>
    <xf numFmtId="0" fontId="0" fillId="0" borderId="20" xfId="0" applyBorder="1"/>
    <xf numFmtId="0" fontId="0" fillId="0" borderId="2" xfId="0" applyBorder="1" applyAlignment="1">
      <alignment horizontal="center" vertical="center"/>
    </xf>
    <xf numFmtId="164" fontId="0" fillId="0" borderId="3" xfId="0" applyNumberFormat="1" applyBorder="1" applyAlignment="1">
      <alignment horizontal="center" vertical="center"/>
    </xf>
    <xf numFmtId="0" fontId="0" fillId="0" borderId="4" xfId="0" applyBorder="1" applyAlignment="1">
      <alignment horizontal="center" vertical="center"/>
    </xf>
    <xf numFmtId="0" fontId="0" fillId="0" borderId="6" xfId="0" applyBorder="1"/>
    <xf numFmtId="0" fontId="0" fillId="0" borderId="7" xfId="0" applyBorder="1"/>
    <xf numFmtId="164" fontId="0" fillId="0" borderId="0" xfId="0" applyNumberFormat="1" applyBorder="1" applyAlignment="1">
      <alignment vertical="center"/>
    </xf>
    <xf numFmtId="0" fontId="7" fillId="0" borderId="11" xfId="0" applyFont="1" applyBorder="1" applyAlignment="1">
      <alignment vertical="center"/>
    </xf>
    <xf numFmtId="0" fontId="7" fillId="0" borderId="0" xfId="0" applyFont="1" applyBorder="1" applyAlignment="1">
      <alignment vertical="center"/>
    </xf>
    <xf numFmtId="0" fontId="11" fillId="0" borderId="0" xfId="0" applyFont="1" applyBorder="1" applyAlignment="1">
      <alignment vertical="center"/>
    </xf>
    <xf numFmtId="0" fontId="6" fillId="0" borderId="0" xfId="0" applyFont="1" applyBorder="1" applyAlignment="1">
      <alignment vertical="center"/>
    </xf>
    <xf numFmtId="0" fontId="11" fillId="0" borderId="11" xfId="0" applyFont="1" applyBorder="1" applyAlignment="1">
      <alignment vertical="center"/>
    </xf>
    <xf numFmtId="0" fontId="11" fillId="0" borderId="12" xfId="0" applyFont="1" applyBorder="1" applyAlignment="1">
      <alignment vertical="center"/>
    </xf>
    <xf numFmtId="165" fontId="0" fillId="0" borderId="0" xfId="0" applyNumberFormat="1" applyBorder="1" applyAlignment="1">
      <alignment vertical="center"/>
    </xf>
    <xf numFmtId="0" fontId="13" fillId="0" borderId="10" xfId="0" applyFont="1" applyBorder="1" applyAlignment="1">
      <alignment vertical="center"/>
    </xf>
    <xf numFmtId="164" fontId="0" fillId="0" borderId="0" xfId="0" applyNumberFormat="1" applyFont="1" applyBorder="1" applyAlignment="1">
      <alignment horizontal="center"/>
    </xf>
    <xf numFmtId="0" fontId="0" fillId="0" borderId="21" xfId="0" applyBorder="1"/>
    <xf numFmtId="164" fontId="0" fillId="0" borderId="0" xfId="0" applyNumberFormat="1"/>
    <xf numFmtId="10" fontId="0" fillId="0" borderId="0" xfId="0" applyNumberFormat="1"/>
    <xf numFmtId="0" fontId="0" fillId="0" borderId="11" xfId="0" applyBorder="1" applyAlignment="1">
      <alignment horizontal="center" vertical="center"/>
    </xf>
    <xf numFmtId="0" fontId="0" fillId="0" borderId="1" xfId="0" applyBorder="1" applyAlignment="1">
      <alignment horizontal="center" vertical="center"/>
    </xf>
    <xf numFmtId="0" fontId="11" fillId="0" borderId="10" xfId="0" applyFont="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1" xfId="0" applyBorder="1" applyAlignment="1">
      <alignment vertical="center"/>
    </xf>
    <xf numFmtId="2" fontId="0" fillId="0" borderId="0" xfId="0" applyNumberFormat="1" applyBorder="1" applyAlignment="1">
      <alignment vertical="center"/>
    </xf>
    <xf numFmtId="0" fontId="0" fillId="0" borderId="2" xfId="0" applyBorder="1" applyAlignment="1"/>
    <xf numFmtId="0" fontId="0" fillId="0" borderId="3" xfId="0" applyBorder="1" applyAlignment="1"/>
    <xf numFmtId="0" fontId="9" fillId="0" borderId="3" xfId="0" applyFont="1" applyBorder="1" applyAlignment="1">
      <alignment vertical="center"/>
    </xf>
    <xf numFmtId="0" fontId="0" fillId="0" borderId="5" xfId="0" applyBorder="1" applyAlignment="1"/>
    <xf numFmtId="0" fontId="0" fillId="0" borderId="6" xfId="0" applyBorder="1" applyAlignment="1"/>
    <xf numFmtId="0" fontId="9" fillId="0" borderId="6" xfId="0" applyFont="1" applyBorder="1" applyAlignment="1">
      <alignment vertical="center"/>
    </xf>
    <xf numFmtId="164" fontId="0" fillId="0" borderId="3" xfId="0" applyNumberFormat="1" applyBorder="1" applyAlignment="1">
      <alignment vertical="center"/>
    </xf>
    <xf numFmtId="0" fontId="10" fillId="0" borderId="11" xfId="0" applyFont="1" applyBorder="1" applyAlignment="1">
      <alignment vertical="center"/>
    </xf>
    <xf numFmtId="0" fontId="10" fillId="0" borderId="0" xfId="0" applyFont="1" applyBorder="1" applyAlignment="1">
      <alignment vertical="center"/>
    </xf>
    <xf numFmtId="0" fontId="10" fillId="0" borderId="12" xfId="0" applyFont="1" applyBorder="1" applyAlignment="1">
      <alignment vertical="center"/>
    </xf>
    <xf numFmtId="0" fontId="10" fillId="0" borderId="0" xfId="0" applyFont="1" applyBorder="1" applyAlignment="1">
      <alignment horizontal="center" vertical="center"/>
    </xf>
    <xf numFmtId="0" fontId="0" fillId="0" borderId="6" xfId="0" applyBorder="1" applyAlignment="1">
      <alignment horizontal="center"/>
    </xf>
    <xf numFmtId="0" fontId="0" fillId="0" borderId="0" xfId="0" applyBorder="1" applyAlignment="1">
      <alignment horizontal="center" vertical="center"/>
    </xf>
    <xf numFmtId="0" fontId="0" fillId="0" borderId="0" xfId="0" applyBorder="1" applyAlignment="1">
      <alignment horizontal="righ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1" xfId="0" applyBorder="1" applyAlignment="1"/>
    <xf numFmtId="0" fontId="0" fillId="0" borderId="0" xfId="0" applyBorder="1" applyAlignment="1"/>
    <xf numFmtId="0" fontId="9" fillId="0" borderId="7" xfId="0" applyFont="1" applyBorder="1" applyAlignment="1">
      <alignment vertical="center"/>
    </xf>
    <xf numFmtId="0" fontId="22" fillId="0" borderId="11" xfId="0" applyFont="1" applyBorder="1" applyAlignment="1">
      <alignment horizontal="left" vertical="center"/>
    </xf>
    <xf numFmtId="0" fontId="22" fillId="0" borderId="0" xfId="0" applyFont="1" applyBorder="1" applyAlignment="1">
      <alignment horizontal="left" vertical="center"/>
    </xf>
    <xf numFmtId="0" fontId="22" fillId="0" borderId="0" xfId="0" applyFont="1" applyBorder="1" applyAlignment="1">
      <alignment vertical="center"/>
    </xf>
    <xf numFmtId="0" fontId="21" fillId="0" borderId="0" xfId="0" applyFont="1" applyBorder="1" applyAlignment="1">
      <alignment horizontal="left" vertical="center"/>
    </xf>
    <xf numFmtId="0" fontId="0" fillId="0" borderId="22" xfId="0" applyBorder="1"/>
    <xf numFmtId="0" fontId="22" fillId="0" borderId="11" xfId="0" applyFont="1" applyBorder="1" applyAlignment="1">
      <alignment vertical="center"/>
    </xf>
    <xf numFmtId="0" fontId="22" fillId="0" borderId="5" xfId="0" applyFont="1" applyBorder="1" applyAlignment="1">
      <alignment horizontal="left" vertical="center"/>
    </xf>
    <xf numFmtId="0" fontId="22" fillId="0" borderId="6" xfId="0" applyFont="1" applyBorder="1" applyAlignment="1">
      <alignment horizontal="left" vertical="center"/>
    </xf>
    <xf numFmtId="0" fontId="22" fillId="0" borderId="6" xfId="0" applyFont="1" applyBorder="1" applyAlignment="1">
      <alignment vertical="center"/>
    </xf>
    <xf numFmtId="0" fontId="22" fillId="0" borderId="7" xfId="0" applyFont="1" applyBorder="1" applyAlignment="1">
      <alignment vertical="center"/>
    </xf>
    <xf numFmtId="0" fontId="0" fillId="0" borderId="7" xfId="0" applyBorder="1" applyAlignment="1">
      <alignment vertical="center"/>
    </xf>
    <xf numFmtId="0" fontId="20" fillId="0" borderId="11" xfId="0" applyFont="1" applyBorder="1" applyAlignment="1">
      <alignment vertical="center"/>
    </xf>
    <xf numFmtId="0" fontId="20" fillId="0" borderId="0" xfId="0" applyFont="1" applyBorder="1" applyAlignment="1">
      <alignment vertical="center"/>
    </xf>
    <xf numFmtId="0" fontId="25" fillId="0" borderId="6" xfId="0" applyFont="1" applyBorder="1" applyAlignment="1">
      <alignment horizontal="center" vertical="center"/>
    </xf>
    <xf numFmtId="0" fontId="11" fillId="0" borderId="9" xfId="0" applyFont="1" applyBorder="1" applyAlignment="1">
      <alignment vertical="center"/>
    </xf>
    <xf numFmtId="0" fontId="21" fillId="0" borderId="3" xfId="0" applyFont="1" applyBorder="1" applyAlignment="1">
      <alignment horizontal="left" vertical="center"/>
    </xf>
    <xf numFmtId="0" fontId="0" fillId="0" borderId="3" xfId="0" applyBorder="1" applyAlignment="1">
      <alignment horizontal="center" vertical="center"/>
    </xf>
    <xf numFmtId="0" fontId="0" fillId="0" borderId="5" xfId="0" applyBorder="1" applyAlignment="1">
      <alignment horizontal="left"/>
    </xf>
    <xf numFmtId="0" fontId="0" fillId="0" borderId="6" xfId="0" applyBorder="1" applyAlignment="1">
      <alignment horizontal="left"/>
    </xf>
    <xf numFmtId="0" fontId="5" fillId="0" borderId="11" xfId="0" applyFont="1" applyBorder="1" applyAlignment="1">
      <alignment vertical="center"/>
    </xf>
    <xf numFmtId="0" fontId="5" fillId="0" borderId="0" xfId="0" applyFont="1" applyBorder="1" applyAlignment="1">
      <alignment vertical="center"/>
    </xf>
    <xf numFmtId="0" fontId="5" fillId="0" borderId="11"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22" fillId="0" borderId="24" xfId="0" applyFont="1" applyBorder="1" applyAlignment="1">
      <alignment vertical="center"/>
    </xf>
    <xf numFmtId="0" fontId="0" fillId="0" borderId="27" xfId="0" applyBorder="1" applyAlignment="1"/>
    <xf numFmtId="0" fontId="21" fillId="0" borderId="24" xfId="0" applyFont="1" applyBorder="1" applyAlignment="1">
      <alignment vertical="center"/>
    </xf>
    <xf numFmtId="0" fontId="21" fillId="0" borderId="24" xfId="0" applyFont="1" applyBorder="1" applyAlignment="1">
      <alignment horizontal="center" vertical="center"/>
    </xf>
    <xf numFmtId="0" fontId="26" fillId="0" borderId="1" xfId="0" applyFont="1" applyBorder="1" applyAlignment="1">
      <alignment horizontal="center" vertical="center"/>
    </xf>
    <xf numFmtId="0" fontId="22" fillId="0" borderId="0" xfId="0" applyFont="1" applyBorder="1" applyAlignment="1">
      <alignment horizontal="center" vertical="center"/>
    </xf>
    <xf numFmtId="0" fontId="20" fillId="0" borderId="0" xfId="0" applyFont="1" applyBorder="1" applyAlignment="1">
      <alignment horizontal="left" vertical="center"/>
    </xf>
    <xf numFmtId="0" fontId="5" fillId="0" borderId="0" xfId="0" applyFont="1" applyBorder="1" applyAlignment="1">
      <alignment horizontal="left" vertical="center"/>
    </xf>
    <xf numFmtId="2" fontId="5" fillId="0" borderId="0" xfId="0" applyNumberFormat="1" applyFont="1" applyBorder="1" applyAlignment="1">
      <alignment horizontal="left" vertical="center"/>
    </xf>
    <xf numFmtId="49" fontId="0" fillId="0" borderId="0" xfId="0" applyNumberFormat="1"/>
    <xf numFmtId="0" fontId="0" fillId="0" borderId="9" xfId="0" applyBorder="1" applyAlignment="1"/>
    <xf numFmtId="0" fontId="27" fillId="4" borderId="28" xfId="2" applyAlignment="1">
      <alignment horizontal="center" vertical="center"/>
    </xf>
    <xf numFmtId="0" fontId="0" fillId="0" borderId="0" xfId="0"/>
    <xf numFmtId="0" fontId="9" fillId="0" borderId="0" xfId="0" applyFont="1" applyBorder="1" applyAlignment="1">
      <alignment vertical="top" wrapText="1"/>
    </xf>
    <xf numFmtId="0" fontId="9" fillId="0" borderId="12" xfId="0" applyFont="1" applyBorder="1" applyAlignment="1">
      <alignment vertical="top" wrapText="1"/>
    </xf>
    <xf numFmtId="0" fontId="0" fillId="0" borderId="11" xfId="0" applyBorder="1" applyAlignment="1">
      <alignment horizontal="center" vertical="center"/>
    </xf>
    <xf numFmtId="0" fontId="0" fillId="0" borderId="0" xfId="0"/>
    <xf numFmtId="0" fontId="0" fillId="0" borderId="0" xfId="0"/>
    <xf numFmtId="2" fontId="20" fillId="0" borderId="0" xfId="0" applyNumberFormat="1" applyFont="1" applyBorder="1" applyAlignment="1">
      <alignment vertical="center"/>
    </xf>
    <xf numFmtId="2" fontId="20" fillId="0" borderId="12" xfId="0" applyNumberFormat="1" applyFont="1" applyBorder="1" applyAlignment="1">
      <alignment vertical="center"/>
    </xf>
    <xf numFmtId="2" fontId="20" fillId="0" borderId="23" xfId="0" applyNumberFormat="1" applyFont="1" applyBorder="1" applyAlignment="1">
      <alignment vertical="center"/>
    </xf>
    <xf numFmtId="0" fontId="21" fillId="0" borderId="24" xfId="0" applyFont="1" applyBorder="1"/>
    <xf numFmtId="0" fontId="22" fillId="0" borderId="24" xfId="0" applyFont="1" applyBorder="1"/>
    <xf numFmtId="166" fontId="5" fillId="0" borderId="0" xfId="0" applyNumberFormat="1" applyFont="1" applyBorder="1" applyAlignment="1">
      <alignment horizontal="center" vertical="center"/>
    </xf>
    <xf numFmtId="166" fontId="5" fillId="0" borderId="0" xfId="0" applyNumberFormat="1" applyFont="1" applyBorder="1" applyAlignment="1">
      <alignment vertical="center"/>
    </xf>
    <xf numFmtId="0" fontId="0" fillId="0" borderId="0" xfId="0"/>
    <xf numFmtId="0" fontId="0" fillId="0" borderId="2" xfId="0" applyBorder="1" applyAlignment="1">
      <alignment horizontal="center" vertical="center"/>
    </xf>
    <xf numFmtId="0" fontId="22" fillId="0" borderId="24" xfId="0" applyFont="1" applyBorder="1" applyAlignment="1">
      <alignment horizontal="left"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0" xfId="0"/>
    <xf numFmtId="0" fontId="22" fillId="0" borderId="12" xfId="0" applyFont="1" applyBorder="1" applyAlignment="1">
      <alignment horizontal="center" vertical="center"/>
    </xf>
    <xf numFmtId="165" fontId="0" fillId="0" borderId="12" xfId="0" applyNumberFormat="1" applyBorder="1" applyAlignment="1">
      <alignment vertical="center"/>
    </xf>
    <xf numFmtId="0" fontId="0" fillId="0" borderId="0" xfId="0"/>
    <xf numFmtId="0" fontId="0" fillId="0" borderId="0" xfId="0" applyFont="1" applyBorder="1" applyAlignment="1"/>
    <xf numFmtId="0" fontId="9" fillId="0" borderId="5" xfId="0" applyFont="1" applyBorder="1" applyAlignment="1">
      <alignment vertical="center"/>
    </xf>
    <xf numFmtId="0" fontId="0" fillId="0" borderId="0" xfId="0"/>
    <xf numFmtId="166" fontId="0" fillId="0" borderId="8" xfId="0" applyNumberFormat="1" applyBorder="1" applyAlignment="1">
      <alignment vertical="center"/>
    </xf>
    <xf numFmtId="0" fontId="0" fillId="0" borderId="0" xfId="0" applyAlignment="1">
      <alignment vertical="center"/>
    </xf>
    <xf numFmtId="0" fontId="10" fillId="0" borderId="9" xfId="0" applyFont="1" applyBorder="1" applyAlignment="1">
      <alignment vertical="center"/>
    </xf>
    <xf numFmtId="0" fontId="0" fillId="0" borderId="4" xfId="0" applyBorder="1" applyAlignment="1">
      <alignment horizontal="center" vertical="center"/>
    </xf>
    <xf numFmtId="0" fontId="0" fillId="0" borderId="0" xfId="0" applyAlignment="1"/>
    <xf numFmtId="166" fontId="0" fillId="0" borderId="0" xfId="0" applyNumberFormat="1"/>
    <xf numFmtId="0" fontId="0" fillId="5" borderId="0" xfId="0" applyFill="1"/>
    <xf numFmtId="0" fontId="0" fillId="0" borderId="27" xfId="0" applyBorder="1" applyAlignment="1">
      <alignment horizontal="center"/>
    </xf>
    <xf numFmtId="0" fontId="11" fillId="0" borderId="0" xfId="0" applyFont="1" applyBorder="1" applyAlignment="1">
      <alignment vertical="center"/>
    </xf>
    <xf numFmtId="0" fontId="11" fillId="0" borderId="12" xfId="0" applyFont="1" applyBorder="1" applyAlignment="1">
      <alignment vertical="center"/>
    </xf>
    <xf numFmtId="0" fontId="10" fillId="0" borderId="7" xfId="0" applyFont="1" applyBorder="1" applyAlignment="1">
      <alignment vertical="center"/>
    </xf>
    <xf numFmtId="0" fontId="0" fillId="0" borderId="26" xfId="0" applyBorder="1" applyAlignment="1"/>
    <xf numFmtId="0" fontId="0" fillId="0" borderId="27" xfId="0" applyBorder="1" applyAlignment="1">
      <alignment horizontal="left"/>
    </xf>
    <xf numFmtId="0" fontId="10" fillId="0" borderId="6" xfId="0" applyFont="1" applyBorder="1" applyAlignment="1">
      <alignment vertical="center"/>
    </xf>
    <xf numFmtId="0" fontId="0" fillId="0" borderId="0" xfId="0"/>
    <xf numFmtId="0" fontId="9" fillId="0" borderId="6" xfId="0" applyFont="1" applyBorder="1" applyAlignment="1">
      <alignment horizontal="left" vertical="center"/>
    </xf>
    <xf numFmtId="0" fontId="9" fillId="0" borderId="3" xfId="0" applyFont="1" applyBorder="1" applyAlignment="1">
      <alignment horizontal="left" vertical="center"/>
    </xf>
    <xf numFmtId="0" fontId="0" fillId="0" borderId="12" xfId="0" applyBorder="1" applyAlignment="1">
      <alignment vertical="center"/>
    </xf>
    <xf numFmtId="0" fontId="0" fillId="0" borderId="0" xfId="0"/>
    <xf numFmtId="0" fontId="7" fillId="0" borderId="8" xfId="0" applyFont="1" applyBorder="1" applyAlignment="1">
      <alignment vertical="center"/>
    </xf>
    <xf numFmtId="0" fontId="7" fillId="0" borderId="10" xfId="0" applyFont="1" applyBorder="1" applyAlignment="1">
      <alignment vertical="center"/>
    </xf>
    <xf numFmtId="0" fontId="0" fillId="0" borderId="0" xfId="0" applyAlignment="1">
      <alignment horizontal="center" vertical="center"/>
    </xf>
    <xf numFmtId="0" fontId="0" fillId="0" borderId="0" xfId="0"/>
    <xf numFmtId="0" fontId="0" fillId="0" borderId="0" xfId="0"/>
    <xf numFmtId="172" fontId="0" fillId="0" borderId="0" xfId="0" applyNumberFormat="1"/>
    <xf numFmtId="0" fontId="9" fillId="0" borderId="3" xfId="0" applyFont="1" applyBorder="1" applyAlignment="1">
      <alignment horizontal="left" vertical="center"/>
    </xf>
    <xf numFmtId="0" fontId="0" fillId="0" borderId="1" xfId="0" applyBorder="1" applyAlignment="1">
      <alignment horizontal="center" vertical="center"/>
    </xf>
    <xf numFmtId="0" fontId="12" fillId="0" borderId="8" xfId="0" applyFont="1" applyBorder="1" applyAlignment="1">
      <alignment vertical="center"/>
    </xf>
    <xf numFmtId="0" fontId="12" fillId="0" borderId="9" xfId="0" applyFont="1" applyBorder="1" applyAlignment="1">
      <alignment vertical="center"/>
    </xf>
    <xf numFmtId="0" fontId="12" fillId="0" borderId="10" xfId="0" applyFont="1" applyBorder="1" applyAlignment="1">
      <alignment vertical="center"/>
    </xf>
    <xf numFmtId="0" fontId="21" fillId="0" borderId="0" xfId="0" applyFont="1" applyBorder="1" applyAlignment="1">
      <alignment horizontal="left" vertical="center"/>
    </xf>
    <xf numFmtId="0" fontId="4" fillId="0" borderId="0" xfId="0" applyFont="1" applyBorder="1" applyAlignment="1">
      <alignment horizontal="left" vertical="center"/>
    </xf>
    <xf numFmtId="0" fontId="4" fillId="0" borderId="12" xfId="0" applyFont="1" applyBorder="1" applyAlignment="1">
      <alignment horizontal="left" vertical="center"/>
    </xf>
    <xf numFmtId="0" fontId="0" fillId="0" borderId="0" xfId="0"/>
    <xf numFmtId="0" fontId="4" fillId="0" borderId="0" xfId="0" applyFont="1" applyBorder="1" applyAlignment="1">
      <alignment vertical="center"/>
    </xf>
    <xf numFmtId="0" fontId="21" fillId="0" borderId="11" xfId="0" applyFont="1" applyBorder="1" applyAlignment="1">
      <alignment vertical="center"/>
    </xf>
    <xf numFmtId="0" fontId="21" fillId="0" borderId="0" xfId="0" applyFont="1" applyBorder="1" applyAlignment="1">
      <alignment vertical="center"/>
    </xf>
    <xf numFmtId="0" fontId="21" fillId="0" borderId="5" xfId="0" applyFont="1" applyBorder="1" applyAlignment="1">
      <alignment horizontal="left" vertical="center"/>
    </xf>
    <xf numFmtId="0" fontId="21" fillId="0" borderId="6" xfId="0" applyFont="1" applyBorder="1" applyAlignment="1">
      <alignment horizontal="left" vertical="center"/>
    </xf>
    <xf numFmtId="0" fontId="4" fillId="0" borderId="6" xfId="0" applyFont="1" applyBorder="1" applyAlignment="1">
      <alignmen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169" fontId="4" fillId="0" borderId="0" xfId="0" applyNumberFormat="1" applyFont="1" applyBorder="1" applyAlignment="1">
      <alignment vertical="center"/>
    </xf>
    <xf numFmtId="169" fontId="4" fillId="0" borderId="12" xfId="0" applyNumberFormat="1" applyFont="1" applyBorder="1" applyAlignment="1">
      <alignment vertical="center"/>
    </xf>
    <xf numFmtId="0" fontId="4" fillId="0" borderId="12" xfId="0" applyFont="1" applyBorder="1" applyAlignment="1">
      <alignment vertical="center"/>
    </xf>
    <xf numFmtId="0" fontId="0" fillId="0" borderId="0" xfId="0"/>
    <xf numFmtId="0" fontId="0" fillId="0" borderId="0" xfId="0" applyFont="1" applyFill="1" applyBorder="1" applyAlignment="1"/>
    <xf numFmtId="166" fontId="0" fillId="0" borderId="9" xfId="0" applyNumberFormat="1" applyBorder="1" applyAlignment="1">
      <alignment vertical="center"/>
    </xf>
    <xf numFmtId="0" fontId="13" fillId="0" borderId="29" xfId="0" applyFont="1" applyBorder="1" applyAlignment="1">
      <alignment vertical="center"/>
    </xf>
    <xf numFmtId="0" fontId="0" fillId="0" borderId="0" xfId="0"/>
    <xf numFmtId="0" fontId="0" fillId="0" borderId="0" xfId="0" applyAlignment="1">
      <alignment horizontal="left"/>
    </xf>
    <xf numFmtId="0" fontId="7" fillId="0" borderId="0" xfId="0" applyFont="1"/>
    <xf numFmtId="0" fontId="9" fillId="0" borderId="11" xfId="0" applyFont="1" applyBorder="1" applyAlignment="1">
      <alignment vertical="center" wrapText="1"/>
    </xf>
    <xf numFmtId="0" fontId="9" fillId="0" borderId="0" xfId="0" applyFont="1" applyBorder="1" applyAlignment="1">
      <alignment vertical="center" wrapText="1"/>
    </xf>
    <xf numFmtId="0" fontId="9" fillId="0" borderId="12" xfId="0" applyFont="1" applyBorder="1" applyAlignment="1">
      <alignment vertical="center" wrapText="1"/>
    </xf>
    <xf numFmtId="0" fontId="7" fillId="0" borderId="11" xfId="0" applyFont="1" applyBorder="1" applyAlignment="1"/>
    <xf numFmtId="0" fontId="7" fillId="0" borderId="0" xfId="0" applyFont="1" applyBorder="1" applyAlignment="1"/>
    <xf numFmtId="0" fontId="7" fillId="0" borderId="12" xfId="0" applyFont="1" applyBorder="1" applyAlignment="1"/>
    <xf numFmtId="0" fontId="0" fillId="0" borderId="0" xfId="0" applyAlignment="1">
      <alignment horizontal="left" vertical="top"/>
    </xf>
    <xf numFmtId="0" fontId="22" fillId="0" borderId="0" xfId="0" applyFont="1" applyAlignment="1">
      <alignment horizontal="left" vertical="top" wrapText="1"/>
    </xf>
    <xf numFmtId="0" fontId="0" fillId="0" borderId="0" xfId="0"/>
    <xf numFmtId="0" fontId="0" fillId="0" borderId="0" xfId="0" applyAlignment="1">
      <alignment vertical="top"/>
    </xf>
    <xf numFmtId="0" fontId="22" fillId="0" borderId="0" xfId="0" applyFont="1" applyAlignment="1">
      <alignment vertical="top" wrapText="1"/>
    </xf>
    <xf numFmtId="0" fontId="22" fillId="0" borderId="0" xfId="0" applyFont="1" applyAlignment="1">
      <alignment vertical="top"/>
    </xf>
    <xf numFmtId="0" fontId="21" fillId="0" borderId="0" xfId="0" applyFont="1" applyAlignment="1">
      <alignment horizontal="left" vertical="top" wrapText="1"/>
    </xf>
    <xf numFmtId="0" fontId="22" fillId="0" borderId="0" xfId="0" applyFont="1" applyAlignment="1">
      <alignment horizontal="left" vertical="top"/>
    </xf>
    <xf numFmtId="0" fontId="0" fillId="0" borderId="0" xfId="0"/>
    <xf numFmtId="0" fontId="9" fillId="0" borderId="6" xfId="0" applyFont="1" applyBorder="1" applyAlignment="1">
      <alignment horizontal="left" vertical="center"/>
    </xf>
    <xf numFmtId="0" fontId="0" fillId="0" borderId="0" xfId="0"/>
    <xf numFmtId="0" fontId="12" fillId="5" borderId="4" xfId="0" applyFont="1" applyFill="1" applyBorder="1" applyAlignment="1">
      <alignment horizontal="left" vertical="center"/>
    </xf>
    <xf numFmtId="0" fontId="0" fillId="5" borderId="11" xfId="0" applyFill="1" applyBorder="1" applyAlignment="1">
      <alignment vertical="center"/>
    </xf>
    <xf numFmtId="0" fontId="0" fillId="5" borderId="0" xfId="0" applyFill="1" applyBorder="1" applyAlignment="1">
      <alignment vertical="center"/>
    </xf>
    <xf numFmtId="0" fontId="0" fillId="5" borderId="12" xfId="0" applyFill="1" applyBorder="1" applyAlignment="1">
      <alignment vertical="center"/>
    </xf>
    <xf numFmtId="0" fontId="12" fillId="5" borderId="11" xfId="0" applyFont="1" applyFill="1" applyBorder="1" applyAlignment="1">
      <alignment vertical="top"/>
    </xf>
    <xf numFmtId="0" fontId="12" fillId="5" borderId="0" xfId="0" applyFont="1" applyFill="1" applyBorder="1" applyAlignment="1">
      <alignment vertical="top"/>
    </xf>
    <xf numFmtId="0" fontId="12" fillId="5" borderId="12" xfId="0" applyFont="1" applyFill="1" applyBorder="1" applyAlignment="1">
      <alignment vertical="top"/>
    </xf>
    <xf numFmtId="0" fontId="0" fillId="5" borderId="6" xfId="0" applyFont="1" applyFill="1" applyBorder="1" applyAlignment="1"/>
    <xf numFmtId="0" fontId="0" fillId="5" borderId="7" xfId="0" applyFont="1" applyFill="1" applyBorder="1" applyAlignment="1"/>
    <xf numFmtId="0" fontId="1" fillId="5" borderId="11" xfId="0" applyFont="1" applyFill="1" applyBorder="1" applyAlignment="1">
      <alignment vertical="top" wrapText="1"/>
    </xf>
    <xf numFmtId="0" fontId="0" fillId="5" borderId="0" xfId="0" applyFill="1" applyBorder="1" applyAlignment="1">
      <alignment vertical="top"/>
    </xf>
    <xf numFmtId="0" fontId="0" fillId="5" borderId="12" xfId="0" applyFill="1" applyBorder="1" applyAlignment="1">
      <alignment vertical="top"/>
    </xf>
    <xf numFmtId="0" fontId="0" fillId="5" borderId="11" xfId="0" applyFill="1" applyBorder="1" applyAlignment="1">
      <alignment vertical="top"/>
    </xf>
    <xf numFmtId="0" fontId="0" fillId="0" borderId="0" xfId="0"/>
    <xf numFmtId="0" fontId="7" fillId="0" borderId="0" xfId="0" applyFont="1" applyAlignment="1"/>
    <xf numFmtId="0" fontId="33" fillId="0" borderId="0" xfId="3" applyFont="1" applyAlignment="1"/>
    <xf numFmtId="0" fontId="0" fillId="0" borderId="4" xfId="0" applyBorder="1" applyAlignment="1"/>
    <xf numFmtId="0" fontId="0" fillId="0" borderId="12" xfId="0" applyBorder="1" applyAlignment="1"/>
    <xf numFmtId="0" fontId="0" fillId="0" borderId="7" xfId="0" applyBorder="1" applyAlignment="1"/>
    <xf numFmtId="0" fontId="0" fillId="0" borderId="0" xfId="0"/>
    <xf numFmtId="0" fontId="22" fillId="0" borderId="0" xfId="0" applyFont="1" applyBorder="1" applyAlignment="1">
      <alignment horizontal="left"/>
    </xf>
    <xf numFmtId="0" fontId="22" fillId="0" borderId="0" xfId="0" applyFont="1" applyAlignment="1">
      <alignment horizontal="left" vertical="top" wrapText="1"/>
    </xf>
    <xf numFmtId="0" fontId="21" fillId="0" borderId="0" xfId="0" applyFont="1" applyAlignment="1">
      <alignment horizontal="left" vertical="top" wrapText="1"/>
    </xf>
    <xf numFmtId="0" fontId="7" fillId="0" borderId="0" xfId="0" applyFont="1" applyAlignment="1">
      <alignment horizontal="left" vertical="top"/>
    </xf>
    <xf numFmtId="0" fontId="0" fillId="0" borderId="0" xfId="0" applyAlignment="1">
      <alignment horizontal="left"/>
    </xf>
    <xf numFmtId="0" fontId="0" fillId="0" borderId="0" xfId="0"/>
    <xf numFmtId="0" fontId="12" fillId="0" borderId="0" xfId="0" applyFont="1" applyAlignment="1"/>
    <xf numFmtId="0" fontId="31" fillId="0" borderId="0" xfId="0" applyFont="1" applyAlignment="1">
      <alignment vertical="center"/>
    </xf>
    <xf numFmtId="0" fontId="30" fillId="0" borderId="0" xfId="0" applyFont="1" applyAlignment="1">
      <alignment vertical="center"/>
    </xf>
    <xf numFmtId="0" fontId="24" fillId="0" borderId="0" xfId="0" applyFont="1" applyFill="1" applyAlignment="1"/>
    <xf numFmtId="0" fontId="0" fillId="0" borderId="0" xfId="0" applyFill="1" applyAlignment="1"/>
    <xf numFmtId="0" fontId="30" fillId="0" borderId="0" xfId="0" applyFont="1" applyFill="1" applyAlignment="1">
      <alignment vertical="center"/>
    </xf>
    <xf numFmtId="0" fontId="0" fillId="0" borderId="0" xfId="0" applyFill="1"/>
    <xf numFmtId="0" fontId="22" fillId="0" borderId="23" xfId="0" applyFont="1" applyBorder="1" applyAlignment="1">
      <alignment horizontal="center" vertical="center"/>
    </xf>
    <xf numFmtId="0" fontId="21" fillId="0" borderId="0" xfId="0" applyFont="1" applyAlignment="1">
      <alignment horizontal="left" vertical="center"/>
    </xf>
    <xf numFmtId="0" fontId="7" fillId="5" borderId="11" xfId="0" applyFont="1" applyFill="1" applyBorder="1" applyAlignment="1"/>
    <xf numFmtId="0" fontId="0" fillId="5" borderId="0" xfId="0" applyFont="1" applyFill="1" applyBorder="1" applyAlignment="1"/>
    <xf numFmtId="14" fontId="0" fillId="0" borderId="0" xfId="0" quotePrefix="1" applyNumberFormat="1" applyAlignment="1">
      <alignment horizontal="left"/>
    </xf>
    <xf numFmtId="0" fontId="11" fillId="0" borderId="5" xfId="0"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21" fillId="0" borderId="5" xfId="0" applyFont="1" applyBorder="1" applyAlignment="1">
      <alignment vertical="center"/>
    </xf>
    <xf numFmtId="0" fontId="21" fillId="0" borderId="6" xfId="0" applyFont="1" applyBorder="1" applyAlignment="1">
      <alignment vertical="center"/>
    </xf>
    <xf numFmtId="0" fontId="21" fillId="0" borderId="7" xfId="0" applyFont="1" applyBorder="1" applyAlignment="1">
      <alignment vertical="center"/>
    </xf>
    <xf numFmtId="0" fontId="22" fillId="0" borderId="0" xfId="0" applyFont="1" applyBorder="1" applyAlignment="1"/>
    <xf numFmtId="0" fontId="7" fillId="0" borderId="0" xfId="0" applyFont="1" applyAlignment="1">
      <alignment horizontal="center" vertical="center"/>
    </xf>
    <xf numFmtId="0" fontId="7" fillId="0" borderId="0" xfId="0" applyFont="1" applyAlignment="1">
      <alignment horizontal="center" vertical="top"/>
    </xf>
    <xf numFmtId="0" fontId="0" fillId="6" borderId="0" xfId="0" applyFill="1" applyAlignment="1">
      <alignment horizontal="center"/>
    </xf>
    <xf numFmtId="0" fontId="24"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0" fillId="0" borderId="0" xfId="0" applyFont="1" applyAlignment="1">
      <alignment horizontal="center" vertical="center"/>
    </xf>
    <xf numFmtId="0" fontId="22" fillId="0" borderId="11" xfId="0" applyFont="1" applyBorder="1" applyAlignment="1">
      <alignment horizontal="left"/>
    </xf>
    <xf numFmtId="0" fontId="22" fillId="0" borderId="0" xfId="0" applyFont="1" applyBorder="1" applyAlignment="1">
      <alignment horizontal="left"/>
    </xf>
    <xf numFmtId="0" fontId="10" fillId="0" borderId="0" xfId="0" applyFont="1" applyAlignment="1">
      <alignment horizontal="center"/>
    </xf>
    <xf numFmtId="0" fontId="22" fillId="0" borderId="0" xfId="0" applyFont="1" applyAlignment="1">
      <alignment horizontal="left" vertical="top" wrapText="1"/>
    </xf>
    <xf numFmtId="0" fontId="21" fillId="0" borderId="0" xfId="0" applyFont="1" applyAlignment="1">
      <alignment horizontal="left" vertical="top" wrapText="1"/>
    </xf>
    <xf numFmtId="0" fontId="7" fillId="0" borderId="0" xfId="0" applyFont="1" applyAlignment="1">
      <alignment horizontal="left" vertical="top"/>
    </xf>
    <xf numFmtId="0" fontId="7" fillId="0" borderId="1" xfId="0" applyFont="1" applyBorder="1" applyAlignment="1">
      <alignment horizontal="center" vertical="top"/>
    </xf>
    <xf numFmtId="14" fontId="0" fillId="0" borderId="1" xfId="0" applyNumberFormat="1" applyBorder="1" applyAlignment="1">
      <alignment horizontal="center"/>
    </xf>
    <xf numFmtId="14" fontId="0" fillId="0" borderId="0" xfId="0" applyNumberFormat="1" applyBorder="1" applyAlignment="1">
      <alignment horizontal="left"/>
    </xf>
    <xf numFmtId="0" fontId="0" fillId="0" borderId="0" xfId="0" applyBorder="1" applyAlignment="1">
      <alignment horizontal="left"/>
    </xf>
    <xf numFmtId="0" fontId="22" fillId="0" borderId="12" xfId="0" applyFont="1" applyBorder="1" applyAlignment="1">
      <alignment horizontal="left"/>
    </xf>
    <xf numFmtId="0" fontId="22" fillId="0" borderId="8" xfId="0" applyFont="1" applyBorder="1" applyAlignment="1">
      <alignment horizontal="center"/>
    </xf>
    <xf numFmtId="0" fontId="22" fillId="0" borderId="9" xfId="0" applyFont="1" applyBorder="1" applyAlignment="1">
      <alignment horizontal="center"/>
    </xf>
    <xf numFmtId="0" fontId="22" fillId="0" borderId="10" xfId="0" applyFont="1" applyBorder="1" applyAlignment="1">
      <alignment horizontal="center"/>
    </xf>
    <xf numFmtId="0" fontId="22" fillId="0" borderId="5" xfId="0" applyFont="1" applyBorder="1" applyAlignment="1">
      <alignment horizontal="center"/>
    </xf>
    <xf numFmtId="0" fontId="22" fillId="0" borderId="6" xfId="0" applyFont="1" applyBorder="1" applyAlignment="1">
      <alignment horizontal="center"/>
    </xf>
    <xf numFmtId="0" fontId="22" fillId="0" borderId="7" xfId="0" applyFont="1" applyBorder="1" applyAlignment="1">
      <alignment horizontal="center"/>
    </xf>
    <xf numFmtId="14" fontId="2" fillId="0" borderId="0" xfId="0" applyNumberFormat="1" applyFont="1" applyBorder="1" applyAlignment="1">
      <alignment horizontal="left" vertical="center"/>
    </xf>
    <xf numFmtId="0" fontId="2" fillId="0" borderId="0" xfId="0" applyFont="1" applyBorder="1" applyAlignment="1">
      <alignment horizontal="left" vertical="center"/>
    </xf>
    <xf numFmtId="0" fontId="2" fillId="0" borderId="12" xfId="0" applyFont="1" applyBorder="1" applyAlignment="1">
      <alignment horizontal="left" vertical="center"/>
    </xf>
    <xf numFmtId="0" fontId="21" fillId="0" borderId="11" xfId="0" applyFont="1" applyBorder="1" applyAlignment="1">
      <alignment horizontal="left" vertical="center"/>
    </xf>
    <xf numFmtId="0" fontId="21" fillId="0" borderId="0" xfId="0" applyFont="1" applyBorder="1" applyAlignment="1">
      <alignment horizontal="left" vertical="center"/>
    </xf>
    <xf numFmtId="14" fontId="3" fillId="0" borderId="0" xfId="0" applyNumberFormat="1" applyFont="1" applyBorder="1" applyAlignment="1">
      <alignment horizontal="left" vertical="center"/>
    </xf>
    <xf numFmtId="14" fontId="3" fillId="0" borderId="12" xfId="0" applyNumberFormat="1" applyFont="1" applyBorder="1" applyAlignment="1">
      <alignment horizontal="left" vertical="center"/>
    </xf>
    <xf numFmtId="0" fontId="0" fillId="0" borderId="27" xfId="0" applyBorder="1" applyAlignment="1">
      <alignment horizontal="right"/>
    </xf>
    <xf numFmtId="2" fontId="20" fillId="0" borderId="24" xfId="0" applyNumberFormat="1" applyFont="1" applyBorder="1" applyAlignment="1">
      <alignment horizontal="center" vertical="center"/>
    </xf>
    <xf numFmtId="0" fontId="5" fillId="0" borderId="11" xfId="0" applyFont="1" applyBorder="1" applyAlignment="1">
      <alignment horizontal="center" vertical="center"/>
    </xf>
    <xf numFmtId="0" fontId="5" fillId="0" borderId="0" xfId="0" applyFont="1" applyBorder="1" applyAlignment="1">
      <alignment horizontal="center" vertical="center"/>
    </xf>
    <xf numFmtId="2" fontId="5" fillId="0" borderId="24" xfId="0" applyNumberFormat="1" applyFont="1" applyBorder="1" applyAlignment="1">
      <alignment horizontal="center" vertical="center"/>
    </xf>
    <xf numFmtId="0" fontId="0" fillId="0" borderId="24" xfId="0" applyBorder="1" applyAlignment="1">
      <alignment horizontal="center" vertical="center"/>
    </xf>
    <xf numFmtId="0" fontId="21" fillId="0" borderId="0" xfId="0" applyFont="1" applyAlignment="1">
      <alignment horizontal="left" vertical="center"/>
    </xf>
    <xf numFmtId="49" fontId="0" fillId="0" borderId="24" xfId="0" applyNumberFormat="1" applyBorder="1" applyAlignment="1">
      <alignment horizontal="center" vertical="center"/>
    </xf>
    <xf numFmtId="49" fontId="0" fillId="0" borderId="23" xfId="0" applyNumberFormat="1" applyBorder="1" applyAlignment="1">
      <alignment horizontal="center" vertical="center"/>
    </xf>
    <xf numFmtId="0" fontId="22" fillId="0" borderId="11" xfId="0" applyFont="1" applyBorder="1" applyAlignment="1">
      <alignment horizontal="left" vertical="center"/>
    </xf>
    <xf numFmtId="0" fontId="22" fillId="0" borderId="0" xfId="0" applyFont="1" applyBorder="1" applyAlignment="1">
      <alignment horizontal="left" vertical="center"/>
    </xf>
    <xf numFmtId="0" fontId="0" fillId="0" borderId="24" xfId="0" quotePrefix="1" applyBorder="1" applyAlignment="1">
      <alignment horizontal="center" vertical="center"/>
    </xf>
    <xf numFmtId="0" fontId="0" fillId="0" borderId="23" xfId="0" applyBorder="1" applyAlignment="1">
      <alignment horizontal="center" vertical="center"/>
    </xf>
    <xf numFmtId="0" fontId="0" fillId="0" borderId="24" xfId="0" applyFont="1" applyBorder="1" applyAlignment="1">
      <alignment horizontal="center" vertical="center"/>
    </xf>
    <xf numFmtId="0" fontId="30" fillId="0" borderId="11"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12" xfId="0" applyFont="1" applyBorder="1" applyAlignment="1">
      <alignment horizontal="center" vertical="center" wrapText="1"/>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22" fillId="0" borderId="0" xfId="0" applyFont="1" applyAlignment="1">
      <alignment horizontal="left" vertical="center"/>
    </xf>
    <xf numFmtId="0" fontId="9" fillId="0" borderId="11" xfId="0" applyFont="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left" vertical="center" wrapText="1"/>
    </xf>
    <xf numFmtId="0" fontId="9" fillId="0" borderId="1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0" xfId="0" applyFont="1" applyBorder="1" applyAlignment="1">
      <alignment horizontal="center" vertical="center" wrapText="1"/>
    </xf>
    <xf numFmtId="0" fontId="0" fillId="0" borderId="11" xfId="0" applyBorder="1" applyAlignment="1">
      <alignment horizontal="left"/>
    </xf>
    <xf numFmtId="0" fontId="0" fillId="0" borderId="0" xfId="0" applyBorder="1" applyAlignment="1">
      <alignment horizontal="center"/>
    </xf>
    <xf numFmtId="0" fontId="0" fillId="0" borderId="12" xfId="0" applyBorder="1" applyAlignment="1">
      <alignment horizontal="center"/>
    </xf>
    <xf numFmtId="0" fontId="22" fillId="0" borderId="24" xfId="0" applyFont="1" applyBorder="1" applyAlignment="1">
      <alignment horizontal="center" vertical="center"/>
    </xf>
    <xf numFmtId="0" fontId="22" fillId="0" borderId="23" xfId="0" applyFont="1" applyBorder="1" applyAlignment="1">
      <alignment horizontal="center" vertical="center"/>
    </xf>
    <xf numFmtId="2" fontId="0" fillId="0" borderId="24" xfId="0" applyNumberFormat="1" applyBorder="1" applyAlignment="1">
      <alignment horizontal="center" vertical="center"/>
    </xf>
    <xf numFmtId="2" fontId="0" fillId="0" borderId="23" xfId="0" applyNumberFormat="1" applyBorder="1" applyAlignment="1">
      <alignment horizontal="center" vertical="center"/>
    </xf>
    <xf numFmtId="170" fontId="0" fillId="0" borderId="24"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3" borderId="0" xfId="0" applyFill="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12" xfId="0" applyBorder="1" applyAlignment="1">
      <alignment horizontal="left" vertical="center"/>
    </xf>
    <xf numFmtId="164" fontId="0" fillId="0" borderId="25" xfId="0" applyNumberFormat="1" applyBorder="1" applyAlignment="1">
      <alignment horizontal="center"/>
    </xf>
    <xf numFmtId="164" fontId="0" fillId="0" borderId="24" xfId="0" applyNumberFormat="1" applyBorder="1" applyAlignment="1">
      <alignment horizontal="center"/>
    </xf>
    <xf numFmtId="164" fontId="0" fillId="0" borderId="23" xfId="0" applyNumberFormat="1" applyBorder="1" applyAlignment="1">
      <alignment horizontal="center"/>
    </xf>
    <xf numFmtId="0" fontId="12" fillId="0" borderId="9" xfId="0" applyFont="1" applyBorder="1" applyAlignment="1">
      <alignment horizontal="center" vertical="center"/>
    </xf>
    <xf numFmtId="168" fontId="0" fillId="0" borderId="24" xfId="0" applyNumberFormat="1" applyBorder="1" applyAlignment="1">
      <alignment horizontal="center" vertical="center"/>
    </xf>
    <xf numFmtId="168" fontId="0" fillId="0" borderId="23" xfId="0" applyNumberFormat="1" applyBorder="1" applyAlignment="1">
      <alignment horizontal="center" vertical="center"/>
    </xf>
    <xf numFmtId="0" fontId="0" fillId="0" borderId="2" xfId="0" applyBorder="1" applyAlignment="1">
      <alignment horizontal="left"/>
    </xf>
    <xf numFmtId="0" fontId="0" fillId="0" borderId="3"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11" xfId="0" applyFont="1" applyBorder="1" applyAlignment="1">
      <alignment horizontal="center" vertical="center"/>
    </xf>
    <xf numFmtId="0" fontId="10" fillId="0" borderId="0" xfId="0" applyFont="1" applyBorder="1" applyAlignment="1">
      <alignment horizontal="center" vertical="center"/>
    </xf>
    <xf numFmtId="0" fontId="10" fillId="0" borderId="12"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2" xfId="0" applyFont="1" applyBorder="1" applyAlignment="1">
      <alignment horizontal="left"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12" fillId="0" borderId="11" xfId="0" applyFont="1" applyBorder="1" applyAlignment="1">
      <alignment horizontal="left" vertical="top" wrapText="1"/>
    </xf>
    <xf numFmtId="0" fontId="12" fillId="0" borderId="0" xfId="0" applyFont="1" applyBorder="1" applyAlignment="1">
      <alignment horizontal="left" vertical="top" wrapText="1"/>
    </xf>
    <xf numFmtId="0" fontId="12" fillId="0" borderId="12" xfId="0" applyFont="1" applyBorder="1" applyAlignment="1">
      <alignment horizontal="left" vertical="top" wrapText="1"/>
    </xf>
    <xf numFmtId="0" fontId="11" fillId="0" borderId="11" xfId="0" applyFont="1" applyBorder="1" applyAlignment="1">
      <alignment horizontal="left" vertical="center"/>
    </xf>
    <xf numFmtId="0" fontId="11" fillId="0" borderId="0" xfId="0" applyFont="1" applyBorder="1" applyAlignment="1">
      <alignment horizontal="left" vertical="center"/>
    </xf>
    <xf numFmtId="14" fontId="11" fillId="0" borderId="0" xfId="0" applyNumberFormat="1" applyFont="1" applyBorder="1" applyAlignment="1">
      <alignment horizontal="left" vertical="center"/>
    </xf>
    <xf numFmtId="0" fontId="11" fillId="0" borderId="12"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0" xfId="0" applyFont="1" applyBorder="1" applyAlignment="1">
      <alignment horizontal="left" vertical="top" wrapText="1"/>
    </xf>
    <xf numFmtId="0" fontId="9" fillId="0" borderId="12" xfId="0" applyFont="1" applyBorder="1" applyAlignment="1">
      <alignment horizontal="left" vertical="top" wrapText="1"/>
    </xf>
    <xf numFmtId="0" fontId="11" fillId="0" borderId="9" xfId="0" applyNumberFormat="1" applyFont="1" applyBorder="1" applyAlignment="1">
      <alignment horizontal="left" vertical="center" wrapText="1"/>
    </xf>
    <xf numFmtId="0" fontId="11" fillId="0" borderId="10" xfId="0" applyNumberFormat="1" applyFont="1" applyBorder="1" applyAlignment="1">
      <alignment horizontal="left" vertical="center" wrapTex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3" xfId="0" applyNumberFormat="1" applyFont="1" applyBorder="1" applyAlignment="1">
      <alignment horizontal="left" vertical="center" wrapText="1"/>
    </xf>
    <xf numFmtId="0" fontId="11" fillId="0" borderId="4" xfId="0" applyNumberFormat="1" applyFont="1" applyBorder="1" applyAlignment="1">
      <alignment horizontal="left" vertical="center" wrapText="1"/>
    </xf>
    <xf numFmtId="171" fontId="0" fillId="0" borderId="1" xfId="0" applyNumberFormat="1" applyBorder="1" applyAlignment="1">
      <alignment horizontal="center" vertical="center"/>
    </xf>
    <xf numFmtId="164" fontId="0" fillId="0" borderId="1" xfId="0" applyNumberFormat="1" applyBorder="1" applyAlignment="1">
      <alignment horizontal="center" vertical="center"/>
    </xf>
    <xf numFmtId="170" fontId="0" fillId="0" borderId="8" xfId="0" applyNumberFormat="1" applyBorder="1" applyAlignment="1">
      <alignment horizontal="center" vertical="center"/>
    </xf>
    <xf numFmtId="170" fontId="0" fillId="0" borderId="10" xfId="0" applyNumberFormat="1" applyBorder="1" applyAlignment="1">
      <alignment horizontal="center" vertical="center"/>
    </xf>
    <xf numFmtId="164" fontId="0" fillId="0" borderId="10" xfId="0" applyNumberFormat="1" applyBorder="1" applyAlignment="1">
      <alignment horizontal="center" vertical="center"/>
    </xf>
    <xf numFmtId="0" fontId="0" fillId="0" borderId="1" xfId="0" applyBorder="1" applyAlignment="1">
      <alignment horizontal="center" vertical="center"/>
    </xf>
    <xf numFmtId="164" fontId="0" fillId="0" borderId="8" xfId="0" applyNumberFormat="1" applyBorder="1" applyAlignment="1">
      <alignment horizontal="center" vertical="center"/>
    </xf>
    <xf numFmtId="0" fontId="6" fillId="0" borderId="1" xfId="0" applyFont="1" applyBorder="1" applyAlignment="1">
      <alignment horizontal="center" vertical="center"/>
    </xf>
    <xf numFmtId="0" fontId="0" fillId="0" borderId="11" xfId="0" applyBorder="1" applyAlignment="1">
      <alignment horizontal="left" vertical="center"/>
    </xf>
    <xf numFmtId="164" fontId="0" fillId="0" borderId="0" xfId="0" applyNumberFormat="1" applyBorder="1" applyAlignment="1">
      <alignment horizontal="left" vertical="center"/>
    </xf>
    <xf numFmtId="0" fontId="0" fillId="0" borderId="0" xfId="0" applyNumberFormat="1" applyBorder="1" applyAlignment="1">
      <alignment horizontal="left" vertical="center"/>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11" fillId="0" borderId="10" xfId="0" applyFont="1" applyBorder="1" applyAlignment="1">
      <alignment horizontal="left" vertical="center"/>
    </xf>
    <xf numFmtId="0" fontId="7" fillId="0" borderId="11" xfId="0" applyFont="1" applyBorder="1" applyAlignment="1">
      <alignment horizontal="left" vertical="center"/>
    </xf>
    <xf numFmtId="0" fontId="7" fillId="0" borderId="0" xfId="0" applyFont="1" applyBorder="1" applyAlignment="1">
      <alignment horizontal="left"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0" fillId="0" borderId="8" xfId="0" applyNumberFormat="1" applyBorder="1" applyAlignment="1">
      <alignment horizontal="center" vertical="center"/>
    </xf>
    <xf numFmtId="0" fontId="0" fillId="0" borderId="9" xfId="0" applyNumberFormat="1" applyBorder="1" applyAlignment="1">
      <alignment horizontal="center" vertical="center"/>
    </xf>
    <xf numFmtId="0" fontId="0" fillId="0" borderId="10" xfId="0" applyNumberForma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3" xfId="0" applyNumberFormat="1" applyFont="1" applyBorder="1" applyAlignment="1">
      <alignment horizontal="left" vertical="center" wrapText="1" shrinkToFit="1"/>
    </xf>
    <xf numFmtId="0" fontId="9" fillId="0" borderId="4" xfId="0" applyNumberFormat="1" applyFont="1" applyBorder="1" applyAlignment="1">
      <alignment horizontal="left" vertical="center" wrapText="1" shrinkToFi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0" fillId="0" borderId="8" xfId="0" applyBorder="1" applyAlignment="1">
      <alignment horizontal="center" vertical="center"/>
    </xf>
    <xf numFmtId="0" fontId="0" fillId="0" borderId="10" xfId="0" applyBorder="1" applyAlignment="1">
      <alignment horizontal="center" vertical="center"/>
    </xf>
    <xf numFmtId="49" fontId="0" fillId="0" borderId="8" xfId="0" applyNumberFormat="1" applyBorder="1" applyAlignment="1">
      <alignment horizontal="center" vertical="center"/>
    </xf>
    <xf numFmtId="49" fontId="0" fillId="0" borderId="10" xfId="0" applyNumberFormat="1" applyBorder="1" applyAlignment="1">
      <alignment horizontal="center" vertical="center"/>
    </xf>
    <xf numFmtId="0" fontId="0" fillId="0" borderId="9" xfId="0" applyBorder="1" applyAlignment="1">
      <alignment horizontal="center" vertical="center"/>
    </xf>
    <xf numFmtId="0" fontId="10" fillId="0" borderId="8" xfId="0" applyFont="1" applyBorder="1" applyAlignment="1">
      <alignment horizontal="right" vertical="center"/>
    </xf>
    <xf numFmtId="0" fontId="10" fillId="0" borderId="9" xfId="0" applyFont="1" applyBorder="1" applyAlignment="1">
      <alignment horizontal="right" vertical="center"/>
    </xf>
    <xf numFmtId="169" fontId="10" fillId="0" borderId="9" xfId="0" applyNumberFormat="1" applyFont="1" applyBorder="1" applyAlignment="1">
      <alignment horizontal="left" vertical="center"/>
    </xf>
    <xf numFmtId="169" fontId="10" fillId="0" borderId="10" xfId="0" applyNumberFormat="1" applyFont="1" applyBorder="1" applyAlignment="1">
      <alignment horizontal="left" vertical="center"/>
    </xf>
    <xf numFmtId="0" fontId="0" fillId="0" borderId="8" xfId="0" applyBorder="1" applyAlignment="1">
      <alignment horizontal="right" vertical="center"/>
    </xf>
    <xf numFmtId="0" fontId="0" fillId="0" borderId="10" xfId="0" applyBorder="1" applyAlignment="1">
      <alignment horizontal="righ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18" fillId="0" borderId="3" xfId="0" applyFont="1" applyBorder="1" applyAlignment="1">
      <alignment horizontal="left" vertical="top" wrapText="1"/>
    </xf>
    <xf numFmtId="0" fontId="18" fillId="0" borderId="4" xfId="0" applyFont="1" applyBorder="1" applyAlignment="1">
      <alignment horizontal="left" vertical="top" wrapText="1"/>
    </xf>
    <xf numFmtId="0" fontId="18" fillId="0" borderId="0" xfId="0" applyFont="1" applyBorder="1" applyAlignment="1">
      <alignment horizontal="left" vertical="top" wrapText="1"/>
    </xf>
    <xf numFmtId="0" fontId="18" fillId="0" borderId="12" xfId="0" applyFont="1" applyBorder="1" applyAlignment="1">
      <alignment horizontal="left" vertical="top" wrapText="1"/>
    </xf>
    <xf numFmtId="165" fontId="0" fillId="0" borderId="1" xfId="0" applyNumberFormat="1" applyBorder="1" applyAlignment="1">
      <alignment horizontal="center" vertical="center"/>
    </xf>
    <xf numFmtId="168" fontId="0" fillId="0" borderId="1" xfId="0" applyNumberFormat="1" applyBorder="1" applyAlignment="1">
      <alignment horizontal="center" vertical="center"/>
    </xf>
    <xf numFmtId="165" fontId="0" fillId="0" borderId="0" xfId="0" applyNumberFormat="1" applyBorder="1" applyAlignment="1">
      <alignment horizontal="left" vertical="center"/>
    </xf>
    <xf numFmtId="49" fontId="0" fillId="0" borderId="1" xfId="0" applyNumberFormat="1" applyBorder="1" applyAlignment="1">
      <alignment horizontal="center" vertical="center"/>
    </xf>
    <xf numFmtId="0" fontId="11" fillId="0" borderId="1" xfId="0" applyFont="1" applyBorder="1" applyAlignment="1">
      <alignment horizontal="left" vertical="center"/>
    </xf>
    <xf numFmtId="0" fontId="10" fillId="0" borderId="1" xfId="0" applyFont="1" applyBorder="1" applyAlignment="1">
      <alignment horizontal="left" vertical="center"/>
    </xf>
    <xf numFmtId="0" fontId="0" fillId="0" borderId="1" xfId="0" applyBorder="1" applyAlignment="1">
      <alignment horizontal="right" vertical="center"/>
    </xf>
    <xf numFmtId="0" fontId="0" fillId="0" borderId="1" xfId="0" applyBorder="1" applyAlignment="1">
      <alignment horizontal="left" vertical="center"/>
    </xf>
    <xf numFmtId="164" fontId="0" fillId="0" borderId="0" xfId="0" applyNumberFormat="1" applyBorder="1" applyAlignment="1">
      <alignment horizontal="center" vertical="center"/>
    </xf>
    <xf numFmtId="165" fontId="0" fillId="0" borderId="0" xfId="0" applyNumberFormat="1" applyBorder="1" applyAlignment="1">
      <alignment horizontal="center" vertical="center"/>
    </xf>
    <xf numFmtId="0" fontId="7" fillId="2" borderId="1" xfId="1" applyFont="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12" fillId="0" borderId="1" xfId="0" applyFont="1" applyBorder="1" applyAlignment="1">
      <alignment horizontal="center" vertical="center"/>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28" fillId="0" borderId="11" xfId="0" applyFont="1" applyBorder="1" applyAlignment="1">
      <alignment horizontal="left" vertical="top" wrapText="1"/>
    </xf>
    <xf numFmtId="0" fontId="28" fillId="0" borderId="0" xfId="0" applyFont="1" applyBorder="1" applyAlignment="1">
      <alignment horizontal="left" vertical="top" wrapText="1"/>
    </xf>
    <xf numFmtId="0" fontId="28" fillId="0" borderId="12" xfId="0" applyFont="1" applyBorder="1" applyAlignment="1">
      <alignment horizontal="left" vertical="top" wrapText="1"/>
    </xf>
    <xf numFmtId="0" fontId="28" fillId="0" borderId="6" xfId="0" applyFont="1" applyBorder="1" applyAlignment="1">
      <alignment horizontal="left" vertical="top" wrapText="1"/>
    </xf>
    <xf numFmtId="0" fontId="28" fillId="0" borderId="7" xfId="0" applyFont="1" applyBorder="1" applyAlignment="1">
      <alignment horizontal="left" vertical="top" wrapText="1"/>
    </xf>
    <xf numFmtId="0" fontId="7" fillId="0" borderId="1" xfId="0" applyFont="1" applyBorder="1" applyAlignment="1">
      <alignment horizontal="center" vertical="center"/>
    </xf>
    <xf numFmtId="0" fontId="7" fillId="0" borderId="30" xfId="0" applyFont="1" applyBorder="1" applyAlignment="1">
      <alignment horizontal="center" vertical="center"/>
    </xf>
    <xf numFmtId="0" fontId="7" fillId="0" borderId="29" xfId="0" applyFont="1" applyBorder="1" applyAlignment="1">
      <alignment horizontal="center"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166" fontId="0" fillId="0" borderId="1" xfId="0" applyNumberFormat="1" applyBorder="1" applyAlignment="1">
      <alignment horizontal="center" vertical="center"/>
    </xf>
    <xf numFmtId="0" fontId="0" fillId="0" borderId="0" xfId="0" applyAlignment="1">
      <alignment horizontal="left" vertical="center"/>
    </xf>
    <xf numFmtId="0" fontId="9" fillId="0" borderId="0" xfId="0" applyFont="1" applyBorder="1" applyAlignment="1">
      <alignment horizontal="left" vertical="center"/>
    </xf>
    <xf numFmtId="0" fontId="9" fillId="0" borderId="12" xfId="0" applyFont="1" applyBorder="1" applyAlignment="1">
      <alignment horizontal="left" vertical="center"/>
    </xf>
    <xf numFmtId="164" fontId="12" fillId="0" borderId="8" xfId="0" applyNumberFormat="1" applyFont="1" applyBorder="1" applyAlignment="1">
      <alignment horizontal="center" vertical="center"/>
    </xf>
    <xf numFmtId="164" fontId="12" fillId="0" borderId="10" xfId="0" applyNumberFormat="1" applyFont="1" applyBorder="1" applyAlignment="1">
      <alignment horizontal="center" vertical="center"/>
    </xf>
    <xf numFmtId="0" fontId="14" fillId="0" borderId="8" xfId="0" applyFont="1" applyBorder="1" applyAlignment="1">
      <alignment horizontal="center" vertical="center"/>
    </xf>
    <xf numFmtId="0" fontId="14" fillId="0" borderId="10" xfId="0" applyFont="1" applyBorder="1" applyAlignment="1">
      <alignment horizontal="center" vertical="center"/>
    </xf>
    <xf numFmtId="164" fontId="17" fillId="0" borderId="8" xfId="0" applyNumberFormat="1" applyFont="1" applyBorder="1" applyAlignment="1">
      <alignment horizontal="center" vertical="center"/>
    </xf>
    <xf numFmtId="164" fontId="17" fillId="0" borderId="9" xfId="0" applyNumberFormat="1" applyFont="1" applyBorder="1" applyAlignment="1">
      <alignment horizontal="center" vertical="center"/>
    </xf>
    <xf numFmtId="164" fontId="17" fillId="0" borderId="10" xfId="0" applyNumberFormat="1" applyFont="1" applyBorder="1" applyAlignment="1">
      <alignment horizontal="center" vertical="center"/>
    </xf>
    <xf numFmtId="167" fontId="0" fillId="0" borderId="1" xfId="0" applyNumberFormat="1" applyBorder="1" applyAlignment="1">
      <alignment horizontal="center" vertical="center"/>
    </xf>
    <xf numFmtId="0" fontId="15" fillId="0" borderId="8" xfId="0" applyFont="1" applyBorder="1" applyAlignment="1">
      <alignment horizontal="center" vertical="center"/>
    </xf>
    <xf numFmtId="0" fontId="10" fillId="0" borderId="11" xfId="0" applyFont="1" applyBorder="1" applyAlignment="1">
      <alignment horizontal="left" vertical="center"/>
    </xf>
    <xf numFmtId="0" fontId="10" fillId="0" borderId="0" xfId="0" applyFont="1" applyBorder="1" applyAlignment="1">
      <alignment horizontal="left" vertical="center"/>
    </xf>
    <xf numFmtId="0" fontId="10" fillId="0" borderId="12" xfId="0" applyFont="1" applyBorder="1" applyAlignment="1">
      <alignment horizontal="left" vertical="center"/>
    </xf>
    <xf numFmtId="2" fontId="0" fillId="0" borderId="0" xfId="0" applyNumberFormat="1" applyBorder="1" applyAlignment="1">
      <alignment horizontal="right" vertical="center"/>
    </xf>
    <xf numFmtId="164" fontId="0" fillId="0" borderId="0" xfId="0" applyNumberFormat="1" applyBorder="1" applyAlignment="1">
      <alignment horizontal="right" vertical="center"/>
    </xf>
    <xf numFmtId="1" fontId="0" fillId="0" borderId="0" xfId="0" applyNumberFormat="1" applyBorder="1" applyAlignment="1">
      <alignment horizontal="right" vertical="center"/>
    </xf>
    <xf numFmtId="166" fontId="0" fillId="0" borderId="0" xfId="0" applyNumberFormat="1" applyBorder="1" applyAlignment="1">
      <alignment horizontal="left" vertical="center"/>
    </xf>
    <xf numFmtId="166" fontId="0" fillId="0" borderId="12" xfId="0" applyNumberFormat="1" applyBorder="1" applyAlignment="1">
      <alignment horizontal="left" vertical="center"/>
    </xf>
    <xf numFmtId="0" fontId="14" fillId="0" borderId="9" xfId="0" applyFont="1" applyBorder="1" applyAlignment="1">
      <alignment horizontal="center" vertical="center"/>
    </xf>
    <xf numFmtId="0" fontId="9" fillId="0" borderId="3" xfId="0" applyFont="1" applyBorder="1" applyAlignment="1">
      <alignment horizontal="left" vertical="center" wrapText="1" shrinkToFit="1"/>
    </xf>
    <xf numFmtId="0" fontId="9" fillId="0" borderId="4" xfId="0" applyFont="1" applyBorder="1" applyAlignment="1">
      <alignment horizontal="left" vertical="center" wrapText="1" shrinkToFit="1"/>
    </xf>
    <xf numFmtId="0" fontId="8" fillId="5" borderId="2" xfId="0" applyFont="1" applyFill="1" applyBorder="1" applyAlignment="1">
      <alignment horizontal="left" vertical="center"/>
    </xf>
    <xf numFmtId="0" fontId="8" fillId="5" borderId="3" xfId="0" applyFont="1" applyFill="1" applyBorder="1" applyAlignment="1">
      <alignment horizontal="left" vertical="center"/>
    </xf>
    <xf numFmtId="0" fontId="12" fillId="5" borderId="3" xfId="0" applyFont="1" applyFill="1" applyBorder="1" applyAlignment="1">
      <alignment horizontal="left" vertical="center"/>
    </xf>
    <xf numFmtId="0" fontId="12" fillId="5" borderId="3" xfId="0" applyFont="1" applyFill="1" applyBorder="1" applyAlignment="1">
      <alignment horizontal="right" vertical="center"/>
    </xf>
    <xf numFmtId="0" fontId="12" fillId="5" borderId="3" xfId="0" applyFont="1" applyFill="1" applyBorder="1" applyAlignment="1">
      <alignment horizontal="center" vertical="center"/>
    </xf>
    <xf numFmtId="0" fontId="0" fillId="5" borderId="11" xfId="0" applyFill="1" applyBorder="1" applyAlignment="1">
      <alignment horizontal="left" vertical="top" wrapText="1"/>
    </xf>
    <xf numFmtId="0" fontId="0" fillId="5" borderId="0" xfId="0" applyFill="1" applyBorder="1" applyAlignment="1">
      <alignment horizontal="left" vertical="top"/>
    </xf>
    <xf numFmtId="0" fontId="0" fillId="5" borderId="12" xfId="0" applyFill="1" applyBorder="1" applyAlignment="1">
      <alignment horizontal="left" vertical="top"/>
    </xf>
    <xf numFmtId="0" fontId="0" fillId="5" borderId="11" xfId="0" applyFill="1" applyBorder="1" applyAlignment="1">
      <alignment horizontal="left" vertical="top"/>
    </xf>
    <xf numFmtId="0" fontId="7" fillId="5" borderId="11" xfId="0" applyFont="1" applyFill="1" applyBorder="1" applyAlignment="1">
      <alignment horizontal="center" vertical="top"/>
    </xf>
    <xf numFmtId="0" fontId="7" fillId="5" borderId="0" xfId="0" applyFont="1" applyFill="1" applyBorder="1" applyAlignment="1">
      <alignment horizontal="center" vertical="top"/>
    </xf>
    <xf numFmtId="0" fontId="7" fillId="5" borderId="12" xfId="0" applyFont="1" applyFill="1" applyBorder="1" applyAlignment="1">
      <alignment horizontal="center" vertical="top"/>
    </xf>
  </cellXfs>
  <cellStyles count="4">
    <cellStyle name="Çıkış" xfId="2" builtinId="21"/>
    <cellStyle name="İyi" xfId="1" builtinId="26"/>
    <cellStyle name="Köprü" xfId="3" builtinId="8"/>
    <cellStyle name="Normal" xfId="0" builtinId="0"/>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mruColors>
      <color rgb="FFFFCC00"/>
      <color rgb="FFFF9900"/>
      <color rgb="FFFF2D2D"/>
      <color rgb="FF33CC33"/>
      <color rgb="FFFF2F2F"/>
      <color rgb="FFFF3B3B"/>
      <color rgb="FFFF4747"/>
      <color rgb="FFFF4B4B"/>
      <color rgb="FF57E779"/>
      <color rgb="FFBAE1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 SARGI DİRENCİ YÜZDE</a:t>
            </a:r>
            <a:r>
              <a:rPr lang="tr-TR" baseline="0"/>
              <a:t> HATA ORANLARI</a:t>
            </a:r>
          </a:p>
        </c:rich>
      </c:tx>
      <c:layout/>
      <c:overlay val="0"/>
      <c:spPr>
        <a:noFill/>
        <a:ln>
          <a:noFill/>
        </a:ln>
        <a:effectLst/>
      </c:spPr>
    </c:title>
    <c:autoTitleDeleted val="0"/>
    <c:plotArea>
      <c:layout/>
      <c:scatterChart>
        <c:scatterStyle val="lineMarker"/>
        <c:varyColors val="0"/>
        <c:ser>
          <c:idx val="0"/>
          <c:order val="0"/>
          <c:tx>
            <c:strRef>
              <c:f>'OG SARGI MEVCUT KADEME'!$T$21:$T$24</c:f>
              <c:strCache>
                <c:ptCount val="4"/>
                <c:pt idx="0">
                  <c:v>A</c:v>
                </c:pt>
                <c:pt idx="1">
                  <c:v>B</c:v>
                </c:pt>
                <c:pt idx="2">
                  <c:v>C</c:v>
                </c:pt>
                <c:pt idx="3">
                  <c:v>SINIR DEĞER</c:v>
                </c:pt>
              </c:strCache>
            </c:strRef>
          </c:tx>
          <c:spPr>
            <a:ln w="28575" cap="rnd">
              <a:noFill/>
              <a:round/>
            </a:ln>
            <a:effectLst/>
          </c:spPr>
          <c:marker>
            <c:symbol val="circle"/>
            <c:size val="5"/>
            <c:spPr>
              <a:solidFill>
                <a:schemeClr val="accent1"/>
              </a:solidFill>
              <a:ln w="9525">
                <a:solidFill>
                  <a:schemeClr val="accent1"/>
                </a:solidFill>
              </a:ln>
              <a:effectLst/>
            </c:spPr>
          </c:marker>
          <c:dPt>
            <c:idx val="0"/>
            <c:marker>
              <c:symbol val="circle"/>
              <c:size val="7"/>
            </c:marker>
            <c:bubble3D val="0"/>
            <c:extLst xmlns:c16r2="http://schemas.microsoft.com/office/drawing/2015/06/chart">
              <c:ext xmlns:c16="http://schemas.microsoft.com/office/drawing/2014/chart" uri="{C3380CC4-5D6E-409C-BE32-E72D297353CC}">
                <c16:uniqueId val="{00000000-6068-4D90-9F2E-FBCA9A59C381}"/>
              </c:ext>
            </c:extLst>
          </c:dPt>
          <c:dPt>
            <c:idx val="1"/>
            <c:marker>
              <c:symbol val="circle"/>
              <c:size val="7"/>
              <c:spPr>
                <a:solidFill>
                  <a:srgbClr val="00B050"/>
                </a:solidFill>
                <a:ln w="9525">
                  <a:solidFill>
                    <a:srgbClr val="00B050"/>
                  </a:solidFill>
                </a:ln>
                <a:effectLst/>
              </c:spPr>
            </c:marker>
            <c:bubble3D val="0"/>
            <c:extLst xmlns:c16r2="http://schemas.microsoft.com/office/drawing/2015/06/chart">
              <c:ext xmlns:c16="http://schemas.microsoft.com/office/drawing/2014/chart" uri="{C3380CC4-5D6E-409C-BE32-E72D297353CC}">
                <c16:uniqueId val="{00000001-6068-4D90-9F2E-FBCA9A59C381}"/>
              </c:ext>
            </c:extLst>
          </c:dPt>
          <c:dPt>
            <c:idx val="2"/>
            <c:marker>
              <c:symbol val="circle"/>
              <c:size val="7"/>
              <c:spPr>
                <a:solidFill>
                  <a:schemeClr val="accent6">
                    <a:lumMod val="75000"/>
                  </a:schemeClr>
                </a:solidFill>
                <a:ln w="9525">
                  <a:solidFill>
                    <a:schemeClr val="accent6">
                      <a:lumMod val="75000"/>
                    </a:schemeClr>
                  </a:solidFill>
                </a:ln>
                <a:effectLst/>
              </c:spPr>
            </c:marker>
            <c:bubble3D val="0"/>
            <c:extLst xmlns:c16r2="http://schemas.microsoft.com/office/drawing/2015/06/chart">
              <c:ext xmlns:c16="http://schemas.microsoft.com/office/drawing/2014/chart" uri="{C3380CC4-5D6E-409C-BE32-E72D297353CC}">
                <c16:uniqueId val="{00000002-6068-4D90-9F2E-FBCA9A59C381}"/>
              </c:ext>
            </c:extLst>
          </c:dPt>
          <c:dPt>
            <c:idx val="3"/>
            <c:marker>
              <c:symbol val="triangle"/>
              <c:size val="10"/>
              <c:spPr>
                <a:solidFill>
                  <a:schemeClr val="accent2"/>
                </a:solidFill>
                <a:ln w="9525">
                  <a:solidFill>
                    <a:schemeClr val="accent2"/>
                  </a:solidFill>
                </a:ln>
                <a:effectLst/>
              </c:spPr>
            </c:marker>
            <c:bubble3D val="0"/>
            <c:extLst xmlns:c16r2="http://schemas.microsoft.com/office/drawing/2015/06/chart">
              <c:ext xmlns:c16="http://schemas.microsoft.com/office/drawing/2014/chart" uri="{C3380CC4-5D6E-409C-BE32-E72D297353CC}">
                <c16:uniqueId val="{00000003-6068-4D90-9F2E-FBCA9A59C3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strRef>
              <c:f>'OG SARGI MEVCUT KADEME'!$T$21:$T$24</c:f>
              <c:strCache>
                <c:ptCount val="4"/>
                <c:pt idx="0">
                  <c:v>A</c:v>
                </c:pt>
                <c:pt idx="1">
                  <c:v>B</c:v>
                </c:pt>
                <c:pt idx="2">
                  <c:v>C</c:v>
                </c:pt>
                <c:pt idx="3">
                  <c:v>SINIR DEĞER</c:v>
                </c:pt>
              </c:strCache>
            </c:strRef>
          </c:xVal>
          <c:yVal>
            <c:numRef>
              <c:f>'OG SARGI MEVCUT KADEME'!$U$21:$U$24</c:f>
              <c:numCache>
                <c:formatCode>0.000%</c:formatCode>
                <c:ptCount val="4"/>
                <c:pt idx="0">
                  <c:v>3.0176044698932399E-3</c:v>
                </c:pt>
                <c:pt idx="1">
                  <c:v>1.6577540106953133E-3</c:v>
                </c:pt>
                <c:pt idx="2">
                  <c:v>3.0267379679144138E-3</c:v>
                </c:pt>
                <c:pt idx="3">
                  <c:v>0.05</c:v>
                </c:pt>
              </c:numCache>
            </c:numRef>
          </c:yVal>
          <c:smooth val="0"/>
          <c:extLst xmlns:c16r2="http://schemas.microsoft.com/office/drawing/2015/06/chart">
            <c:ext xmlns:c16="http://schemas.microsoft.com/office/drawing/2014/chart" uri="{C3380CC4-5D6E-409C-BE32-E72D297353CC}">
              <c16:uniqueId val="{00000004-6068-4D90-9F2E-FBCA9A59C381}"/>
            </c:ext>
          </c:extLst>
        </c:ser>
        <c:dLbls>
          <c:dLblPos val="t"/>
          <c:showLegendKey val="0"/>
          <c:showVal val="1"/>
          <c:showCatName val="0"/>
          <c:showSerName val="0"/>
          <c:showPercent val="0"/>
          <c:showBubbleSize val="0"/>
        </c:dLbls>
        <c:axId val="1359827376"/>
        <c:axId val="1359826832"/>
      </c:scatterChart>
      <c:valAx>
        <c:axId val="1359827376"/>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1359826832"/>
        <c:crosses val="autoZero"/>
        <c:crossBetween val="midCat"/>
      </c:valAx>
      <c:valAx>
        <c:axId val="13598268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59827376"/>
        <c:crosses val="autoZero"/>
        <c:crossBetween val="midCat"/>
      </c:valAx>
      <c:spPr>
        <a:noFill/>
        <a:ln>
          <a:noFill/>
        </a:ln>
        <a:effectLst/>
      </c:spPr>
    </c:plotArea>
    <c:legend>
      <c:legendPos val="r"/>
      <c:layout/>
      <c:overlay val="0"/>
      <c:spPr>
        <a:noFill/>
        <a:ln>
          <a:solidFill>
            <a:schemeClr val="accent3"/>
          </a:solid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accent3"/>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A.G. SARGI DİRENCİ YÜZDE</a:t>
            </a:r>
            <a:r>
              <a:rPr lang="tr-TR" baseline="0"/>
              <a:t> HATA ORANLARI</a:t>
            </a:r>
          </a:p>
        </c:rich>
      </c:tx>
      <c:layout/>
      <c:overlay val="0"/>
      <c:spPr>
        <a:noFill/>
        <a:ln>
          <a:noFill/>
        </a:ln>
        <a:effectLst/>
      </c:spPr>
    </c:title>
    <c:autoTitleDeleted val="0"/>
    <c:plotArea>
      <c:layout/>
      <c:scatterChart>
        <c:scatterStyle val="lineMarker"/>
        <c:varyColors val="0"/>
        <c:ser>
          <c:idx val="0"/>
          <c:order val="0"/>
          <c:tx>
            <c:strRef>
              <c:f>'AG SARGI'!$T$21:$T$24</c:f>
              <c:strCache>
                <c:ptCount val="4"/>
                <c:pt idx="0">
                  <c:v>A</c:v>
                </c:pt>
                <c:pt idx="1">
                  <c:v>B</c:v>
                </c:pt>
                <c:pt idx="2">
                  <c:v>C</c:v>
                </c:pt>
                <c:pt idx="3">
                  <c:v>SINIR DEĞER</c:v>
                </c:pt>
              </c:strCache>
            </c:strRef>
          </c:tx>
          <c:spPr>
            <a:ln w="28575" cap="rnd">
              <a:noFill/>
              <a:round/>
            </a:ln>
            <a:effectLst/>
          </c:spPr>
          <c:marker>
            <c:symbol val="circle"/>
            <c:size val="5"/>
            <c:spPr>
              <a:solidFill>
                <a:schemeClr val="accent1"/>
              </a:solidFill>
              <a:ln w="9525">
                <a:solidFill>
                  <a:schemeClr val="accent1"/>
                </a:solidFill>
              </a:ln>
              <a:effectLst/>
            </c:spPr>
          </c:marker>
          <c:dPt>
            <c:idx val="0"/>
            <c:marker>
              <c:symbol val="circle"/>
              <c:size val="7"/>
            </c:marker>
            <c:bubble3D val="0"/>
            <c:extLst xmlns:c16r2="http://schemas.microsoft.com/office/drawing/2015/06/chart">
              <c:ext xmlns:c16="http://schemas.microsoft.com/office/drawing/2014/chart" uri="{C3380CC4-5D6E-409C-BE32-E72D297353CC}">
                <c16:uniqueId val="{00000000-4CB3-4370-BB50-C212EB47FEB1}"/>
              </c:ext>
            </c:extLst>
          </c:dPt>
          <c:dPt>
            <c:idx val="1"/>
            <c:marker>
              <c:symbol val="circle"/>
              <c:size val="7"/>
              <c:spPr>
                <a:solidFill>
                  <a:srgbClr val="00B050"/>
                </a:solidFill>
                <a:ln w="9525">
                  <a:solidFill>
                    <a:srgbClr val="00B050"/>
                  </a:solidFill>
                </a:ln>
                <a:effectLst/>
              </c:spPr>
            </c:marker>
            <c:bubble3D val="0"/>
            <c:extLst xmlns:c16r2="http://schemas.microsoft.com/office/drawing/2015/06/chart">
              <c:ext xmlns:c16="http://schemas.microsoft.com/office/drawing/2014/chart" uri="{C3380CC4-5D6E-409C-BE32-E72D297353CC}">
                <c16:uniqueId val="{00000001-4CB3-4370-BB50-C212EB47FEB1}"/>
              </c:ext>
            </c:extLst>
          </c:dPt>
          <c:dPt>
            <c:idx val="2"/>
            <c:marker>
              <c:symbol val="circle"/>
              <c:size val="7"/>
              <c:spPr>
                <a:solidFill>
                  <a:schemeClr val="accent6">
                    <a:lumMod val="75000"/>
                  </a:schemeClr>
                </a:solidFill>
                <a:ln w="9525">
                  <a:solidFill>
                    <a:schemeClr val="accent6">
                      <a:lumMod val="75000"/>
                    </a:schemeClr>
                  </a:solidFill>
                </a:ln>
                <a:effectLst/>
              </c:spPr>
            </c:marker>
            <c:bubble3D val="0"/>
            <c:extLst xmlns:c16r2="http://schemas.microsoft.com/office/drawing/2015/06/chart">
              <c:ext xmlns:c16="http://schemas.microsoft.com/office/drawing/2014/chart" uri="{C3380CC4-5D6E-409C-BE32-E72D297353CC}">
                <c16:uniqueId val="{00000002-4CB3-4370-BB50-C212EB47FEB1}"/>
              </c:ext>
            </c:extLst>
          </c:dPt>
          <c:dPt>
            <c:idx val="3"/>
            <c:marker>
              <c:symbol val="triangle"/>
              <c:size val="10"/>
              <c:spPr>
                <a:solidFill>
                  <a:schemeClr val="accent2"/>
                </a:solidFill>
                <a:ln w="9525">
                  <a:solidFill>
                    <a:schemeClr val="accent2"/>
                  </a:solidFill>
                </a:ln>
                <a:effectLst/>
              </c:spPr>
            </c:marker>
            <c:bubble3D val="0"/>
            <c:extLst xmlns:c16r2="http://schemas.microsoft.com/office/drawing/2015/06/chart">
              <c:ext xmlns:c16="http://schemas.microsoft.com/office/drawing/2014/chart" uri="{C3380CC4-5D6E-409C-BE32-E72D297353CC}">
                <c16:uniqueId val="{00000003-4CB3-4370-BB50-C212EB47FEB1}"/>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strRef>
              <c:f>'AG SARGI'!$T$21:$T$24</c:f>
              <c:strCache>
                <c:ptCount val="4"/>
                <c:pt idx="0">
                  <c:v>A</c:v>
                </c:pt>
                <c:pt idx="1">
                  <c:v>B</c:v>
                </c:pt>
                <c:pt idx="2">
                  <c:v>C</c:v>
                </c:pt>
                <c:pt idx="3">
                  <c:v>SINIR DEĞER</c:v>
                </c:pt>
              </c:strCache>
            </c:strRef>
          </c:xVal>
          <c:yVal>
            <c:numRef>
              <c:f>'AG SARGI'!$U$21:$U$24</c:f>
              <c:numCache>
                <c:formatCode>0.000%</c:formatCode>
                <c:ptCount val="4"/>
                <c:pt idx="0">
                  <c:v>3.3474576271186454E-2</c:v>
                </c:pt>
                <c:pt idx="1">
                  <c:v>4.4491525423728745E-3</c:v>
                </c:pt>
                <c:pt idx="2">
                  <c:v>4.469035965098951E-3</c:v>
                </c:pt>
                <c:pt idx="3">
                  <c:v>0.05</c:v>
                </c:pt>
              </c:numCache>
            </c:numRef>
          </c:yVal>
          <c:smooth val="0"/>
          <c:extLst xmlns:c16r2="http://schemas.microsoft.com/office/drawing/2015/06/chart">
            <c:ext xmlns:c16="http://schemas.microsoft.com/office/drawing/2014/chart" uri="{C3380CC4-5D6E-409C-BE32-E72D297353CC}">
              <c16:uniqueId val="{00000004-4CB3-4370-BB50-C212EB47FEB1}"/>
            </c:ext>
          </c:extLst>
        </c:ser>
        <c:dLbls>
          <c:dLblPos val="t"/>
          <c:showLegendKey val="0"/>
          <c:showVal val="1"/>
          <c:showCatName val="0"/>
          <c:showSerName val="0"/>
          <c:showPercent val="0"/>
          <c:showBubbleSize val="0"/>
        </c:dLbls>
        <c:axId val="1359820304"/>
        <c:axId val="1359831728"/>
      </c:scatterChart>
      <c:valAx>
        <c:axId val="1359820304"/>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1359831728"/>
        <c:crosses val="autoZero"/>
        <c:crossBetween val="midCat"/>
      </c:valAx>
      <c:valAx>
        <c:axId val="1359831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59820304"/>
        <c:crosses val="autoZero"/>
        <c:crossBetween val="midCat"/>
      </c:valAx>
      <c:spPr>
        <a:noFill/>
        <a:ln>
          <a:noFill/>
        </a:ln>
        <a:effectLst/>
      </c:spPr>
    </c:plotArea>
    <c:legend>
      <c:legendPos val="r"/>
      <c:layout/>
      <c:overlay val="0"/>
      <c:spPr>
        <a:noFill/>
        <a:ln>
          <a:solidFill>
            <a:schemeClr val="accent3"/>
          </a:solid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accent3"/>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O.G.-TANK</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chemeClr val="accent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'!$Y$10:$Y$12</c:f>
              <c:numCache>
                <c:formatCode>0.0</c:formatCode>
                <c:ptCount val="3"/>
                <c:pt idx="0">
                  <c:v>108.108</c:v>
                </c:pt>
                <c:pt idx="1">
                  <c:v>119.39399999999999</c:v>
                </c:pt>
                <c:pt idx="2">
                  <c:v>128.10599999999999</c:v>
                </c:pt>
              </c:numCache>
            </c:numRef>
          </c:val>
          <c:smooth val="0"/>
          <c:extLst xmlns:c16r2="http://schemas.microsoft.com/office/drawing/2015/06/chart">
            <c:ext xmlns:c16="http://schemas.microsoft.com/office/drawing/2014/chart" uri="{C3380CC4-5D6E-409C-BE32-E72D297353CC}">
              <c16:uniqueId val="{00000000-484E-4A57-9C94-E9B59C735EED}"/>
            </c:ext>
          </c:extLst>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'!$Y$9</c:f>
              <c:numCache>
                <c:formatCode>General</c:formatCode>
                <c:ptCount val="1"/>
                <c:pt idx="0">
                  <c:v>1.1000000000000001</c:v>
                </c:pt>
              </c:numCache>
            </c:numRef>
          </c:val>
          <c:smooth val="0"/>
          <c:extLst xmlns:c16r2="http://schemas.microsoft.com/office/drawing/2015/06/chart">
            <c:ext xmlns:c16="http://schemas.microsoft.com/office/drawing/2014/chart" uri="{C3380CC4-5D6E-409C-BE32-E72D297353CC}">
              <c16:uniqueId val="{00000001-484E-4A57-9C94-E9B59C735EED}"/>
            </c:ext>
          </c:extLst>
        </c:ser>
        <c:dLbls>
          <c:dLblPos val="t"/>
          <c:showLegendKey val="0"/>
          <c:showVal val="1"/>
          <c:showCatName val="0"/>
          <c:showSerName val="0"/>
          <c:showPercent val="0"/>
          <c:showBubbleSize val="0"/>
        </c:dLbls>
        <c:marker val="1"/>
        <c:smooth val="0"/>
        <c:axId val="1359829008"/>
        <c:axId val="1359824656"/>
      </c:lineChart>
      <c:catAx>
        <c:axId val="1359829008"/>
        <c:scaling>
          <c:orientation val="minMax"/>
        </c:scaling>
        <c:delete val="1"/>
        <c:axPos val="b"/>
        <c:majorTickMark val="none"/>
        <c:minorTickMark val="none"/>
        <c:tickLblPos val="nextTo"/>
        <c:crossAx val="1359824656"/>
        <c:crosses val="autoZero"/>
        <c:auto val="1"/>
        <c:lblAlgn val="ctr"/>
        <c:lblOffset val="100"/>
        <c:noMultiLvlLbl val="0"/>
      </c:catAx>
      <c:valAx>
        <c:axId val="135982465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35982900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A.G.-TANK</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rgbClr val="00B050"/>
              </a:solidFill>
              <a:round/>
            </a:ln>
            <a:effectLst/>
          </c:spPr>
          <c:marker>
            <c:symbol val="circle"/>
            <c:size val="5"/>
            <c:spPr>
              <a:solidFill>
                <a:schemeClr val="tx1"/>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'!$Z$10:$Z$12</c:f>
              <c:numCache>
                <c:formatCode>0.0</c:formatCode>
                <c:ptCount val="3"/>
                <c:pt idx="0">
                  <c:v>74.646000000000001</c:v>
                </c:pt>
                <c:pt idx="1">
                  <c:v>87.911999999999992</c:v>
                </c:pt>
                <c:pt idx="2">
                  <c:v>96.623999999999995</c:v>
                </c:pt>
              </c:numCache>
            </c:numRef>
          </c:val>
          <c:smooth val="0"/>
          <c:extLst xmlns:c16r2="http://schemas.microsoft.com/office/drawing/2015/06/chart">
            <c:ext xmlns:c16="http://schemas.microsoft.com/office/drawing/2014/chart" uri="{C3380CC4-5D6E-409C-BE32-E72D297353CC}">
              <c16:uniqueId val="{00000000-0B5C-4AB3-A6C5-C739C89B8F1F}"/>
            </c:ext>
          </c:extLst>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'!$Z$9</c:f>
              <c:numCache>
                <c:formatCode>General</c:formatCode>
                <c:ptCount val="1"/>
                <c:pt idx="0">
                  <c:v>0.2</c:v>
                </c:pt>
              </c:numCache>
            </c:numRef>
          </c:val>
          <c:smooth val="0"/>
          <c:extLst xmlns:c16r2="http://schemas.microsoft.com/office/drawing/2015/06/chart">
            <c:ext xmlns:c16="http://schemas.microsoft.com/office/drawing/2014/chart" uri="{C3380CC4-5D6E-409C-BE32-E72D297353CC}">
              <c16:uniqueId val="{00000001-0B5C-4AB3-A6C5-C739C89B8F1F}"/>
            </c:ext>
          </c:extLst>
        </c:ser>
        <c:dLbls>
          <c:dLblPos val="t"/>
          <c:showLegendKey val="0"/>
          <c:showVal val="1"/>
          <c:showCatName val="0"/>
          <c:showSerName val="0"/>
          <c:showPercent val="0"/>
          <c:showBubbleSize val="0"/>
        </c:dLbls>
        <c:marker val="1"/>
        <c:smooth val="0"/>
        <c:axId val="1359828464"/>
        <c:axId val="1359819760"/>
      </c:lineChart>
      <c:catAx>
        <c:axId val="1359828464"/>
        <c:scaling>
          <c:orientation val="minMax"/>
        </c:scaling>
        <c:delete val="1"/>
        <c:axPos val="b"/>
        <c:majorTickMark val="none"/>
        <c:minorTickMark val="none"/>
        <c:tickLblPos val="nextTo"/>
        <c:crossAx val="1359819760"/>
        <c:crosses val="autoZero"/>
        <c:auto val="1"/>
        <c:lblAlgn val="ctr"/>
        <c:lblOffset val="100"/>
        <c:noMultiLvlLbl val="0"/>
      </c:catAx>
      <c:valAx>
        <c:axId val="1359819760"/>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35982846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O.G.-</a:t>
            </a:r>
            <a:r>
              <a:rPr lang="tr-TR" sz="1400" b="0" i="0" u="none" strike="noStrike" baseline="0">
                <a:effectLst/>
              </a:rPr>
              <a:t>A.G.</a:t>
            </a:r>
            <a:endParaRPr lang="tr-T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v>DAR EĞRİSİ</c:v>
          </c:tx>
          <c:spPr>
            <a:ln w="28575" cap="rnd">
              <a:solidFill>
                <a:schemeClr val="accent6">
                  <a:lumMod val="75000"/>
                </a:schemeClr>
              </a:solidFill>
              <a:round/>
            </a:ln>
            <a:effectLst/>
          </c:spPr>
          <c:marker>
            <c:symbol val="circle"/>
            <c:size val="5"/>
            <c:spPr>
              <a:solidFill>
                <a:schemeClr val="tx1"/>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'!$AA$10:$AA$12</c:f>
              <c:numCache>
                <c:formatCode>0.0</c:formatCode>
                <c:ptCount val="3"/>
                <c:pt idx="0">
                  <c:v>114.44399999999999</c:v>
                </c:pt>
                <c:pt idx="1">
                  <c:v>125.33399999999999</c:v>
                </c:pt>
                <c:pt idx="2">
                  <c:v>136.22399999999999</c:v>
                </c:pt>
              </c:numCache>
            </c:numRef>
          </c:val>
          <c:smooth val="0"/>
          <c:extLst xmlns:c16r2="http://schemas.microsoft.com/office/drawing/2015/06/chart">
            <c:ext xmlns:c16="http://schemas.microsoft.com/office/drawing/2014/chart" uri="{C3380CC4-5D6E-409C-BE32-E72D297353CC}">
              <c16:uniqueId val="{00000000-A9AF-471E-B4B2-CE5E43C175AE}"/>
            </c:ext>
          </c:extLst>
        </c:ser>
        <c:ser>
          <c:idx val="1"/>
          <c:order val="1"/>
          <c:tx>
            <c:v>LİMİT DEĞER</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'İZOLASYON '!$AA$9</c:f>
              <c:numCache>
                <c:formatCode>General</c:formatCode>
                <c:ptCount val="1"/>
                <c:pt idx="0">
                  <c:v>1.1000000000000001</c:v>
                </c:pt>
              </c:numCache>
            </c:numRef>
          </c:val>
          <c:smooth val="0"/>
          <c:extLst xmlns:c16r2="http://schemas.microsoft.com/office/drawing/2015/06/chart">
            <c:ext xmlns:c16="http://schemas.microsoft.com/office/drawing/2014/chart" uri="{C3380CC4-5D6E-409C-BE32-E72D297353CC}">
              <c16:uniqueId val="{00000001-A9AF-471E-B4B2-CE5E43C175AE}"/>
            </c:ext>
          </c:extLst>
        </c:ser>
        <c:dLbls>
          <c:dLblPos val="t"/>
          <c:showLegendKey val="0"/>
          <c:showVal val="1"/>
          <c:showCatName val="0"/>
          <c:showSerName val="0"/>
          <c:showPercent val="0"/>
          <c:showBubbleSize val="0"/>
        </c:dLbls>
        <c:marker val="1"/>
        <c:smooth val="0"/>
        <c:axId val="1359821392"/>
        <c:axId val="1359818672"/>
      </c:lineChart>
      <c:catAx>
        <c:axId val="1359821392"/>
        <c:scaling>
          <c:orientation val="minMax"/>
        </c:scaling>
        <c:delete val="1"/>
        <c:axPos val="b"/>
        <c:majorTickMark val="none"/>
        <c:minorTickMark val="none"/>
        <c:tickLblPos val="nextTo"/>
        <c:crossAx val="1359818672"/>
        <c:crosses val="autoZero"/>
        <c:auto val="1"/>
        <c:lblAlgn val="ctr"/>
        <c:lblOffset val="100"/>
        <c:noMultiLvlLbl val="0"/>
      </c:catAx>
      <c:valAx>
        <c:axId val="135981867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35982139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paperSize="9" orientation="landscape" verticalDpi="0"/>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ÇEVİRME ORANI HATA YÜZDESİ</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bar"/>
        <c:grouping val="clustered"/>
        <c:varyColors val="0"/>
        <c:ser>
          <c:idx val="0"/>
          <c:order val="0"/>
          <c:spPr>
            <a:solidFill>
              <a:schemeClr val="accent1"/>
            </a:solidFill>
            <a:ln>
              <a:noFill/>
            </a:ln>
            <a:effectLst/>
          </c:spPr>
          <c:invertIfNegative val="0"/>
          <c:dPt>
            <c:idx val="1"/>
            <c:invertIfNegative val="0"/>
            <c:bubble3D val="0"/>
            <c:spPr>
              <a:solidFill>
                <a:schemeClr val="accent6">
                  <a:lumMod val="75000"/>
                </a:schemeClr>
              </a:solidFill>
              <a:ln>
                <a:noFill/>
              </a:ln>
              <a:effectLst/>
            </c:spPr>
            <c:extLst xmlns:c16r2="http://schemas.microsoft.com/office/drawing/2015/06/chart">
              <c:ext xmlns:c16="http://schemas.microsoft.com/office/drawing/2014/chart" uri="{C3380CC4-5D6E-409C-BE32-E72D297353CC}">
                <c16:uniqueId val="{00000001-3380-453D-B506-3FB050DD97B0}"/>
              </c:ext>
            </c:extLst>
          </c:dPt>
          <c:dPt>
            <c:idx val="2"/>
            <c:invertIfNegative val="0"/>
            <c:bubble3D val="0"/>
            <c:spPr>
              <a:solidFill>
                <a:srgbClr val="00B0F0"/>
              </a:solidFill>
              <a:ln>
                <a:noFill/>
              </a:ln>
              <a:effectLst/>
            </c:spPr>
            <c:extLst xmlns:c16r2="http://schemas.microsoft.com/office/drawing/2015/06/chart">
              <c:ext xmlns:c16="http://schemas.microsoft.com/office/drawing/2014/chart" uri="{C3380CC4-5D6E-409C-BE32-E72D297353CC}">
                <c16:uniqueId val="{00000003-3380-453D-B506-3FB050DD97B0}"/>
              </c:ext>
            </c:extLst>
          </c:dPt>
          <c:dPt>
            <c:idx val="3"/>
            <c:invertIfNegative val="0"/>
            <c:bubble3D val="0"/>
            <c:spPr>
              <a:solidFill>
                <a:srgbClr val="FF2D2D"/>
              </a:solidFill>
              <a:ln>
                <a:noFill/>
              </a:ln>
              <a:effectLst/>
            </c:spPr>
            <c:extLst xmlns:c16r2="http://schemas.microsoft.com/office/drawing/2015/06/chart">
              <c:ext xmlns:c16="http://schemas.microsoft.com/office/drawing/2014/chart" uri="{C3380CC4-5D6E-409C-BE32-E72D297353CC}">
                <c16:uniqueId val="{00000005-3380-453D-B506-3FB050DD97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'Ç.O 34500'!$U$15:$U$18</c:f>
              <c:strCache>
                <c:ptCount val="4"/>
                <c:pt idx="0">
                  <c:v>A</c:v>
                </c:pt>
                <c:pt idx="1">
                  <c:v>B</c:v>
                </c:pt>
                <c:pt idx="2">
                  <c:v>C</c:v>
                </c:pt>
                <c:pt idx="3">
                  <c:v>SINIR DEĞER</c:v>
                </c:pt>
              </c:strCache>
            </c:strRef>
          </c:cat>
          <c:val>
            <c:numRef>
              <c:f>'Ç.O 34500'!$V$15:$V$18</c:f>
              <c:numCache>
                <c:formatCode>0.000</c:formatCode>
                <c:ptCount val="4"/>
                <c:pt idx="0">
                  <c:v>0.12761030608697105</c:v>
                </c:pt>
                <c:pt idx="1">
                  <c:v>0.12627146898551539</c:v>
                </c:pt>
                <c:pt idx="2">
                  <c:v>0.14099867710145164</c:v>
                </c:pt>
                <c:pt idx="3" formatCode="General">
                  <c:v>0.5</c:v>
                </c:pt>
              </c:numCache>
            </c:numRef>
          </c:val>
          <c:extLst xmlns:c16r2="http://schemas.microsoft.com/office/drawing/2015/06/chart">
            <c:ext xmlns:c16="http://schemas.microsoft.com/office/drawing/2014/chart" uri="{C3380CC4-5D6E-409C-BE32-E72D297353CC}">
              <c16:uniqueId val="{00000006-3380-453D-B506-3FB050DD97B0}"/>
            </c:ext>
          </c:extLst>
        </c:ser>
        <c:dLbls>
          <c:dLblPos val="outEnd"/>
          <c:showLegendKey val="0"/>
          <c:showVal val="1"/>
          <c:showCatName val="0"/>
          <c:showSerName val="0"/>
          <c:showPercent val="0"/>
          <c:showBubbleSize val="0"/>
        </c:dLbls>
        <c:gapWidth val="182"/>
        <c:axId val="1359830640"/>
        <c:axId val="1359822480"/>
      </c:barChart>
      <c:catAx>
        <c:axId val="135983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59822480"/>
        <c:crosses val="autoZero"/>
        <c:auto val="1"/>
        <c:lblAlgn val="ctr"/>
        <c:lblOffset val="100"/>
        <c:noMultiLvlLbl val="0"/>
      </c:catAx>
      <c:valAx>
        <c:axId val="135982248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598306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8.png"/><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9.png"/><Relationship Id="rId1" Type="http://schemas.openxmlformats.org/officeDocument/2006/relationships/chart" Target="../charts/chart1.xml"/><Relationship Id="rId5" Type="http://schemas.microsoft.com/office/2007/relationships/hdphoto" Target="../media/hdphoto1.wdp"/><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9.png"/><Relationship Id="rId1" Type="http://schemas.openxmlformats.org/officeDocument/2006/relationships/chart" Target="../charts/chart2.xml"/><Relationship Id="rId5" Type="http://schemas.microsoft.com/office/2007/relationships/hdphoto" Target="../media/hdphoto1.wdp"/><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7" Type="http://schemas.microsoft.com/office/2007/relationships/hdphoto" Target="../media/hdphoto1.wdp"/><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9.png"/><Relationship Id="rId1" Type="http://schemas.openxmlformats.org/officeDocument/2006/relationships/chart" Target="../charts/chart6.xml"/><Relationship Id="rId5" Type="http://schemas.microsoft.com/office/2007/relationships/hdphoto" Target="../media/hdphoto1.wdp"/><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9.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66675</xdr:rowOff>
    </xdr:from>
    <xdr:to>
      <xdr:col>3</xdr:col>
      <xdr:colOff>529258</xdr:colOff>
      <xdr:row>3</xdr:row>
      <xdr:rowOff>128774</xdr:rowOff>
    </xdr:to>
    <xdr:pic>
      <xdr:nvPicPr>
        <xdr:cNvPr id="9" name="Resim 8">
          <a:extLst>
            <a:ext uri="{FF2B5EF4-FFF2-40B4-BE49-F238E27FC236}">
              <a16:creationId xmlns:a16="http://schemas.microsoft.com/office/drawing/2014/main" xmlns="" id="{00000000-0008-0000-00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9525" y="66675"/>
          <a:ext cx="1714500" cy="633599"/>
        </a:xfrm>
        <a:prstGeom prst="rect">
          <a:avLst/>
        </a:prstGeom>
      </xdr:spPr>
    </xdr:pic>
    <xdr:clientData/>
  </xdr:twoCellAnchor>
  <xdr:twoCellAnchor editAs="oneCell">
    <xdr:from>
      <xdr:col>6</xdr:col>
      <xdr:colOff>28574</xdr:colOff>
      <xdr:row>52</xdr:row>
      <xdr:rowOff>28575</xdr:rowOff>
    </xdr:from>
    <xdr:to>
      <xdr:col>11</xdr:col>
      <xdr:colOff>1444</xdr:colOff>
      <xdr:row>55</xdr:row>
      <xdr:rowOff>19050</xdr:rowOff>
    </xdr:to>
    <xdr:pic>
      <xdr:nvPicPr>
        <xdr:cNvPr id="12" name="Resim 11">
          <a:extLst>
            <a:ext uri="{FF2B5EF4-FFF2-40B4-BE49-F238E27FC236}">
              <a16:creationId xmlns:a16="http://schemas.microsoft.com/office/drawing/2014/main" xmlns="" id="{00000000-0008-0000-0000-00000C000000}"/>
            </a:ext>
          </a:extLst>
        </xdr:cNvPr>
        <xdr:cNvPicPr>
          <a:picLocks noChangeAspect="1"/>
        </xdr:cNvPicPr>
      </xdr:nvPicPr>
      <xdr:blipFill rotWithShape="1">
        <a:blip xmlns:r="http://schemas.openxmlformats.org/officeDocument/2006/relationships" r:embed="rId2"/>
        <a:srcRect r="62" b="55405"/>
        <a:stretch/>
      </xdr:blipFill>
      <xdr:spPr>
        <a:xfrm>
          <a:off x="3038474" y="9344025"/>
          <a:ext cx="2316020" cy="561975"/>
        </a:xfrm>
        <a:prstGeom prst="rect">
          <a:avLst/>
        </a:prstGeom>
      </xdr:spPr>
    </xdr:pic>
    <xdr:clientData/>
  </xdr:twoCellAnchor>
  <xdr:twoCellAnchor editAs="oneCell">
    <xdr:from>
      <xdr:col>11</xdr:col>
      <xdr:colOff>38100</xdr:colOff>
      <xdr:row>52</xdr:row>
      <xdr:rowOff>123825</xdr:rowOff>
    </xdr:from>
    <xdr:to>
      <xdr:col>12</xdr:col>
      <xdr:colOff>549564</xdr:colOff>
      <xdr:row>54</xdr:row>
      <xdr:rowOff>177827</xdr:rowOff>
    </xdr:to>
    <xdr:pic>
      <xdr:nvPicPr>
        <xdr:cNvPr id="13" name="Resim 12">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5556" y1="53398" x2="65556" y2="53398"/>
                      <a14:backgroundMark x1="53333" y1="54369" x2="53333" y2="54369"/>
                      <a14:backgroundMark x1="41852" y1="56311" x2="41852" y2="56311"/>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391150" y="9439275"/>
          <a:ext cx="1121064" cy="435003"/>
        </a:xfrm>
        <a:prstGeom prst="rect">
          <a:avLst/>
        </a:prstGeom>
      </xdr:spPr>
    </xdr:pic>
    <xdr:clientData/>
  </xdr:twoCellAnchor>
  <xdr:twoCellAnchor editAs="oneCell">
    <xdr:from>
      <xdr:col>10</xdr:col>
      <xdr:colOff>0</xdr:colOff>
      <xdr:row>1</xdr:row>
      <xdr:rowOff>0</xdr:rowOff>
    </xdr:from>
    <xdr:to>
      <xdr:col>11</xdr:col>
      <xdr:colOff>7106</xdr:colOff>
      <xdr:row>3</xdr:row>
      <xdr:rowOff>45479</xdr:rowOff>
    </xdr:to>
    <xdr:pic>
      <xdr:nvPicPr>
        <xdr:cNvPr id="10" name="Resim 9">
          <a:extLst>
            <a:ext uri="{FF2B5EF4-FFF2-40B4-BE49-F238E27FC236}">
              <a16:creationId xmlns:a16="http://schemas.microsoft.com/office/drawing/2014/main" xmlns="" id="{8BC1DB54-4DD1-485B-845B-CE5A807005FF}"/>
            </a:ext>
          </a:extLst>
        </xdr:cNvPr>
        <xdr:cNvPicPr>
          <a:picLocks noChangeAspect="1"/>
        </xdr:cNvPicPr>
      </xdr:nvPicPr>
      <xdr:blipFill>
        <a:blip xmlns:r="http://schemas.openxmlformats.org/officeDocument/2006/relationships" r:embed="rId5"/>
        <a:stretch>
          <a:fillRect/>
        </a:stretch>
      </xdr:blipFill>
      <xdr:spPr>
        <a:xfrm>
          <a:off x="4750288" y="195385"/>
          <a:ext cx="617683" cy="436248"/>
        </a:xfrm>
        <a:prstGeom prst="rect">
          <a:avLst/>
        </a:prstGeom>
      </xdr:spPr>
    </xdr:pic>
    <xdr:clientData/>
  </xdr:twoCellAnchor>
  <xdr:twoCellAnchor editAs="oneCell">
    <xdr:from>
      <xdr:col>11</xdr:col>
      <xdr:colOff>2954</xdr:colOff>
      <xdr:row>1</xdr:row>
      <xdr:rowOff>0</xdr:rowOff>
    </xdr:from>
    <xdr:to>
      <xdr:col>11</xdr:col>
      <xdr:colOff>594209</xdr:colOff>
      <xdr:row>3</xdr:row>
      <xdr:rowOff>44893</xdr:rowOff>
    </xdr:to>
    <xdr:pic>
      <xdr:nvPicPr>
        <xdr:cNvPr id="11" name="Resim 10">
          <a:extLst>
            <a:ext uri="{FF2B5EF4-FFF2-40B4-BE49-F238E27FC236}">
              <a16:creationId xmlns:a16="http://schemas.microsoft.com/office/drawing/2014/main" xmlns="" id="{B7083059-F31C-4712-BBBF-358C177500F2}"/>
            </a:ext>
          </a:extLst>
        </xdr:cNvPr>
        <xdr:cNvPicPr>
          <a:picLocks noChangeAspect="1"/>
        </xdr:cNvPicPr>
      </xdr:nvPicPr>
      <xdr:blipFill rotWithShape="1">
        <a:blip xmlns:r="http://schemas.openxmlformats.org/officeDocument/2006/relationships" r:embed="rId6"/>
        <a:srcRect b="4827"/>
        <a:stretch/>
      </xdr:blipFill>
      <xdr:spPr>
        <a:xfrm>
          <a:off x="5363819" y="195385"/>
          <a:ext cx="591255" cy="435662"/>
        </a:xfrm>
        <a:prstGeom prst="rect">
          <a:avLst/>
        </a:prstGeom>
      </xdr:spPr>
    </xdr:pic>
    <xdr:clientData/>
  </xdr:twoCellAnchor>
  <xdr:twoCellAnchor editAs="oneCell">
    <xdr:from>
      <xdr:col>11</xdr:col>
      <xdr:colOff>609005</xdr:colOff>
      <xdr:row>1</xdr:row>
      <xdr:rowOff>12369</xdr:rowOff>
    </xdr:from>
    <xdr:to>
      <xdr:col>12</xdr:col>
      <xdr:colOff>580405</xdr:colOff>
      <xdr:row>3</xdr:row>
      <xdr:rowOff>53693</xdr:rowOff>
    </xdr:to>
    <xdr:pic>
      <xdr:nvPicPr>
        <xdr:cNvPr id="14" name="Resim 13">
          <a:extLst>
            <a:ext uri="{FF2B5EF4-FFF2-40B4-BE49-F238E27FC236}">
              <a16:creationId xmlns:a16="http://schemas.microsoft.com/office/drawing/2014/main" xmlns="" id="{D69A3A9A-4756-4BD3-A7B4-D7765FB28AB9}"/>
            </a:ext>
          </a:extLst>
        </xdr:cNvPr>
        <xdr:cNvPicPr>
          <a:picLocks noChangeAspect="1"/>
        </xdr:cNvPicPr>
      </xdr:nvPicPr>
      <xdr:blipFill rotWithShape="1">
        <a:blip xmlns:r="http://schemas.openxmlformats.org/officeDocument/2006/relationships" r:embed="rId7"/>
        <a:srcRect b="8860"/>
        <a:stretch/>
      </xdr:blipFill>
      <xdr:spPr>
        <a:xfrm>
          <a:off x="5969870" y="207754"/>
          <a:ext cx="581977" cy="432093"/>
        </a:xfrm>
        <a:prstGeom prst="rect">
          <a:avLst/>
        </a:prstGeom>
      </xdr:spPr>
    </xdr:pic>
    <xdr:clientData/>
  </xdr:twoCellAnchor>
  <xdr:twoCellAnchor editAs="oneCell">
    <xdr:from>
      <xdr:col>0</xdr:col>
      <xdr:colOff>0</xdr:colOff>
      <xdr:row>31</xdr:row>
      <xdr:rowOff>0</xdr:rowOff>
    </xdr:from>
    <xdr:to>
      <xdr:col>6</xdr:col>
      <xdr:colOff>420896</xdr:colOff>
      <xdr:row>50</xdr:row>
      <xdr:rowOff>134327</xdr:rowOff>
    </xdr:to>
    <xdr:pic>
      <xdr:nvPicPr>
        <xdr:cNvPr id="3" name="Resim 2">
          <a:extLst>
            <a:ext uri="{FF2B5EF4-FFF2-40B4-BE49-F238E27FC236}">
              <a16:creationId xmlns:a16="http://schemas.microsoft.com/office/drawing/2014/main" xmlns="" id="{88CC9D5D-841A-4DD0-BFE4-0E60CC6A35CB}"/>
            </a:ext>
          </a:extLst>
        </xdr:cNvPr>
        <xdr:cNvPicPr>
          <a:picLocks noChangeAspect="1"/>
        </xdr:cNvPicPr>
      </xdr:nvPicPr>
      <xdr:blipFill rotWithShape="1">
        <a:blip xmlns:r="http://schemas.openxmlformats.org/officeDocument/2006/relationships" r:embed="rId8"/>
        <a:srcRect l="37248" t="22100" r="38025" b="30578"/>
        <a:stretch/>
      </xdr:blipFill>
      <xdr:spPr>
        <a:xfrm>
          <a:off x="0" y="5238750"/>
          <a:ext cx="3437146" cy="37000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7</xdr:col>
      <xdr:colOff>29299</xdr:colOff>
      <xdr:row>4</xdr:row>
      <xdr:rowOff>173935</xdr:rowOff>
    </xdr:to>
    <xdr:pic>
      <xdr:nvPicPr>
        <xdr:cNvPr id="10" name="Resim 9">
          <a:extLst>
            <a:ext uri="{FF2B5EF4-FFF2-40B4-BE49-F238E27FC236}">
              <a16:creationId xmlns:a16="http://schemas.microsoft.com/office/drawing/2014/main" xmlns="" id="{00000000-0008-0000-0100-00000A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107674" y="66261"/>
          <a:ext cx="2017125" cy="745435"/>
        </a:xfrm>
        <a:prstGeom prst="rect">
          <a:avLst/>
        </a:prstGeom>
      </xdr:spPr>
    </xdr:pic>
    <xdr:clientData/>
  </xdr:twoCellAnchor>
  <xdr:twoCellAnchor editAs="oneCell">
    <xdr:from>
      <xdr:col>10</xdr:col>
      <xdr:colOff>81308</xdr:colOff>
      <xdr:row>78</xdr:row>
      <xdr:rowOff>46463</xdr:rowOff>
    </xdr:from>
    <xdr:to>
      <xdr:col>16</xdr:col>
      <xdr:colOff>234322</xdr:colOff>
      <xdr:row>80</xdr:row>
      <xdr:rowOff>162621</xdr:rowOff>
    </xdr:to>
    <xdr:pic>
      <xdr:nvPicPr>
        <xdr:cNvPr id="7" name="Resim 6">
          <a:extLst>
            <a:ext uri="{FF2B5EF4-FFF2-40B4-BE49-F238E27FC236}">
              <a16:creationId xmlns:a16="http://schemas.microsoft.com/office/drawing/2014/main" xmlns="" id="{00000000-0008-0000-0100-000007000000}"/>
            </a:ext>
          </a:extLst>
        </xdr:cNvPr>
        <xdr:cNvPicPr>
          <a:picLocks noChangeAspect="1"/>
        </xdr:cNvPicPr>
      </xdr:nvPicPr>
      <xdr:blipFill rotWithShape="1">
        <a:blip xmlns:r="http://schemas.openxmlformats.org/officeDocument/2006/relationships" r:embed="rId2"/>
        <a:srcRect r="-1725" b="54025"/>
        <a:stretch/>
      </xdr:blipFill>
      <xdr:spPr>
        <a:xfrm>
          <a:off x="3217588" y="9257835"/>
          <a:ext cx="2174173" cy="534329"/>
        </a:xfrm>
        <a:prstGeom prst="rect">
          <a:avLst/>
        </a:prstGeom>
      </xdr:spPr>
    </xdr:pic>
    <xdr:clientData/>
  </xdr:twoCellAnchor>
  <xdr:twoCellAnchor editAs="oneCell">
    <xdr:from>
      <xdr:col>15</xdr:col>
      <xdr:colOff>209086</xdr:colOff>
      <xdr:row>79</xdr:row>
      <xdr:rowOff>11617</xdr:rowOff>
    </xdr:from>
    <xdr:to>
      <xdr:col>18</xdr:col>
      <xdr:colOff>319570</xdr:colOff>
      <xdr:row>81</xdr:row>
      <xdr:rowOff>28449</xdr:rowOff>
    </xdr:to>
    <xdr:pic>
      <xdr:nvPicPr>
        <xdr:cNvPr id="4" name="Resim 3">
          <a:extLst>
            <a:ext uri="{FF2B5EF4-FFF2-40B4-BE49-F238E27FC236}">
              <a16:creationId xmlns:a16="http://schemas.microsoft.com/office/drawing/2014/main" xmlns="" id="{00000000-0008-0000-0100-000004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5556" y1="53398" x2="65556" y2="53398"/>
                      <a14:backgroundMark x1="53333" y1="54369" x2="53333" y2="54369"/>
                      <a14:backgroundMark x1="41852" y1="56311" x2="41852" y2="56311"/>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029665" y="9432074"/>
          <a:ext cx="1121064" cy="4350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361950</xdr:colOff>
      <xdr:row>26</xdr:row>
      <xdr:rowOff>38101</xdr:rowOff>
    </xdr:from>
    <xdr:to>
      <xdr:col>15</xdr:col>
      <xdr:colOff>361950</xdr:colOff>
      <xdr:row>36</xdr:row>
      <xdr:rowOff>180976</xdr:rowOff>
    </xdr:to>
    <xdr:graphicFrame macro="">
      <xdr:nvGraphicFramePr>
        <xdr:cNvPr id="6" name="Grafik 5">
          <a:extLst>
            <a:ext uri="{FF2B5EF4-FFF2-40B4-BE49-F238E27FC236}">
              <a16:creationId xmlns:a16="http://schemas.microsoft.com/office/drawing/2014/main" xmlns=""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1</xdr:row>
      <xdr:rowOff>0</xdr:rowOff>
    </xdr:from>
    <xdr:to>
      <xdr:col>6</xdr:col>
      <xdr:colOff>28576</xdr:colOff>
      <xdr:row>3</xdr:row>
      <xdr:rowOff>2485</xdr:rowOff>
    </xdr:to>
    <xdr:pic>
      <xdr:nvPicPr>
        <xdr:cNvPr id="7" name="Resim 6">
          <a:extLst>
            <a:ext uri="{FF2B5EF4-FFF2-40B4-BE49-F238E27FC236}">
              <a16:creationId xmlns:a16="http://schemas.microsoft.com/office/drawing/2014/main" xmlns="" id="{00000000-0008-0000-0200-000007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6" y="190500"/>
          <a:ext cx="1885950" cy="745435"/>
        </a:xfrm>
        <a:prstGeom prst="rect">
          <a:avLst/>
        </a:prstGeom>
      </xdr:spPr>
    </xdr:pic>
    <xdr:clientData/>
  </xdr:twoCellAnchor>
  <xdr:twoCellAnchor editAs="oneCell">
    <xdr:from>
      <xdr:col>9</xdr:col>
      <xdr:colOff>28574</xdr:colOff>
      <xdr:row>45</xdr:row>
      <xdr:rowOff>190499</xdr:rowOff>
    </xdr:from>
    <xdr:to>
      <xdr:col>14</xdr:col>
      <xdr:colOff>73819</xdr:colOff>
      <xdr:row>47</xdr:row>
      <xdr:rowOff>104774</xdr:rowOff>
    </xdr:to>
    <xdr:pic>
      <xdr:nvPicPr>
        <xdr:cNvPr id="10" name="Resim 9">
          <a:extLst>
            <a:ext uri="{FF2B5EF4-FFF2-40B4-BE49-F238E27FC236}">
              <a16:creationId xmlns:a16="http://schemas.microsoft.com/office/drawing/2014/main" xmlns="" id="{00000000-0008-0000-0200-00000A000000}"/>
            </a:ext>
          </a:extLst>
        </xdr:cNvPr>
        <xdr:cNvPicPr>
          <a:picLocks noChangeAspect="1"/>
        </xdr:cNvPicPr>
      </xdr:nvPicPr>
      <xdr:blipFill rotWithShape="1">
        <a:blip xmlns:r="http://schemas.openxmlformats.org/officeDocument/2006/relationships" r:embed="rId3"/>
        <a:srcRect t="-1" r="2758" b="54343"/>
        <a:stretch/>
      </xdr:blipFill>
      <xdr:spPr>
        <a:xfrm>
          <a:off x="3238499" y="9467849"/>
          <a:ext cx="1902620" cy="485775"/>
        </a:xfrm>
        <a:prstGeom prst="rect">
          <a:avLst/>
        </a:prstGeom>
      </xdr:spPr>
    </xdr:pic>
    <xdr:clientData/>
  </xdr:twoCellAnchor>
  <xdr:twoCellAnchor editAs="oneCell">
    <xdr:from>
      <xdr:col>14</xdr:col>
      <xdr:colOff>28575</xdr:colOff>
      <xdr:row>45</xdr:row>
      <xdr:rowOff>180975</xdr:rowOff>
    </xdr:from>
    <xdr:to>
      <xdr:col>17</xdr:col>
      <xdr:colOff>35214</xdr:colOff>
      <xdr:row>47</xdr:row>
      <xdr:rowOff>44478</xdr:rowOff>
    </xdr:to>
    <xdr:pic>
      <xdr:nvPicPr>
        <xdr:cNvPr id="11" name="Resim 10">
          <a:extLst>
            <a:ext uri="{FF2B5EF4-FFF2-40B4-BE49-F238E27FC236}">
              <a16:creationId xmlns:a16="http://schemas.microsoft.com/office/drawing/2014/main" xmlns="" id="{00000000-0008-0000-0200-00000B000000}"/>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65556" y1="53398" x2="65556" y2="53398"/>
                      <a14:backgroundMark x1="53333" y1="54369" x2="53333" y2="54369"/>
                      <a14:backgroundMark x1="41852" y1="56311" x2="41852" y2="56311"/>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095875" y="9458325"/>
          <a:ext cx="1121064" cy="4350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361950</xdr:colOff>
      <xdr:row>26</xdr:row>
      <xdr:rowOff>38100</xdr:rowOff>
    </xdr:from>
    <xdr:to>
      <xdr:col>15</xdr:col>
      <xdr:colOff>361950</xdr:colOff>
      <xdr:row>36</xdr:row>
      <xdr:rowOff>180975</xdr:rowOff>
    </xdr:to>
    <xdr:graphicFrame macro="">
      <xdr:nvGraphicFramePr>
        <xdr:cNvPr id="7" name="Grafik 6">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28575</xdr:colOff>
      <xdr:row>3</xdr:row>
      <xdr:rowOff>2485</xdr:rowOff>
    </xdr:to>
    <xdr:pic>
      <xdr:nvPicPr>
        <xdr:cNvPr id="10" name="Resim 9">
          <a:extLst>
            <a:ext uri="{FF2B5EF4-FFF2-40B4-BE49-F238E27FC236}">
              <a16:creationId xmlns:a16="http://schemas.microsoft.com/office/drawing/2014/main" xmlns="" id="{00000000-0008-0000-0300-00000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8125" y="190500"/>
          <a:ext cx="1885950" cy="745435"/>
        </a:xfrm>
        <a:prstGeom prst="rect">
          <a:avLst/>
        </a:prstGeom>
      </xdr:spPr>
    </xdr:pic>
    <xdr:clientData/>
  </xdr:twoCellAnchor>
  <xdr:twoCellAnchor editAs="oneCell">
    <xdr:from>
      <xdr:col>9</xdr:col>
      <xdr:colOff>57149</xdr:colOff>
      <xdr:row>45</xdr:row>
      <xdr:rowOff>47625</xdr:rowOff>
    </xdr:from>
    <xdr:to>
      <xdr:col>14</xdr:col>
      <xdr:colOff>268381</xdr:colOff>
      <xdr:row>46</xdr:row>
      <xdr:rowOff>257175</xdr:rowOff>
    </xdr:to>
    <xdr:pic>
      <xdr:nvPicPr>
        <xdr:cNvPr id="9" name="Resim 8">
          <a:extLst>
            <a:ext uri="{FF2B5EF4-FFF2-40B4-BE49-F238E27FC236}">
              <a16:creationId xmlns:a16="http://schemas.microsoft.com/office/drawing/2014/main" xmlns="" id="{00000000-0008-0000-0300-000009000000}"/>
            </a:ext>
          </a:extLst>
        </xdr:cNvPr>
        <xdr:cNvPicPr>
          <a:picLocks noChangeAspect="1"/>
        </xdr:cNvPicPr>
      </xdr:nvPicPr>
      <xdr:blipFill rotWithShape="1">
        <a:blip xmlns:r="http://schemas.openxmlformats.org/officeDocument/2006/relationships" r:embed="rId3"/>
        <a:srcRect r="3480" b="57500"/>
        <a:stretch/>
      </xdr:blipFill>
      <xdr:spPr>
        <a:xfrm>
          <a:off x="3267074" y="9324975"/>
          <a:ext cx="2068607" cy="495300"/>
        </a:xfrm>
        <a:prstGeom prst="rect">
          <a:avLst/>
        </a:prstGeom>
      </xdr:spPr>
    </xdr:pic>
    <xdr:clientData/>
  </xdr:twoCellAnchor>
  <xdr:twoCellAnchor editAs="oneCell">
    <xdr:from>
      <xdr:col>14</xdr:col>
      <xdr:colOff>47625</xdr:colOff>
      <xdr:row>45</xdr:row>
      <xdr:rowOff>171450</xdr:rowOff>
    </xdr:from>
    <xdr:to>
      <xdr:col>17</xdr:col>
      <xdr:colOff>54264</xdr:colOff>
      <xdr:row>47</xdr:row>
      <xdr:rowOff>34953</xdr:rowOff>
    </xdr:to>
    <xdr:pic>
      <xdr:nvPicPr>
        <xdr:cNvPr id="11" name="Resim 10">
          <a:extLst>
            <a:ext uri="{FF2B5EF4-FFF2-40B4-BE49-F238E27FC236}">
              <a16:creationId xmlns:a16="http://schemas.microsoft.com/office/drawing/2014/main" xmlns="" id="{00000000-0008-0000-0300-00000B000000}"/>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65556" y1="53398" x2="65556" y2="53398"/>
                      <a14:backgroundMark x1="53333" y1="54369" x2="53333" y2="54369"/>
                      <a14:backgroundMark x1="41852" y1="56311" x2="41852" y2="56311"/>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114925" y="9448800"/>
          <a:ext cx="1121064" cy="4350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18317</xdr:colOff>
      <xdr:row>28</xdr:row>
      <xdr:rowOff>91586</xdr:rowOff>
    </xdr:from>
    <xdr:to>
      <xdr:col>6</xdr:col>
      <xdr:colOff>8792</xdr:colOff>
      <xdr:row>39</xdr:row>
      <xdr:rowOff>139211</xdr:rowOff>
    </xdr:to>
    <xdr:graphicFrame macro="">
      <xdr:nvGraphicFramePr>
        <xdr:cNvPr id="2" name="Grafik 1">
          <a:extLst>
            <a:ext uri="{FF2B5EF4-FFF2-40B4-BE49-F238E27FC236}">
              <a16:creationId xmlns:a16="http://schemas.microsoft.com/office/drawing/2014/main" xmlns=""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40298</xdr:colOff>
      <xdr:row>28</xdr:row>
      <xdr:rowOff>91587</xdr:rowOff>
    </xdr:from>
    <xdr:to>
      <xdr:col>11</xdr:col>
      <xdr:colOff>278423</xdr:colOff>
      <xdr:row>39</xdr:row>
      <xdr:rowOff>139212</xdr:rowOff>
    </xdr:to>
    <xdr:graphicFrame macro="">
      <xdr:nvGraphicFramePr>
        <xdr:cNvPr id="9" name="Grafik 8">
          <a:extLst>
            <a:ext uri="{FF2B5EF4-FFF2-40B4-BE49-F238E27FC236}">
              <a16:creationId xmlns:a16="http://schemas.microsoft.com/office/drawing/2014/main" xmlns=""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309196</xdr:colOff>
      <xdr:row>28</xdr:row>
      <xdr:rowOff>91586</xdr:rowOff>
    </xdr:from>
    <xdr:to>
      <xdr:col>16</xdr:col>
      <xdr:colOff>413971</xdr:colOff>
      <xdr:row>39</xdr:row>
      <xdr:rowOff>139211</xdr:rowOff>
    </xdr:to>
    <xdr:graphicFrame macro="">
      <xdr:nvGraphicFramePr>
        <xdr:cNvPr id="10" name="Grafik 9">
          <a:extLst>
            <a:ext uri="{FF2B5EF4-FFF2-40B4-BE49-F238E27FC236}">
              <a16:creationId xmlns:a16="http://schemas.microsoft.com/office/drawing/2014/main" xmlns=""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xdr:row>
      <xdr:rowOff>0</xdr:rowOff>
    </xdr:from>
    <xdr:to>
      <xdr:col>5</xdr:col>
      <xdr:colOff>272303</xdr:colOff>
      <xdr:row>3</xdr:row>
      <xdr:rowOff>5847</xdr:rowOff>
    </xdr:to>
    <xdr:pic>
      <xdr:nvPicPr>
        <xdr:cNvPr id="12" name="Resim 11">
          <a:extLst>
            <a:ext uri="{FF2B5EF4-FFF2-40B4-BE49-F238E27FC236}">
              <a16:creationId xmlns:a16="http://schemas.microsoft.com/office/drawing/2014/main" xmlns="" id="{00000000-0008-0000-0400-00000C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67234</xdr:colOff>
      <xdr:row>50</xdr:row>
      <xdr:rowOff>123265</xdr:rowOff>
    </xdr:from>
    <xdr:to>
      <xdr:col>14</xdr:col>
      <xdr:colOff>67238</xdr:colOff>
      <xdr:row>52</xdr:row>
      <xdr:rowOff>78441</xdr:rowOff>
    </xdr:to>
    <xdr:pic>
      <xdr:nvPicPr>
        <xdr:cNvPr id="11" name="Resim 10">
          <a:extLst>
            <a:ext uri="{FF2B5EF4-FFF2-40B4-BE49-F238E27FC236}">
              <a16:creationId xmlns:a16="http://schemas.microsoft.com/office/drawing/2014/main" xmlns="" id="{00000000-0008-0000-0400-00000B000000}"/>
            </a:ext>
          </a:extLst>
        </xdr:cNvPr>
        <xdr:cNvPicPr>
          <a:picLocks noChangeAspect="1"/>
        </xdr:cNvPicPr>
      </xdr:nvPicPr>
      <xdr:blipFill rotWithShape="1">
        <a:blip xmlns:r="http://schemas.openxmlformats.org/officeDocument/2006/relationships" r:embed="rId5"/>
        <a:srcRect r="5512" b="56559"/>
        <a:stretch/>
      </xdr:blipFill>
      <xdr:spPr>
        <a:xfrm>
          <a:off x="3518646" y="10208559"/>
          <a:ext cx="2151533" cy="537882"/>
        </a:xfrm>
        <a:prstGeom prst="rect">
          <a:avLst/>
        </a:prstGeom>
      </xdr:spPr>
    </xdr:pic>
    <xdr:clientData/>
  </xdr:twoCellAnchor>
  <xdr:twoCellAnchor editAs="oneCell">
    <xdr:from>
      <xdr:col>14</xdr:col>
      <xdr:colOff>89648</xdr:colOff>
      <xdr:row>50</xdr:row>
      <xdr:rowOff>246530</xdr:rowOff>
    </xdr:from>
    <xdr:to>
      <xdr:col>16</xdr:col>
      <xdr:colOff>392682</xdr:colOff>
      <xdr:row>52</xdr:row>
      <xdr:rowOff>98827</xdr:rowOff>
    </xdr:to>
    <xdr:pic>
      <xdr:nvPicPr>
        <xdr:cNvPr id="13" name="Resim 12">
          <a:extLst>
            <a:ext uri="{FF2B5EF4-FFF2-40B4-BE49-F238E27FC236}">
              <a16:creationId xmlns:a16="http://schemas.microsoft.com/office/drawing/2014/main" xmlns="" id="{00000000-0008-0000-0400-00000D000000}"/>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backgroundMark x1="65556" y1="53398" x2="65556" y2="53398"/>
                      <a14:backgroundMark x1="53333" y1="54369" x2="53333" y2="54369"/>
                      <a14:backgroundMark x1="41852" y1="56311" x2="41852" y2="56311"/>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692589" y="10331824"/>
          <a:ext cx="1121064" cy="4350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134471</xdr:colOff>
      <xdr:row>28</xdr:row>
      <xdr:rowOff>163606</xdr:rowOff>
    </xdr:from>
    <xdr:to>
      <xdr:col>16</xdr:col>
      <xdr:colOff>224118</xdr:colOff>
      <xdr:row>42</xdr:row>
      <xdr:rowOff>56029</xdr:rowOff>
    </xdr:to>
    <xdr:graphicFrame macro="">
      <xdr:nvGraphicFramePr>
        <xdr:cNvPr id="3" name="Grafik 2">
          <a:extLst>
            <a:ext uri="{FF2B5EF4-FFF2-40B4-BE49-F238E27FC236}">
              <a16:creationId xmlns:a16="http://schemas.microsoft.com/office/drawing/2014/main" xmlns=""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6</xdr:col>
      <xdr:colOff>14568</xdr:colOff>
      <xdr:row>3</xdr:row>
      <xdr:rowOff>5847</xdr:rowOff>
    </xdr:to>
    <xdr:pic>
      <xdr:nvPicPr>
        <xdr:cNvPr id="7" name="Resim 6">
          <a:extLst>
            <a:ext uri="{FF2B5EF4-FFF2-40B4-BE49-F238E27FC236}">
              <a16:creationId xmlns:a16="http://schemas.microsoft.com/office/drawing/2014/main" xmlns="" id="{00000000-0008-0000-0500-000007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283" t="16707" r="16943" b="17577"/>
        <a:stretch/>
      </xdr:blipFill>
      <xdr:spPr>
        <a:xfrm>
          <a:off x="235324" y="190500"/>
          <a:ext cx="1885950" cy="745435"/>
        </a:xfrm>
        <a:prstGeom prst="rect">
          <a:avLst/>
        </a:prstGeom>
      </xdr:spPr>
    </xdr:pic>
    <xdr:clientData/>
  </xdr:twoCellAnchor>
  <xdr:twoCellAnchor editAs="oneCell">
    <xdr:from>
      <xdr:col>9</xdr:col>
      <xdr:colOff>33617</xdr:colOff>
      <xdr:row>50</xdr:row>
      <xdr:rowOff>212911</xdr:rowOff>
    </xdr:from>
    <xdr:to>
      <xdr:col>13</xdr:col>
      <xdr:colOff>358589</xdr:colOff>
      <xdr:row>52</xdr:row>
      <xdr:rowOff>67234</xdr:rowOff>
    </xdr:to>
    <xdr:pic>
      <xdr:nvPicPr>
        <xdr:cNvPr id="8" name="Resim 7">
          <a:extLst>
            <a:ext uri="{FF2B5EF4-FFF2-40B4-BE49-F238E27FC236}">
              <a16:creationId xmlns:a16="http://schemas.microsoft.com/office/drawing/2014/main" xmlns="" id="{00000000-0008-0000-0500-000008000000}"/>
            </a:ext>
          </a:extLst>
        </xdr:cNvPr>
        <xdr:cNvPicPr>
          <a:picLocks noChangeAspect="1"/>
        </xdr:cNvPicPr>
      </xdr:nvPicPr>
      <xdr:blipFill rotWithShape="1">
        <a:blip xmlns:r="http://schemas.openxmlformats.org/officeDocument/2006/relationships" r:embed="rId3"/>
        <a:srcRect t="1" r="-988" b="57143"/>
        <a:stretch/>
      </xdr:blipFill>
      <xdr:spPr>
        <a:xfrm>
          <a:off x="3216088" y="10286999"/>
          <a:ext cx="1893795" cy="437029"/>
        </a:xfrm>
        <a:prstGeom prst="rect">
          <a:avLst/>
        </a:prstGeom>
      </xdr:spPr>
    </xdr:pic>
    <xdr:clientData/>
  </xdr:twoCellAnchor>
  <xdr:twoCellAnchor editAs="oneCell">
    <xdr:from>
      <xdr:col>13</xdr:col>
      <xdr:colOff>369794</xdr:colOff>
      <xdr:row>50</xdr:row>
      <xdr:rowOff>224118</xdr:rowOff>
    </xdr:from>
    <xdr:to>
      <xdr:col>16</xdr:col>
      <xdr:colOff>280623</xdr:colOff>
      <xdr:row>52</xdr:row>
      <xdr:rowOff>76415</xdr:rowOff>
    </xdr:to>
    <xdr:pic>
      <xdr:nvPicPr>
        <xdr:cNvPr id="9" name="Resim 8">
          <a:extLst>
            <a:ext uri="{FF2B5EF4-FFF2-40B4-BE49-F238E27FC236}">
              <a16:creationId xmlns:a16="http://schemas.microsoft.com/office/drawing/2014/main" xmlns="" id="{00000000-0008-0000-0500-000009000000}"/>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backgroundMark x1="65556" y1="53398" x2="65556" y2="53398"/>
                      <a14:backgroundMark x1="53333" y1="54369" x2="53333" y2="54369"/>
                      <a14:backgroundMark x1="41852" y1="56311" x2="41852" y2="56311"/>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121088" y="10298206"/>
          <a:ext cx="1121064" cy="4350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9525</xdr:colOff>
      <xdr:row>3</xdr:row>
      <xdr:rowOff>2485</xdr:rowOff>
    </xdr:to>
    <xdr:pic>
      <xdr:nvPicPr>
        <xdr:cNvPr id="5" name="Resim 4">
          <a:extLst>
            <a:ext uri="{FF2B5EF4-FFF2-40B4-BE49-F238E27FC236}">
              <a16:creationId xmlns:a16="http://schemas.microsoft.com/office/drawing/2014/main" xmlns="" id="{00000000-0008-0000-0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83" t="16707" r="16943" b="17577"/>
        <a:stretch/>
      </xdr:blipFill>
      <xdr:spPr>
        <a:xfrm>
          <a:off x="190500" y="142875"/>
          <a:ext cx="1819275" cy="745435"/>
        </a:xfrm>
        <a:prstGeom prst="rect">
          <a:avLst/>
        </a:prstGeom>
      </xdr:spPr>
    </xdr:pic>
    <xdr:clientData/>
  </xdr:twoCellAnchor>
  <xdr:twoCellAnchor editAs="oneCell">
    <xdr:from>
      <xdr:col>9</xdr:col>
      <xdr:colOff>47624</xdr:colOff>
      <xdr:row>52</xdr:row>
      <xdr:rowOff>66674</xdr:rowOff>
    </xdr:from>
    <xdr:to>
      <xdr:col>15</xdr:col>
      <xdr:colOff>154195</xdr:colOff>
      <xdr:row>54</xdr:row>
      <xdr:rowOff>57149</xdr:rowOff>
    </xdr:to>
    <xdr:pic>
      <xdr:nvPicPr>
        <xdr:cNvPr id="6" name="Resim 5">
          <a:extLst>
            <a:ext uri="{FF2B5EF4-FFF2-40B4-BE49-F238E27FC236}">
              <a16:creationId xmlns:a16="http://schemas.microsoft.com/office/drawing/2014/main" xmlns="" id="{00000000-0008-0000-0B00-000006000000}"/>
            </a:ext>
          </a:extLst>
        </xdr:cNvPr>
        <xdr:cNvPicPr>
          <a:picLocks noChangeAspect="1"/>
        </xdr:cNvPicPr>
      </xdr:nvPicPr>
      <xdr:blipFill rotWithShape="1">
        <a:blip xmlns:r="http://schemas.openxmlformats.org/officeDocument/2006/relationships" r:embed="rId2"/>
        <a:srcRect r="4040" b="56470"/>
        <a:stretch/>
      </xdr:blipFill>
      <xdr:spPr>
        <a:xfrm>
          <a:off x="3133724" y="9248774"/>
          <a:ext cx="2278271" cy="561975"/>
        </a:xfrm>
        <a:prstGeom prst="rect">
          <a:avLst/>
        </a:prstGeom>
      </xdr:spPr>
    </xdr:pic>
    <xdr:clientData/>
  </xdr:twoCellAnchor>
  <xdr:twoCellAnchor editAs="oneCell">
    <xdr:from>
      <xdr:col>14</xdr:col>
      <xdr:colOff>114300</xdr:colOff>
      <xdr:row>52</xdr:row>
      <xdr:rowOff>247650</xdr:rowOff>
    </xdr:from>
    <xdr:to>
      <xdr:col>17</xdr:col>
      <xdr:colOff>82839</xdr:colOff>
      <xdr:row>54</xdr:row>
      <xdr:rowOff>111153</xdr:rowOff>
    </xdr:to>
    <xdr:pic>
      <xdr:nvPicPr>
        <xdr:cNvPr id="7" name="Resim 6">
          <a:extLst>
            <a:ext uri="{FF2B5EF4-FFF2-40B4-BE49-F238E27FC236}">
              <a16:creationId xmlns:a16="http://schemas.microsoft.com/office/drawing/2014/main" xmlns="" id="{00000000-0008-0000-0B00-000007000000}"/>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backgroundMark x1="65556" y1="53398" x2="65556" y2="53398"/>
                      <a14:backgroundMark x1="53333" y1="54369" x2="53333" y2="54369"/>
                      <a14:backgroundMark x1="41852" y1="56311" x2="41852" y2="56311"/>
                    </a14:backgroundRemoval>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5010150" y="9429750"/>
          <a:ext cx="1121064" cy="435003"/>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topLeftCell="A28" zoomScale="78" zoomScaleNormal="78" workbookViewId="0">
      <selection activeCell="P16" sqref="P16"/>
    </sheetView>
  </sheetViews>
  <sheetFormatPr defaultRowHeight="15" x14ac:dyDescent="0.25"/>
  <cols>
    <col min="1" max="1" width="3.140625" style="175" customWidth="1"/>
    <col min="2" max="2" width="13.28515625" style="175" customWidth="1"/>
    <col min="3" max="3" width="1.42578125" style="220" customWidth="1"/>
    <col min="4" max="4" width="10.140625" style="175" bestFit="1" customWidth="1"/>
    <col min="5" max="8" width="8.5703125" style="175" customWidth="1"/>
    <col min="9" max="10" width="4.42578125" style="220" customWidth="1"/>
    <col min="11" max="16384" width="9.140625" style="175"/>
  </cols>
  <sheetData>
    <row r="1" spans="1:14" ht="15" customHeight="1" x14ac:dyDescent="0.25">
      <c r="A1" s="244"/>
      <c r="B1" s="244"/>
      <c r="C1" s="244"/>
      <c r="D1" s="244"/>
      <c r="E1" s="240" t="s">
        <v>182</v>
      </c>
      <c r="F1" s="240"/>
      <c r="G1" s="240"/>
      <c r="H1" s="240"/>
      <c r="I1" s="240"/>
      <c r="J1" s="240"/>
      <c r="K1" s="221"/>
      <c r="L1" s="220"/>
      <c r="M1" s="220"/>
    </row>
    <row r="2" spans="1:14" ht="15" customHeight="1" x14ac:dyDescent="0.25">
      <c r="A2" s="244"/>
      <c r="B2" s="244"/>
      <c r="C2" s="244"/>
      <c r="D2" s="244"/>
      <c r="E2" s="240"/>
      <c r="F2" s="240"/>
      <c r="G2" s="240"/>
      <c r="H2" s="240"/>
      <c r="I2" s="240"/>
      <c r="J2" s="240"/>
      <c r="K2" s="221"/>
      <c r="L2" s="209"/>
      <c r="M2" s="209"/>
    </row>
    <row r="3" spans="1:14" ht="15" customHeight="1" x14ac:dyDescent="0.25">
      <c r="A3" s="244"/>
      <c r="B3" s="244"/>
      <c r="C3" s="244"/>
      <c r="D3" s="244"/>
      <c r="E3" s="241" t="s">
        <v>183</v>
      </c>
      <c r="F3" s="241"/>
      <c r="G3" s="241"/>
      <c r="H3" s="241"/>
      <c r="I3" s="241"/>
      <c r="J3" s="241"/>
      <c r="K3" s="222"/>
      <c r="L3" s="209"/>
      <c r="M3" s="209"/>
    </row>
    <row r="4" spans="1:14" ht="15" customHeight="1" x14ac:dyDescent="0.25">
      <c r="A4" s="244"/>
      <c r="B4" s="244"/>
      <c r="C4" s="244"/>
      <c r="D4" s="244"/>
      <c r="E4" s="241"/>
      <c r="F4" s="241"/>
      <c r="G4" s="241"/>
      <c r="H4" s="241"/>
      <c r="I4" s="241"/>
      <c r="J4" s="241"/>
      <c r="K4" s="222"/>
      <c r="L4" s="210"/>
      <c r="M4" s="210"/>
      <c r="N4" s="227"/>
    </row>
    <row r="5" spans="1:14" ht="1.5" customHeight="1" x14ac:dyDescent="0.25">
      <c r="A5" s="242"/>
      <c r="B5" s="242"/>
      <c r="C5" s="242"/>
      <c r="D5" s="242"/>
      <c r="E5" s="242"/>
      <c r="F5" s="242"/>
      <c r="G5" s="242"/>
      <c r="H5" s="242"/>
      <c r="I5" s="242"/>
      <c r="J5" s="242"/>
      <c r="K5" s="242"/>
      <c r="L5" s="242"/>
      <c r="M5" s="242"/>
      <c r="N5" s="225"/>
    </row>
    <row r="6" spans="1:14" ht="7.5" customHeight="1" x14ac:dyDescent="0.25">
      <c r="N6" s="227"/>
    </row>
    <row r="7" spans="1:14" ht="18.75" x14ac:dyDescent="0.3">
      <c r="A7" s="249" t="s">
        <v>203</v>
      </c>
      <c r="B7" s="249"/>
      <c r="C7" s="249"/>
      <c r="D7" s="249"/>
      <c r="E7" s="249"/>
      <c r="F7" s="249"/>
      <c r="G7" s="249"/>
      <c r="H7" s="249"/>
      <c r="I7" s="249"/>
      <c r="J7" s="249"/>
      <c r="K7" s="249"/>
      <c r="L7" s="249"/>
      <c r="M7" s="249"/>
      <c r="N7" s="227"/>
    </row>
    <row r="8" spans="1:14" ht="9" customHeight="1" x14ac:dyDescent="0.25">
      <c r="N8" s="227"/>
    </row>
    <row r="9" spans="1:14" x14ac:dyDescent="0.25">
      <c r="A9" s="245" t="s">
        <v>154</v>
      </c>
      <c r="B9" s="245"/>
      <c r="C9" s="219"/>
      <c r="D9" s="245" t="s">
        <v>198</v>
      </c>
      <c r="E9" s="245"/>
      <c r="F9" s="245"/>
      <c r="G9" s="245"/>
      <c r="H9" s="245"/>
      <c r="I9" s="245"/>
      <c r="J9" s="245"/>
      <c r="K9" s="245"/>
      <c r="L9" s="245"/>
      <c r="M9" s="245"/>
    </row>
    <row r="10" spans="1:14" s="214" customFormat="1" x14ac:dyDescent="0.25">
      <c r="A10" s="245" t="s">
        <v>181</v>
      </c>
      <c r="B10" s="245"/>
      <c r="C10" s="219"/>
      <c r="D10" s="245" t="s">
        <v>193</v>
      </c>
      <c r="E10" s="245"/>
      <c r="F10" s="245"/>
      <c r="G10" s="245"/>
      <c r="H10" s="245"/>
      <c r="I10" s="245"/>
      <c r="J10" s="245"/>
      <c r="K10" s="245"/>
      <c r="L10" s="245"/>
      <c r="M10" s="245"/>
    </row>
    <row r="11" spans="1:14" x14ac:dyDescent="0.25">
      <c r="A11" s="245" t="s">
        <v>155</v>
      </c>
      <c r="B11" s="245"/>
      <c r="C11" s="219"/>
      <c r="D11" s="245" t="s">
        <v>194</v>
      </c>
      <c r="E11" s="245"/>
      <c r="F11" s="245"/>
      <c r="G11" s="245"/>
      <c r="H11" s="245"/>
      <c r="I11" s="245"/>
      <c r="J11" s="245"/>
      <c r="K11" s="245"/>
      <c r="L11" s="245"/>
      <c r="M11" s="245"/>
    </row>
    <row r="12" spans="1:14" x14ac:dyDescent="0.25">
      <c r="A12" s="245" t="s">
        <v>176</v>
      </c>
      <c r="B12" s="245"/>
      <c r="C12" s="219"/>
      <c r="D12" s="232" t="s">
        <v>192</v>
      </c>
      <c r="E12" s="130"/>
      <c r="F12" s="130"/>
      <c r="G12" s="130"/>
      <c r="H12" s="130"/>
      <c r="I12" s="130"/>
      <c r="J12" s="130"/>
      <c r="K12" s="130"/>
      <c r="L12" s="130"/>
    </row>
    <row r="13" spans="1:14" x14ac:dyDescent="0.25">
      <c r="A13" s="245" t="s">
        <v>162</v>
      </c>
      <c r="B13" s="245"/>
      <c r="C13" s="219"/>
      <c r="D13" s="176" t="s">
        <v>163</v>
      </c>
      <c r="E13" s="130"/>
      <c r="F13" s="130"/>
      <c r="G13" s="130"/>
      <c r="H13" s="130"/>
      <c r="I13" s="130"/>
      <c r="J13" s="130"/>
      <c r="K13" s="130"/>
      <c r="L13" s="130"/>
    </row>
    <row r="14" spans="1:14" x14ac:dyDescent="0.25">
      <c r="A14" s="245" t="s">
        <v>148</v>
      </c>
      <c r="B14" s="245"/>
      <c r="C14" s="219"/>
      <c r="D14" s="232" t="s">
        <v>192</v>
      </c>
      <c r="E14" s="245" t="s">
        <v>204</v>
      </c>
      <c r="F14" s="245"/>
      <c r="G14" s="245"/>
      <c r="H14" s="245"/>
      <c r="I14" s="245"/>
      <c r="J14" s="245"/>
      <c r="K14" s="245"/>
      <c r="L14" s="245"/>
      <c r="M14" s="245"/>
    </row>
    <row r="15" spans="1:14" ht="9" customHeight="1" x14ac:dyDescent="0.25"/>
    <row r="16" spans="1:14" x14ac:dyDescent="0.25">
      <c r="B16" s="177" t="s">
        <v>149</v>
      </c>
      <c r="C16" s="177"/>
    </row>
    <row r="17" spans="1:13" ht="9" customHeight="1" x14ac:dyDescent="0.25"/>
    <row r="18" spans="1:13" s="186" customFormat="1" x14ac:dyDescent="0.25">
      <c r="A18" s="187" t="s">
        <v>164</v>
      </c>
      <c r="B18" s="189" t="s">
        <v>165</v>
      </c>
      <c r="C18" s="189"/>
      <c r="D18" s="188"/>
      <c r="E18" s="188"/>
      <c r="F18" s="188"/>
      <c r="G18" s="188"/>
      <c r="H18" s="188"/>
      <c r="I18" s="188"/>
      <c r="J18" s="188"/>
      <c r="K18" s="188"/>
      <c r="L18" s="188"/>
      <c r="M18" s="188"/>
    </row>
    <row r="19" spans="1:13" s="186" customFormat="1" ht="9" customHeight="1" x14ac:dyDescent="0.25">
      <c r="A19" s="187"/>
      <c r="B19" s="189"/>
      <c r="C19" s="189"/>
      <c r="D19" s="188"/>
      <c r="E19" s="188"/>
      <c r="F19" s="188"/>
      <c r="G19" s="188"/>
      <c r="H19" s="188"/>
      <c r="I19" s="188"/>
      <c r="J19" s="188"/>
      <c r="K19" s="188"/>
      <c r="L19" s="188"/>
      <c r="M19" s="188"/>
    </row>
    <row r="20" spans="1:13" s="186" customFormat="1" x14ac:dyDescent="0.25">
      <c r="A20" s="187" t="s">
        <v>164</v>
      </c>
      <c r="B20" s="250" t="s">
        <v>166</v>
      </c>
      <c r="C20" s="250"/>
      <c r="D20" s="250"/>
      <c r="E20" s="250"/>
      <c r="F20" s="250"/>
      <c r="G20" s="250"/>
      <c r="H20" s="250"/>
      <c r="I20" s="250"/>
      <c r="J20" s="250"/>
      <c r="K20" s="250"/>
      <c r="L20" s="250"/>
      <c r="M20" s="250"/>
    </row>
    <row r="21" spans="1:13" s="186" customFormat="1" x14ac:dyDescent="0.25">
      <c r="A21" s="184"/>
      <c r="B21" s="250"/>
      <c r="C21" s="250"/>
      <c r="D21" s="250"/>
      <c r="E21" s="250"/>
      <c r="F21" s="250"/>
      <c r="G21" s="250"/>
      <c r="H21" s="250"/>
      <c r="I21" s="250"/>
      <c r="J21" s="250"/>
      <c r="K21" s="250"/>
      <c r="L21" s="250"/>
      <c r="M21" s="250"/>
    </row>
    <row r="22" spans="1:13" s="186" customFormat="1" ht="9" customHeight="1" x14ac:dyDescent="0.25">
      <c r="A22" s="184"/>
      <c r="B22" s="185"/>
      <c r="C22" s="216"/>
      <c r="D22" s="185"/>
      <c r="E22" s="185"/>
      <c r="F22" s="185"/>
      <c r="G22" s="185"/>
      <c r="H22" s="185"/>
      <c r="I22" s="216"/>
      <c r="J22" s="216"/>
      <c r="K22" s="185"/>
      <c r="L22" s="185"/>
      <c r="M22" s="185"/>
    </row>
    <row r="23" spans="1:13" s="186" customFormat="1" x14ac:dyDescent="0.25">
      <c r="A23" s="186" t="s">
        <v>164</v>
      </c>
      <c r="B23" s="251" t="s">
        <v>168</v>
      </c>
      <c r="C23" s="251"/>
      <c r="D23" s="251"/>
      <c r="E23" s="251"/>
      <c r="F23" s="251"/>
      <c r="G23" s="251"/>
      <c r="H23" s="251"/>
      <c r="I23" s="251"/>
      <c r="J23" s="251"/>
      <c r="K23" s="251"/>
      <c r="L23" s="251"/>
      <c r="M23" s="251"/>
    </row>
    <row r="24" spans="1:13" s="186" customFormat="1" x14ac:dyDescent="0.25">
      <c r="B24" s="251"/>
      <c r="C24" s="251"/>
      <c r="D24" s="251"/>
      <c r="E24" s="251"/>
      <c r="F24" s="251"/>
      <c r="G24" s="251"/>
      <c r="H24" s="251"/>
      <c r="I24" s="251"/>
      <c r="J24" s="251"/>
      <c r="K24" s="251"/>
      <c r="L24" s="251"/>
      <c r="M24" s="251"/>
    </row>
    <row r="25" spans="1:13" s="186" customFormat="1" x14ac:dyDescent="0.25">
      <c r="A25" s="184"/>
      <c r="B25" s="251"/>
      <c r="C25" s="251"/>
      <c r="D25" s="251"/>
      <c r="E25" s="251"/>
      <c r="F25" s="251"/>
      <c r="G25" s="251"/>
      <c r="H25" s="251"/>
      <c r="I25" s="251"/>
      <c r="J25" s="251"/>
      <c r="K25" s="251"/>
      <c r="L25" s="251"/>
      <c r="M25" s="251"/>
    </row>
    <row r="26" spans="1:13" s="186" customFormat="1" ht="9" customHeight="1" x14ac:dyDescent="0.25">
      <c r="A26" s="184"/>
      <c r="B26" s="190"/>
      <c r="C26" s="217"/>
      <c r="D26" s="190"/>
      <c r="E26" s="190"/>
      <c r="F26" s="190"/>
      <c r="G26" s="190"/>
      <c r="H26" s="190"/>
      <c r="I26" s="217"/>
      <c r="J26" s="217"/>
      <c r="K26" s="190"/>
      <c r="L26" s="190"/>
      <c r="M26" s="190"/>
    </row>
    <row r="27" spans="1:13" s="186" customFormat="1" x14ac:dyDescent="0.25">
      <c r="A27" s="252" t="s">
        <v>139</v>
      </c>
      <c r="B27" s="252"/>
      <c r="C27" s="218"/>
      <c r="D27" s="191"/>
      <c r="E27" s="191"/>
      <c r="F27" s="191"/>
      <c r="G27" s="191"/>
      <c r="H27" s="191"/>
      <c r="I27" s="191"/>
      <c r="J27" s="191"/>
      <c r="K27" s="191"/>
      <c r="L27" s="191"/>
      <c r="M27" s="191"/>
    </row>
    <row r="28" spans="1:13" s="186" customFormat="1" ht="9" customHeight="1" x14ac:dyDescent="0.25">
      <c r="B28" s="130"/>
      <c r="C28" s="130"/>
      <c r="D28" s="130"/>
      <c r="E28" s="130"/>
      <c r="F28" s="130"/>
      <c r="G28" s="130"/>
      <c r="H28" s="130"/>
      <c r="I28" s="130"/>
      <c r="J28" s="130"/>
      <c r="K28" s="130"/>
      <c r="L28" s="130"/>
      <c r="M28" s="130"/>
    </row>
    <row r="29" spans="1:13" s="186" customFormat="1" ht="15" customHeight="1" x14ac:dyDescent="0.25">
      <c r="A29" s="250" t="s">
        <v>195</v>
      </c>
      <c r="B29" s="250"/>
      <c r="C29" s="250"/>
      <c r="D29" s="250"/>
      <c r="E29" s="250"/>
      <c r="F29" s="250"/>
      <c r="G29" s="250"/>
      <c r="H29" s="250"/>
      <c r="I29" s="250"/>
      <c r="J29" s="250"/>
      <c r="K29" s="250"/>
      <c r="L29" s="250"/>
      <c r="M29" s="250"/>
    </row>
    <row r="30" spans="1:13" s="186" customFormat="1" x14ac:dyDescent="0.25">
      <c r="A30" s="250"/>
      <c r="B30" s="250"/>
      <c r="C30" s="250"/>
      <c r="D30" s="250"/>
      <c r="E30" s="250"/>
      <c r="F30" s="250"/>
      <c r="G30" s="250"/>
      <c r="H30" s="250"/>
      <c r="I30" s="250"/>
      <c r="J30" s="250"/>
      <c r="K30" s="250"/>
      <c r="L30" s="250"/>
      <c r="M30" s="250"/>
    </row>
    <row r="31" spans="1:13" x14ac:dyDescent="0.25">
      <c r="A31" s="250"/>
      <c r="B31" s="250"/>
      <c r="C31" s="250"/>
      <c r="D31" s="250"/>
      <c r="E31" s="250"/>
      <c r="F31" s="250"/>
      <c r="G31" s="250"/>
      <c r="H31" s="250"/>
      <c r="I31" s="250"/>
      <c r="J31" s="250"/>
      <c r="K31" s="250"/>
      <c r="L31" s="250"/>
      <c r="M31" s="250"/>
    </row>
    <row r="32" spans="1:13" s="186" customFormat="1" ht="11.25" customHeight="1" x14ac:dyDescent="0.25">
      <c r="C32" s="220"/>
      <c r="I32" s="220"/>
      <c r="J32" s="220"/>
    </row>
    <row r="33" spans="1:14" x14ac:dyDescent="0.25">
      <c r="A33" s="186"/>
      <c r="B33" s="186"/>
      <c r="D33" s="186"/>
      <c r="E33" s="186"/>
      <c r="F33" s="186"/>
      <c r="G33" s="186"/>
      <c r="H33" s="186"/>
      <c r="K33" s="186"/>
      <c r="L33" s="186"/>
      <c r="M33" s="186"/>
    </row>
    <row r="34" spans="1:14" x14ac:dyDescent="0.25">
      <c r="A34" s="186"/>
      <c r="B34" s="186"/>
      <c r="D34" s="186"/>
      <c r="E34" s="186"/>
      <c r="F34" s="186"/>
      <c r="G34" s="186"/>
      <c r="H34" s="186"/>
      <c r="K34" s="186"/>
      <c r="L34" s="186"/>
      <c r="M34" s="186"/>
    </row>
    <row r="35" spans="1:14" x14ac:dyDescent="0.25">
      <c r="A35" s="186"/>
      <c r="B35" s="186"/>
      <c r="D35" s="186"/>
      <c r="E35" s="186"/>
      <c r="F35" s="186"/>
      <c r="G35" s="186"/>
      <c r="H35" s="186"/>
      <c r="K35" s="186"/>
      <c r="L35" s="186"/>
      <c r="M35" s="186"/>
    </row>
    <row r="36" spans="1:14" x14ac:dyDescent="0.25">
      <c r="A36" s="186"/>
      <c r="B36" s="186"/>
      <c r="D36" s="186"/>
      <c r="E36" s="186"/>
      <c r="F36" s="186"/>
      <c r="G36" s="186"/>
      <c r="H36" s="186"/>
      <c r="K36" s="186"/>
      <c r="L36" s="186"/>
      <c r="M36" s="186"/>
    </row>
    <row r="37" spans="1:14" x14ac:dyDescent="0.25">
      <c r="A37" s="186"/>
      <c r="B37" s="186"/>
      <c r="D37" s="186"/>
      <c r="E37" s="186"/>
      <c r="F37" s="186"/>
      <c r="G37" s="186"/>
      <c r="H37" s="186"/>
      <c r="K37" s="186"/>
      <c r="L37" s="186"/>
      <c r="M37" s="186"/>
    </row>
    <row r="38" spans="1:14" x14ac:dyDescent="0.25">
      <c r="A38" s="186"/>
      <c r="B38" s="186"/>
      <c r="D38" s="186"/>
      <c r="E38" s="186"/>
      <c r="F38" s="186"/>
      <c r="G38" s="186"/>
      <c r="H38" s="186"/>
      <c r="K38" s="186"/>
      <c r="L38" s="186"/>
      <c r="M38" s="186"/>
    </row>
    <row r="39" spans="1:14" x14ac:dyDescent="0.25">
      <c r="A39" s="186"/>
      <c r="B39" s="186"/>
      <c r="D39" s="186"/>
      <c r="E39" s="186"/>
      <c r="F39" s="186"/>
      <c r="G39" s="186"/>
      <c r="H39" s="186"/>
      <c r="K39" s="186"/>
      <c r="L39" s="186"/>
      <c r="M39" s="186"/>
    </row>
    <row r="40" spans="1:14" s="208" customFormat="1" x14ac:dyDescent="0.25">
      <c r="C40" s="220"/>
      <c r="I40" s="220"/>
      <c r="J40" s="220"/>
    </row>
    <row r="41" spans="1:14" s="208" customFormat="1" x14ac:dyDescent="0.25">
      <c r="C41" s="220"/>
      <c r="I41" s="220"/>
      <c r="J41" s="220"/>
    </row>
    <row r="42" spans="1:14" s="208" customFormat="1" x14ac:dyDescent="0.25">
      <c r="C42" s="220"/>
      <c r="I42" s="220"/>
      <c r="J42" s="220"/>
    </row>
    <row r="43" spans="1:14" x14ac:dyDescent="0.25">
      <c r="A43" s="186"/>
      <c r="B43" s="186"/>
      <c r="D43" s="186"/>
      <c r="E43" s="186"/>
      <c r="F43" s="186"/>
      <c r="G43" s="186"/>
      <c r="H43" s="186"/>
      <c r="K43" s="186"/>
      <c r="L43" s="186"/>
      <c r="M43" s="186"/>
    </row>
    <row r="44" spans="1:14" s="208" customFormat="1" x14ac:dyDescent="0.25">
      <c r="C44" s="220"/>
      <c r="I44" s="220"/>
      <c r="J44" s="220"/>
    </row>
    <row r="45" spans="1:14" x14ac:dyDescent="0.25">
      <c r="A45" s="186"/>
      <c r="B45" s="186"/>
      <c r="D45" s="186"/>
      <c r="E45" s="186"/>
      <c r="F45" s="186"/>
      <c r="G45" s="186"/>
      <c r="H45" s="186"/>
      <c r="K45" s="186"/>
      <c r="L45" s="186"/>
      <c r="M45" s="186"/>
    </row>
    <row r="46" spans="1:14" x14ac:dyDescent="0.25">
      <c r="A46" s="186"/>
      <c r="B46" s="186"/>
      <c r="D46" s="186"/>
      <c r="E46" s="186"/>
      <c r="F46" s="186"/>
      <c r="G46" s="186"/>
      <c r="H46" s="186"/>
      <c r="K46" s="186"/>
      <c r="L46" s="186"/>
      <c r="M46" s="186"/>
    </row>
    <row r="47" spans="1:14" x14ac:dyDescent="0.25">
      <c r="A47" s="186"/>
      <c r="B47" s="186"/>
      <c r="D47" s="186"/>
      <c r="E47" s="186"/>
      <c r="F47" s="186"/>
      <c r="G47" s="130"/>
      <c r="H47" s="130"/>
      <c r="I47" s="130"/>
      <c r="J47" s="130"/>
      <c r="K47" s="63"/>
      <c r="L47" s="1"/>
      <c r="M47" s="1"/>
      <c r="N47" s="1"/>
    </row>
    <row r="48" spans="1:14" s="220" customFormat="1" ht="7.5" customHeight="1" x14ac:dyDescent="0.25">
      <c r="G48" s="130"/>
      <c r="H48" s="130"/>
      <c r="I48" s="130"/>
      <c r="J48" s="130"/>
      <c r="K48" s="63"/>
      <c r="L48" s="1"/>
      <c r="M48" s="1"/>
      <c r="N48" s="1"/>
    </row>
    <row r="49" spans="1:14" x14ac:dyDescent="0.25">
      <c r="A49" s="186"/>
      <c r="B49" s="186"/>
      <c r="D49" s="186"/>
      <c r="E49" s="186"/>
      <c r="F49" s="186"/>
      <c r="G49" s="130"/>
      <c r="H49" s="130"/>
      <c r="I49" s="130"/>
      <c r="J49" s="130"/>
      <c r="K49" s="63"/>
      <c r="L49" s="1"/>
      <c r="M49" s="1"/>
      <c r="N49" s="1"/>
    </row>
    <row r="50" spans="1:14" x14ac:dyDescent="0.25">
      <c r="G50" s="130"/>
      <c r="H50" s="130"/>
      <c r="I50" s="130"/>
      <c r="J50" s="130"/>
      <c r="K50" s="63"/>
      <c r="L50" s="1"/>
      <c r="M50" s="1"/>
      <c r="N50" s="1"/>
    </row>
    <row r="51" spans="1:14" x14ac:dyDescent="0.25">
      <c r="G51" s="63"/>
      <c r="H51" s="63"/>
      <c r="I51" s="63"/>
      <c r="J51" s="63"/>
      <c r="K51" s="63"/>
      <c r="L51" s="1"/>
      <c r="M51" s="1"/>
      <c r="N51" s="1"/>
    </row>
    <row r="52" spans="1:14" x14ac:dyDescent="0.25">
      <c r="A52" s="258"/>
      <c r="B52" s="259"/>
      <c r="C52" s="259"/>
      <c r="D52" s="259"/>
      <c r="E52" s="259"/>
      <c r="F52" s="260"/>
      <c r="G52" s="253" t="s">
        <v>142</v>
      </c>
      <c r="H52" s="253"/>
      <c r="I52" s="253"/>
      <c r="J52" s="253"/>
      <c r="K52" s="253"/>
      <c r="L52" s="253"/>
      <c r="M52" s="253"/>
    </row>
    <row r="53" spans="1:14" x14ac:dyDescent="0.25">
      <c r="A53" s="247" t="s">
        <v>150</v>
      </c>
      <c r="B53" s="248"/>
      <c r="C53" s="215" t="s">
        <v>20</v>
      </c>
      <c r="D53" s="255" t="str">
        <f>D14</f>
        <v>05.08.2026</v>
      </c>
      <c r="E53" s="255"/>
      <c r="F53" s="255"/>
      <c r="G53" s="254"/>
      <c r="H53" s="254"/>
      <c r="I53" s="254"/>
      <c r="J53" s="254"/>
      <c r="K53" s="254"/>
      <c r="L53" s="254"/>
      <c r="M53" s="254"/>
    </row>
    <row r="54" spans="1:14" x14ac:dyDescent="0.25">
      <c r="A54" s="247" t="s">
        <v>151</v>
      </c>
      <c r="B54" s="248"/>
      <c r="C54" s="215" t="s">
        <v>20</v>
      </c>
      <c r="D54" s="255" t="str">
        <f>D12</f>
        <v>05.08.2026</v>
      </c>
      <c r="E54" s="256"/>
      <c r="F54" s="256"/>
      <c r="G54" s="254"/>
      <c r="H54" s="254"/>
      <c r="I54" s="254"/>
      <c r="J54" s="254"/>
      <c r="K54" s="254"/>
      <c r="L54" s="254"/>
      <c r="M54" s="254"/>
    </row>
    <row r="55" spans="1:14" x14ac:dyDescent="0.25">
      <c r="A55" s="247" t="s">
        <v>161</v>
      </c>
      <c r="B55" s="248"/>
      <c r="C55" s="239" t="s">
        <v>20</v>
      </c>
      <c r="D55" s="248" t="s">
        <v>190</v>
      </c>
      <c r="E55" s="248"/>
      <c r="F55" s="257"/>
      <c r="G55" s="254"/>
      <c r="H55" s="254"/>
      <c r="I55" s="254"/>
      <c r="J55" s="254"/>
      <c r="K55" s="254"/>
      <c r="L55" s="254"/>
      <c r="M55" s="254"/>
    </row>
    <row r="56" spans="1:14" x14ac:dyDescent="0.25">
      <c r="A56" s="261"/>
      <c r="B56" s="262"/>
      <c r="C56" s="262"/>
      <c r="D56" s="262"/>
      <c r="E56" s="262"/>
      <c r="F56" s="263"/>
      <c r="G56" s="254"/>
      <c r="H56" s="254"/>
      <c r="I56" s="254"/>
      <c r="J56" s="254"/>
      <c r="K56" s="254"/>
      <c r="L56" s="254"/>
      <c r="M56" s="254"/>
    </row>
    <row r="57" spans="1:14" ht="3.75" customHeight="1" x14ac:dyDescent="0.25"/>
    <row r="58" spans="1:14" ht="11.25" customHeight="1" x14ac:dyDescent="0.25">
      <c r="A58" s="243" t="s">
        <v>152</v>
      </c>
      <c r="B58" s="243"/>
      <c r="C58" s="243"/>
      <c r="D58" s="243"/>
      <c r="E58" s="243"/>
      <c r="F58" s="243"/>
      <c r="G58" s="243"/>
      <c r="H58" s="243"/>
      <c r="I58" s="243"/>
      <c r="J58" s="243"/>
      <c r="K58" s="243"/>
      <c r="L58" s="243"/>
      <c r="M58" s="243"/>
      <c r="N58" s="224"/>
    </row>
    <row r="59" spans="1:14" ht="1.5" customHeight="1" x14ac:dyDescent="0.25">
      <c r="A59" s="242"/>
      <c r="B59" s="242"/>
      <c r="C59" s="242"/>
      <c r="D59" s="242"/>
      <c r="E59" s="242"/>
      <c r="F59" s="242"/>
      <c r="G59" s="242"/>
      <c r="H59" s="242"/>
      <c r="I59" s="242"/>
      <c r="J59" s="242"/>
      <c r="K59" s="242"/>
      <c r="L59" s="242"/>
      <c r="M59" s="242"/>
      <c r="N59" s="225"/>
    </row>
    <row r="60" spans="1:14" ht="11.25" customHeight="1" x14ac:dyDescent="0.25">
      <c r="A60" s="246" t="s">
        <v>153</v>
      </c>
      <c r="B60" s="246"/>
      <c r="C60" s="246"/>
      <c r="D60" s="246"/>
      <c r="E60" s="246"/>
      <c r="F60" s="246"/>
      <c r="G60" s="246"/>
      <c r="H60" s="246"/>
      <c r="I60" s="246"/>
      <c r="J60" s="246"/>
      <c r="K60" s="246"/>
      <c r="L60" s="246"/>
      <c r="M60" s="246"/>
      <c r="N60" s="226"/>
    </row>
    <row r="61" spans="1:14" ht="11.25" customHeight="1" x14ac:dyDescent="0.25">
      <c r="A61" s="246" t="s">
        <v>177</v>
      </c>
      <c r="B61" s="246"/>
      <c r="C61" s="246"/>
      <c r="D61" s="246"/>
      <c r="E61" s="246"/>
      <c r="F61" s="246"/>
      <c r="G61" s="246"/>
      <c r="H61" s="246"/>
      <c r="I61" s="246"/>
      <c r="J61" s="246"/>
      <c r="K61" s="246"/>
      <c r="L61" s="246"/>
      <c r="M61" s="246"/>
      <c r="N61" s="223"/>
    </row>
    <row r="62" spans="1:14" ht="11.25" customHeight="1" x14ac:dyDescent="0.25">
      <c r="A62" s="246" t="s">
        <v>189</v>
      </c>
      <c r="B62" s="246"/>
      <c r="C62" s="246"/>
      <c r="D62" s="246"/>
      <c r="E62" s="246"/>
      <c r="F62" s="246"/>
      <c r="G62" s="246"/>
      <c r="H62" s="246"/>
      <c r="I62" s="246"/>
      <c r="J62" s="246"/>
      <c r="K62" s="246"/>
      <c r="L62" s="246"/>
      <c r="M62" s="246"/>
      <c r="N62" s="223"/>
    </row>
  </sheetData>
  <mergeCells count="34">
    <mergeCell ref="A61:M61"/>
    <mergeCell ref="G52:M52"/>
    <mergeCell ref="G53:M56"/>
    <mergeCell ref="D53:F53"/>
    <mergeCell ref="D54:F54"/>
    <mergeCell ref="D55:F55"/>
    <mergeCell ref="A55:B55"/>
    <mergeCell ref="A52:F52"/>
    <mergeCell ref="A56:F56"/>
    <mergeCell ref="A62:M62"/>
    <mergeCell ref="A54:B54"/>
    <mergeCell ref="A7:M7"/>
    <mergeCell ref="B20:M21"/>
    <mergeCell ref="B23:M25"/>
    <mergeCell ref="A53:B53"/>
    <mergeCell ref="A27:B27"/>
    <mergeCell ref="E14:M14"/>
    <mergeCell ref="A29:M31"/>
    <mergeCell ref="A9:B9"/>
    <mergeCell ref="A10:B10"/>
    <mergeCell ref="A11:B11"/>
    <mergeCell ref="A12:B12"/>
    <mergeCell ref="A14:B14"/>
    <mergeCell ref="D9:M9"/>
    <mergeCell ref="A60:M60"/>
    <mergeCell ref="E1:J2"/>
    <mergeCell ref="E3:J4"/>
    <mergeCell ref="A59:M59"/>
    <mergeCell ref="A58:M58"/>
    <mergeCell ref="A5:M5"/>
    <mergeCell ref="A1:D4"/>
    <mergeCell ref="A13:B13"/>
    <mergeCell ref="D10:M10"/>
    <mergeCell ref="D11:M11"/>
  </mergeCells>
  <printOptions horizontalCentered="1" verticalCentered="1"/>
  <pageMargins left="0.19685039370078741" right="0.19685039370078741"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83"/>
  <sheetViews>
    <sheetView topLeftCell="A11" zoomScale="82" zoomScaleNormal="82" workbookViewId="0">
      <selection activeCell="L71" sqref="L71"/>
    </sheetView>
  </sheetViews>
  <sheetFormatPr defaultRowHeight="15" x14ac:dyDescent="0.25"/>
  <cols>
    <col min="1" max="1" width="1.5703125" customWidth="1"/>
    <col min="2" max="19" width="5" customWidth="1"/>
    <col min="20" max="20" width="1.5703125" customWidth="1"/>
    <col min="22" max="49" width="5" customWidth="1"/>
  </cols>
  <sheetData>
    <row r="1" spans="1:25" ht="5.25" customHeight="1" x14ac:dyDescent="0.25">
      <c r="A1" s="12"/>
      <c r="B1" s="13"/>
      <c r="C1" s="13"/>
      <c r="D1" s="13"/>
      <c r="E1" s="13"/>
      <c r="F1" s="13"/>
      <c r="G1" s="13"/>
      <c r="H1" s="13"/>
      <c r="I1" s="13"/>
      <c r="J1" s="13"/>
      <c r="K1" s="13"/>
      <c r="L1" s="13"/>
      <c r="M1" s="13"/>
      <c r="N1" s="13"/>
      <c r="O1" s="13"/>
      <c r="P1" s="13"/>
      <c r="Q1" s="13"/>
      <c r="R1" s="13"/>
      <c r="S1" s="13"/>
      <c r="T1" s="14"/>
    </row>
    <row r="2" spans="1:25" ht="18.75" customHeight="1" x14ac:dyDescent="0.25">
      <c r="A2" s="10"/>
      <c r="B2" s="46"/>
      <c r="C2" s="47"/>
      <c r="D2" s="47"/>
      <c r="E2" s="47"/>
      <c r="F2" s="47"/>
      <c r="G2" s="211"/>
      <c r="H2" s="298" t="s">
        <v>147</v>
      </c>
      <c r="I2" s="299"/>
      <c r="J2" s="299"/>
      <c r="K2" s="296" t="str">
        <f>'KAPAK SAYFASI'!D9</f>
        <v>OK AMBALAJ</v>
      </c>
      <c r="L2" s="296"/>
      <c r="M2" s="296"/>
      <c r="N2" s="296"/>
      <c r="O2" s="296"/>
      <c r="P2" s="296"/>
      <c r="Q2" s="296"/>
      <c r="R2" s="296"/>
      <c r="S2" s="297"/>
      <c r="T2" s="11"/>
    </row>
    <row r="3" spans="1:25" ht="22.5" customHeight="1" x14ac:dyDescent="0.25">
      <c r="A3" s="10"/>
      <c r="B3" s="62"/>
      <c r="C3" s="63"/>
      <c r="D3" s="63"/>
      <c r="E3" s="63"/>
      <c r="F3" s="63"/>
      <c r="G3" s="212"/>
      <c r="H3" s="300"/>
      <c r="I3" s="301"/>
      <c r="J3" s="301"/>
      <c r="K3" s="294"/>
      <c r="L3" s="294"/>
      <c r="M3" s="294"/>
      <c r="N3" s="294"/>
      <c r="O3" s="294"/>
      <c r="P3" s="294"/>
      <c r="Q3" s="294"/>
      <c r="R3" s="294"/>
      <c r="S3" s="295"/>
      <c r="T3" s="11"/>
    </row>
    <row r="4" spans="1:25" ht="3" customHeight="1" x14ac:dyDescent="0.25">
      <c r="A4" s="10"/>
      <c r="B4" s="62"/>
      <c r="C4" s="63"/>
      <c r="D4" s="63"/>
      <c r="E4" s="63"/>
      <c r="F4" s="63"/>
      <c r="G4" s="212"/>
      <c r="H4" s="178"/>
      <c r="I4" s="179"/>
      <c r="J4" s="179"/>
      <c r="K4" s="179"/>
      <c r="L4" s="179"/>
      <c r="M4" s="179"/>
      <c r="N4" s="179"/>
      <c r="O4" s="179"/>
      <c r="P4" s="179"/>
      <c r="Q4" s="179"/>
      <c r="R4" s="179"/>
      <c r="S4" s="180"/>
      <c r="T4" s="11"/>
    </row>
    <row r="5" spans="1:25" ht="15" customHeight="1" x14ac:dyDescent="0.25">
      <c r="A5" s="10"/>
      <c r="B5" s="62"/>
      <c r="C5" s="63"/>
      <c r="D5" s="63"/>
      <c r="E5" s="63"/>
      <c r="F5" s="63"/>
      <c r="G5" s="212"/>
      <c r="H5" s="292" t="s">
        <v>180</v>
      </c>
      <c r="I5" s="293"/>
      <c r="J5" s="293"/>
      <c r="K5" s="294" t="str">
        <f>'KAPAK SAYFASI'!D10</f>
        <v>TR-1</v>
      </c>
      <c r="L5" s="294"/>
      <c r="M5" s="294"/>
      <c r="N5" s="294"/>
      <c r="O5" s="294"/>
      <c r="P5" s="294"/>
      <c r="Q5" s="294"/>
      <c r="R5" s="294"/>
      <c r="S5" s="295"/>
      <c r="T5" s="11"/>
    </row>
    <row r="6" spans="1:25" ht="22.5" customHeight="1" x14ac:dyDescent="0.25">
      <c r="A6" s="10"/>
      <c r="B6" s="285" t="s">
        <v>125</v>
      </c>
      <c r="C6" s="286"/>
      <c r="D6" s="286"/>
      <c r="E6" s="286"/>
      <c r="F6" s="286"/>
      <c r="G6" s="287"/>
      <c r="H6" s="292"/>
      <c r="I6" s="293"/>
      <c r="J6" s="293"/>
      <c r="K6" s="294"/>
      <c r="L6" s="294"/>
      <c r="M6" s="294"/>
      <c r="N6" s="294"/>
      <c r="O6" s="294"/>
      <c r="P6" s="294"/>
      <c r="Q6" s="294"/>
      <c r="R6" s="294"/>
      <c r="S6" s="295"/>
      <c r="T6" s="11"/>
    </row>
    <row r="7" spans="1:25" ht="3" customHeight="1" x14ac:dyDescent="0.25">
      <c r="A7" s="10"/>
      <c r="B7" s="49"/>
      <c r="C7" s="50"/>
      <c r="D7" s="50"/>
      <c r="E7" s="50"/>
      <c r="F7" s="50"/>
      <c r="G7" s="64"/>
      <c r="H7" s="124"/>
      <c r="I7" s="51"/>
      <c r="J7" s="51"/>
      <c r="K7" s="51"/>
      <c r="L7" s="51"/>
      <c r="M7" s="51"/>
      <c r="N7" s="51"/>
      <c r="O7" s="51"/>
      <c r="P7" s="51"/>
      <c r="Q7" s="51"/>
      <c r="R7" s="51"/>
      <c r="S7" s="64"/>
      <c r="T7" s="11"/>
    </row>
    <row r="8" spans="1:25" ht="3" customHeight="1" x14ac:dyDescent="0.25">
      <c r="A8" s="10"/>
      <c r="B8" s="3"/>
      <c r="C8" s="4"/>
      <c r="D8" s="4"/>
      <c r="E8" s="4"/>
      <c r="F8" s="4"/>
      <c r="G8" s="43"/>
      <c r="H8" s="43"/>
      <c r="I8" s="4"/>
      <c r="J8" s="4"/>
      <c r="K8" s="43"/>
      <c r="L8" s="4"/>
      <c r="M8" s="4"/>
      <c r="N8" s="4"/>
      <c r="O8" s="4"/>
      <c r="P8" s="4"/>
      <c r="Q8" s="4"/>
      <c r="R8" s="4"/>
      <c r="S8" s="5"/>
      <c r="T8" s="11"/>
    </row>
    <row r="9" spans="1:25" ht="15.75" customHeight="1" x14ac:dyDescent="0.25">
      <c r="A9" s="10"/>
      <c r="B9" s="288" t="s">
        <v>124</v>
      </c>
      <c r="C9" s="289"/>
      <c r="D9" s="289"/>
      <c r="E9" s="289"/>
      <c r="F9" s="289"/>
      <c r="G9" s="289"/>
      <c r="H9" s="289"/>
      <c r="I9" s="289"/>
      <c r="J9" s="289"/>
      <c r="K9" s="289"/>
      <c r="L9" s="289"/>
      <c r="M9" s="289"/>
      <c r="N9" s="289"/>
      <c r="O9" s="289"/>
      <c r="P9" s="289"/>
      <c r="Q9" s="289"/>
      <c r="R9" s="289"/>
      <c r="S9" s="290"/>
      <c r="T9" s="11"/>
      <c r="Y9" s="98"/>
    </row>
    <row r="10" spans="1:25" ht="3" customHeight="1" x14ac:dyDescent="0.25">
      <c r="A10" s="10"/>
      <c r="B10" s="39"/>
      <c r="C10" s="40"/>
      <c r="D10" s="40"/>
      <c r="E10" s="40"/>
      <c r="F10" s="40"/>
      <c r="G10" s="40"/>
      <c r="H10" s="40"/>
      <c r="I10" s="40"/>
      <c r="J10" s="40"/>
      <c r="K10" s="80"/>
      <c r="L10" s="80"/>
      <c r="M10" s="81"/>
      <c r="N10" s="40"/>
      <c r="O10" s="40"/>
      <c r="P10" s="40"/>
      <c r="Q10" s="40"/>
      <c r="R10" s="40"/>
      <c r="S10" s="41"/>
      <c r="T10" s="11"/>
    </row>
    <row r="11" spans="1:25" x14ac:dyDescent="0.25">
      <c r="A11" s="10"/>
      <c r="B11" s="280" t="s">
        <v>63</v>
      </c>
      <c r="C11" s="281"/>
      <c r="D11" s="281"/>
      <c r="E11" s="281"/>
      <c r="F11" s="89" t="s">
        <v>20</v>
      </c>
      <c r="G11" s="276" t="s">
        <v>199</v>
      </c>
      <c r="H11" s="276"/>
      <c r="I11" s="276"/>
      <c r="J11" s="276"/>
      <c r="K11" s="291" t="s">
        <v>64</v>
      </c>
      <c r="L11" s="291"/>
      <c r="M11" s="291"/>
      <c r="N11" s="91" t="s">
        <v>110</v>
      </c>
      <c r="O11" s="92">
        <v>6</v>
      </c>
      <c r="P11" s="92" t="s">
        <v>105</v>
      </c>
      <c r="Q11" s="92">
        <v>4</v>
      </c>
      <c r="R11" s="92" t="s">
        <v>105</v>
      </c>
      <c r="S11" s="100">
        <v>5</v>
      </c>
      <c r="T11" s="11"/>
    </row>
    <row r="12" spans="1:25" ht="3" customHeight="1" x14ac:dyDescent="0.25">
      <c r="A12" s="10"/>
      <c r="B12" s="65"/>
      <c r="C12" s="66"/>
      <c r="D12" s="66"/>
      <c r="E12" s="66"/>
      <c r="F12" s="67"/>
      <c r="G12" s="127"/>
      <c r="H12" s="127"/>
      <c r="I12" s="127"/>
      <c r="J12" s="127"/>
      <c r="K12" s="229"/>
      <c r="L12" s="229"/>
      <c r="M12" s="147"/>
      <c r="N12" s="127"/>
      <c r="O12" s="127"/>
      <c r="P12" s="127"/>
      <c r="Q12" s="127"/>
      <c r="R12" s="127"/>
      <c r="S12" s="143"/>
      <c r="T12" s="11"/>
    </row>
    <row r="13" spans="1:25" x14ac:dyDescent="0.25">
      <c r="A13" s="10"/>
      <c r="B13" s="247" t="s">
        <v>65</v>
      </c>
      <c r="C13" s="248"/>
      <c r="D13" s="248"/>
      <c r="E13" s="248"/>
      <c r="F13" s="89" t="s">
        <v>20</v>
      </c>
      <c r="G13" s="276">
        <v>1000</v>
      </c>
      <c r="H13" s="276"/>
      <c r="I13" s="276"/>
      <c r="J13" s="276"/>
      <c r="K13" s="277" t="s">
        <v>108</v>
      </c>
      <c r="L13" s="277"/>
      <c r="M13" s="277"/>
      <c r="N13" s="89" t="s">
        <v>20</v>
      </c>
      <c r="O13" s="278" t="s">
        <v>201</v>
      </c>
      <c r="P13" s="278"/>
      <c r="Q13" s="278"/>
      <c r="R13" s="278"/>
      <c r="S13" s="279"/>
      <c r="T13" s="11"/>
      <c r="X13" s="1"/>
    </row>
    <row r="14" spans="1:25" ht="3" customHeight="1" x14ac:dyDescent="0.25">
      <c r="A14" s="10"/>
      <c r="B14" s="65"/>
      <c r="C14" s="66"/>
      <c r="D14" s="66"/>
      <c r="E14" s="66"/>
      <c r="F14" s="67"/>
      <c r="G14" s="127"/>
      <c r="H14" s="127"/>
      <c r="I14" s="127"/>
      <c r="J14" s="127"/>
      <c r="K14" s="229"/>
      <c r="L14" s="229"/>
      <c r="M14" s="147"/>
      <c r="N14" s="127"/>
      <c r="O14" s="127"/>
      <c r="P14" s="127"/>
      <c r="Q14" s="127"/>
      <c r="R14" s="127"/>
      <c r="S14" s="143"/>
      <c r="T14" s="11"/>
    </row>
    <row r="15" spans="1:25" x14ac:dyDescent="0.25">
      <c r="A15" s="10"/>
      <c r="B15" s="280" t="s">
        <v>67</v>
      </c>
      <c r="C15" s="281"/>
      <c r="D15" s="281"/>
      <c r="E15" s="281"/>
      <c r="F15" s="89" t="s">
        <v>111</v>
      </c>
      <c r="G15" s="284">
        <v>34500</v>
      </c>
      <c r="H15" s="284"/>
      <c r="I15" s="284"/>
      <c r="J15" s="284"/>
      <c r="K15" s="277" t="s">
        <v>109</v>
      </c>
      <c r="L15" s="277"/>
      <c r="M15" s="277"/>
      <c r="N15" s="89" t="s">
        <v>20</v>
      </c>
      <c r="O15" s="282" t="s">
        <v>202</v>
      </c>
      <c r="P15" s="276"/>
      <c r="Q15" s="276"/>
      <c r="R15" s="276"/>
      <c r="S15" s="283"/>
      <c r="T15" s="11"/>
    </row>
    <row r="16" spans="1:25" ht="3" customHeight="1" x14ac:dyDescent="0.25">
      <c r="A16" s="10"/>
      <c r="B16" s="65"/>
      <c r="C16" s="66"/>
      <c r="D16" s="66"/>
      <c r="E16" s="66"/>
      <c r="F16" s="67"/>
      <c r="G16" s="127"/>
      <c r="H16" s="127"/>
      <c r="I16" s="127"/>
      <c r="J16" s="127"/>
      <c r="K16" s="229"/>
      <c r="L16" s="229"/>
      <c r="M16" s="147"/>
      <c r="N16" s="127"/>
      <c r="O16" s="127"/>
      <c r="P16" s="127"/>
      <c r="Q16" s="127"/>
      <c r="R16" s="127"/>
      <c r="S16" s="143"/>
      <c r="T16" s="11"/>
    </row>
    <row r="17" spans="1:23" ht="15" customHeight="1" x14ac:dyDescent="0.25">
      <c r="A17" s="10"/>
      <c r="B17" s="267" t="s">
        <v>66</v>
      </c>
      <c r="C17" s="268"/>
      <c r="D17" s="268"/>
      <c r="E17" s="268"/>
      <c r="F17" s="89" t="s">
        <v>111</v>
      </c>
      <c r="G17" s="276" t="s">
        <v>200</v>
      </c>
      <c r="H17" s="276"/>
      <c r="I17" s="276"/>
      <c r="J17" s="276"/>
      <c r="K17" s="277" t="s">
        <v>68</v>
      </c>
      <c r="L17" s="277"/>
      <c r="M17" s="277"/>
      <c r="N17" s="89" t="s">
        <v>20</v>
      </c>
      <c r="O17" s="276">
        <v>510</v>
      </c>
      <c r="P17" s="276"/>
      <c r="Q17" s="276"/>
      <c r="R17" s="276"/>
      <c r="S17" s="283"/>
      <c r="T17" s="11"/>
    </row>
    <row r="18" spans="1:23" ht="3" customHeight="1" x14ac:dyDescent="0.25">
      <c r="A18" s="10"/>
      <c r="B18" s="65"/>
      <c r="C18" s="66"/>
      <c r="D18" s="66"/>
      <c r="E18" s="66"/>
      <c r="F18" s="67"/>
      <c r="G18" s="127"/>
      <c r="H18" s="127"/>
      <c r="I18" s="127"/>
      <c r="J18" s="127"/>
      <c r="K18" s="229"/>
      <c r="L18" s="229"/>
      <c r="M18" s="147"/>
      <c r="N18" s="127"/>
      <c r="O18" s="127"/>
      <c r="P18" s="127"/>
      <c r="Q18" s="127"/>
      <c r="R18" s="127"/>
      <c r="S18" s="143"/>
      <c r="T18" s="11"/>
    </row>
    <row r="19" spans="1:23" ht="15" customHeight="1" x14ac:dyDescent="0.25">
      <c r="A19" s="10"/>
      <c r="B19" s="280" t="s">
        <v>69</v>
      </c>
      <c r="C19" s="281"/>
      <c r="D19" s="281"/>
      <c r="E19" s="281"/>
      <c r="F19" s="89" t="s">
        <v>20</v>
      </c>
      <c r="G19" s="276" t="s">
        <v>107</v>
      </c>
      <c r="H19" s="276"/>
      <c r="I19" s="276"/>
      <c r="J19" s="276"/>
      <c r="K19" s="277" t="s">
        <v>70</v>
      </c>
      <c r="L19" s="277"/>
      <c r="M19" s="277"/>
      <c r="N19" s="89" t="s">
        <v>20</v>
      </c>
      <c r="O19" s="307">
        <v>5.61</v>
      </c>
      <c r="P19" s="307"/>
      <c r="Q19" s="307"/>
      <c r="R19" s="307"/>
      <c r="S19" s="308"/>
      <c r="T19" s="11"/>
    </row>
    <row r="20" spans="1:23" ht="3.75" customHeight="1" x14ac:dyDescent="0.25">
      <c r="A20" s="10"/>
      <c r="B20" s="65"/>
      <c r="C20" s="66"/>
      <c r="D20" s="66"/>
      <c r="E20" s="66"/>
      <c r="F20" s="67"/>
      <c r="G20" s="4"/>
      <c r="H20" s="4"/>
      <c r="I20" s="4"/>
      <c r="J20" s="4"/>
      <c r="K20" s="68"/>
      <c r="L20" s="68"/>
      <c r="M20" s="58"/>
      <c r="N20" s="4"/>
      <c r="O20" s="4"/>
      <c r="P20" s="4"/>
      <c r="Q20" s="4"/>
      <c r="R20" s="4"/>
      <c r="S20" s="5"/>
      <c r="T20" s="11"/>
    </row>
    <row r="21" spans="1:23" x14ac:dyDescent="0.25">
      <c r="A21" s="10"/>
      <c r="B21" s="302" t="s">
        <v>71</v>
      </c>
      <c r="C21" s="256"/>
      <c r="D21" s="256"/>
      <c r="E21" s="256"/>
      <c r="F21" s="67" t="s">
        <v>111</v>
      </c>
      <c r="G21" s="1" t="s">
        <v>72</v>
      </c>
      <c r="H21" s="9"/>
      <c r="I21" s="93" t="s">
        <v>112</v>
      </c>
      <c r="J21" s="1"/>
      <c r="K21" s="303" t="s">
        <v>73</v>
      </c>
      <c r="L21" s="303"/>
      <c r="M21" s="304"/>
      <c r="N21" s="93"/>
      <c r="O21" s="1"/>
      <c r="P21" s="1" t="s">
        <v>74</v>
      </c>
      <c r="Q21" s="9"/>
      <c r="R21" s="93"/>
      <c r="S21" s="9"/>
      <c r="T21" s="11"/>
    </row>
    <row r="22" spans="1:23" ht="3" customHeight="1" x14ac:dyDescent="0.25">
      <c r="A22" s="10"/>
      <c r="B22" s="82"/>
      <c r="C22" s="83"/>
      <c r="D22" s="83"/>
      <c r="E22" s="83"/>
      <c r="F22" s="21"/>
      <c r="G22" s="21"/>
      <c r="H22" s="21"/>
      <c r="I22" s="21"/>
      <c r="J22" s="21"/>
      <c r="K22" s="57"/>
      <c r="L22" s="57"/>
      <c r="M22" s="57"/>
      <c r="N22" s="50"/>
      <c r="O22" s="21"/>
      <c r="P22" s="21"/>
      <c r="Q22" s="21"/>
      <c r="R22" s="21"/>
      <c r="S22" s="22"/>
      <c r="T22" s="11"/>
    </row>
    <row r="23" spans="1:23" ht="3" customHeight="1" x14ac:dyDescent="0.25">
      <c r="A23" s="10"/>
      <c r="B23" s="65"/>
      <c r="C23" s="66"/>
      <c r="D23" s="66"/>
      <c r="E23" s="66"/>
      <c r="F23" s="67"/>
      <c r="G23" s="4"/>
      <c r="H23" s="4"/>
      <c r="I23" s="4"/>
      <c r="J23" s="4"/>
      <c r="K23" s="68"/>
      <c r="L23" s="68"/>
      <c r="M23" s="58"/>
      <c r="N23" s="4"/>
      <c r="O23" s="4"/>
      <c r="P23" s="4"/>
      <c r="Q23" s="4"/>
      <c r="R23" s="4"/>
      <c r="S23" s="5"/>
      <c r="T23" s="11"/>
      <c r="W23" s="1"/>
    </row>
    <row r="24" spans="1:23" ht="15.75" customHeight="1" x14ac:dyDescent="0.25">
      <c r="A24" s="10"/>
      <c r="B24" s="288" t="s">
        <v>75</v>
      </c>
      <c r="C24" s="289"/>
      <c r="D24" s="289"/>
      <c r="E24" s="289"/>
      <c r="F24" s="289"/>
      <c r="G24" s="289"/>
      <c r="H24" s="289"/>
      <c r="I24" s="289"/>
      <c r="J24" s="289"/>
      <c r="K24" s="289"/>
      <c r="L24" s="289"/>
      <c r="M24" s="289"/>
      <c r="N24" s="289"/>
      <c r="O24" s="289"/>
      <c r="P24" s="289"/>
      <c r="Q24" s="289"/>
      <c r="R24" s="289"/>
      <c r="S24" s="290"/>
      <c r="T24" s="11"/>
      <c r="W24" s="1"/>
    </row>
    <row r="25" spans="1:23" ht="15" customHeight="1" x14ac:dyDescent="0.25">
      <c r="A25" s="10"/>
      <c r="B25" s="3"/>
      <c r="C25" s="4"/>
      <c r="D25" s="4"/>
      <c r="E25" s="4"/>
      <c r="F25" s="4"/>
      <c r="G25" s="4"/>
      <c r="H25" s="4"/>
      <c r="I25" s="44" t="s">
        <v>62</v>
      </c>
      <c r="J25" s="44" t="s">
        <v>11</v>
      </c>
      <c r="K25" s="4"/>
      <c r="L25" s="4"/>
      <c r="M25" s="4"/>
      <c r="N25" s="4"/>
      <c r="O25" s="4"/>
      <c r="P25" s="4"/>
      <c r="Q25" s="4"/>
      <c r="R25" s="44" t="s">
        <v>62</v>
      </c>
      <c r="S25" s="44" t="s">
        <v>11</v>
      </c>
      <c r="T25" s="11"/>
      <c r="W25" s="1"/>
    </row>
    <row r="26" spans="1:23" ht="3.75" customHeight="1" x14ac:dyDescent="0.25">
      <c r="A26" s="10"/>
      <c r="B26" s="3"/>
      <c r="C26" s="4"/>
      <c r="D26" s="4"/>
      <c r="E26" s="4"/>
      <c r="F26" s="4"/>
      <c r="G26" s="4"/>
      <c r="H26" s="4"/>
      <c r="I26" s="4"/>
      <c r="J26" s="4"/>
      <c r="K26" s="4"/>
      <c r="L26" s="4"/>
      <c r="M26" s="4"/>
      <c r="N26" s="4"/>
      <c r="O26" s="4"/>
      <c r="P26" s="4"/>
      <c r="Q26" s="4"/>
      <c r="R26" s="4"/>
      <c r="S26" s="5"/>
      <c r="T26" s="11"/>
    </row>
    <row r="27" spans="1:23" x14ac:dyDescent="0.25">
      <c r="A27" s="10"/>
      <c r="B27" s="280" t="s">
        <v>76</v>
      </c>
      <c r="C27" s="281"/>
      <c r="D27" s="281"/>
      <c r="E27" s="281"/>
      <c r="F27" s="89" t="s">
        <v>20</v>
      </c>
      <c r="G27" s="89">
        <v>30</v>
      </c>
      <c r="H27" s="228" t="s">
        <v>128</v>
      </c>
      <c r="I27" s="93" t="s">
        <v>112</v>
      </c>
      <c r="J27" s="93"/>
      <c r="K27" s="281" t="s">
        <v>77</v>
      </c>
      <c r="L27" s="281"/>
      <c r="M27" s="281"/>
      <c r="N27" s="281"/>
      <c r="O27" s="89" t="s">
        <v>20</v>
      </c>
      <c r="P27" s="305" t="s">
        <v>164</v>
      </c>
      <c r="Q27" s="306"/>
      <c r="R27" s="93"/>
      <c r="S27" s="93"/>
      <c r="T27" s="11"/>
      <c r="W27" s="1"/>
    </row>
    <row r="28" spans="1:23" ht="3.75" customHeight="1" x14ac:dyDescent="0.25">
      <c r="A28" s="10"/>
      <c r="B28" s="70"/>
      <c r="C28" s="67"/>
      <c r="D28" s="67"/>
      <c r="E28" s="67"/>
      <c r="F28" s="67"/>
      <c r="G28" s="67"/>
      <c r="H28" s="67"/>
      <c r="I28" s="94"/>
      <c r="J28" s="94"/>
      <c r="K28" s="67"/>
      <c r="L28" s="67"/>
      <c r="M28" s="67"/>
      <c r="N28" s="67"/>
      <c r="O28" s="67"/>
      <c r="P28" s="94"/>
      <c r="Q28" s="94"/>
      <c r="R28" s="94"/>
      <c r="S28" s="120"/>
      <c r="T28" s="11"/>
    </row>
    <row r="29" spans="1:23" x14ac:dyDescent="0.25">
      <c r="A29" s="10"/>
      <c r="B29" s="280" t="s">
        <v>78</v>
      </c>
      <c r="C29" s="281"/>
      <c r="D29" s="281"/>
      <c r="E29" s="281"/>
      <c r="F29" s="89" t="s">
        <v>20</v>
      </c>
      <c r="G29" s="305" t="s">
        <v>39</v>
      </c>
      <c r="H29" s="306"/>
      <c r="I29" s="93" t="s">
        <v>112</v>
      </c>
      <c r="J29" s="93"/>
      <c r="K29" s="281" t="s">
        <v>79</v>
      </c>
      <c r="L29" s="281"/>
      <c r="M29" s="281"/>
      <c r="N29" s="281"/>
      <c r="O29" s="89" t="s">
        <v>20</v>
      </c>
      <c r="P29" s="305" t="s">
        <v>164</v>
      </c>
      <c r="Q29" s="306"/>
      <c r="R29" s="93"/>
      <c r="S29" s="93"/>
      <c r="T29" s="11"/>
    </row>
    <row r="30" spans="1:23" ht="3.75" customHeight="1" x14ac:dyDescent="0.25">
      <c r="A30" s="10"/>
      <c r="B30" s="70"/>
      <c r="C30" s="67"/>
      <c r="D30" s="67"/>
      <c r="E30" s="67"/>
      <c r="F30" s="67"/>
      <c r="G30" s="67"/>
      <c r="H30" s="67"/>
      <c r="I30" s="94"/>
      <c r="J30" s="94"/>
      <c r="K30" s="67"/>
      <c r="L30" s="67"/>
      <c r="M30" s="67"/>
      <c r="N30" s="67"/>
      <c r="O30" s="67"/>
      <c r="P30" s="67"/>
      <c r="Q30" s="67"/>
      <c r="R30" s="94"/>
      <c r="S30" s="120"/>
      <c r="T30" s="11"/>
    </row>
    <row r="31" spans="1:23" x14ac:dyDescent="0.25">
      <c r="A31" s="10"/>
      <c r="B31" s="280" t="s">
        <v>80</v>
      </c>
      <c r="C31" s="281"/>
      <c r="D31" s="281"/>
      <c r="E31" s="281"/>
      <c r="F31" s="89" t="s">
        <v>20</v>
      </c>
      <c r="G31" s="305" t="s">
        <v>196</v>
      </c>
      <c r="H31" s="306"/>
      <c r="I31" s="93" t="s">
        <v>112</v>
      </c>
      <c r="J31" s="93"/>
      <c r="K31" s="281" t="s">
        <v>81</v>
      </c>
      <c r="L31" s="281"/>
      <c r="M31" s="281"/>
      <c r="N31" s="281"/>
      <c r="O31" s="89" t="s">
        <v>20</v>
      </c>
      <c r="P31" s="305" t="s">
        <v>39</v>
      </c>
      <c r="Q31" s="306"/>
      <c r="R31" s="93" t="s">
        <v>112</v>
      </c>
      <c r="S31" s="93"/>
      <c r="T31" s="11"/>
    </row>
    <row r="32" spans="1:23" ht="3.75" customHeight="1" x14ac:dyDescent="0.25">
      <c r="A32" s="10"/>
      <c r="B32" s="70"/>
      <c r="C32" s="67"/>
      <c r="D32" s="67"/>
      <c r="E32" s="67"/>
      <c r="F32" s="67"/>
      <c r="G32" s="67"/>
      <c r="H32" s="67"/>
      <c r="I32" s="94"/>
      <c r="J32" s="94"/>
      <c r="K32" s="67"/>
      <c r="L32" s="67"/>
      <c r="M32" s="67"/>
      <c r="N32" s="67"/>
      <c r="O32" s="67"/>
      <c r="P32" s="67"/>
      <c r="Q32" s="67"/>
      <c r="R32" s="94"/>
      <c r="S32" s="120"/>
      <c r="T32" s="11"/>
    </row>
    <row r="33" spans="1:40" x14ac:dyDescent="0.25">
      <c r="A33" s="10"/>
      <c r="B33" s="280" t="s">
        <v>184</v>
      </c>
      <c r="C33" s="281"/>
      <c r="D33" s="281"/>
      <c r="E33" s="281"/>
      <c r="F33" s="89" t="s">
        <v>20</v>
      </c>
      <c r="G33" s="305" t="s">
        <v>39</v>
      </c>
      <c r="H33" s="306"/>
      <c r="I33" s="93" t="s">
        <v>112</v>
      </c>
      <c r="J33" s="93"/>
      <c r="K33" s="280" t="s">
        <v>86</v>
      </c>
      <c r="L33" s="281"/>
      <c r="M33" s="281"/>
      <c r="N33" s="281"/>
      <c r="O33" s="116" t="s">
        <v>110</v>
      </c>
      <c r="P33" s="305" t="s">
        <v>39</v>
      </c>
      <c r="Q33" s="306"/>
      <c r="R33" s="93" t="s">
        <v>112</v>
      </c>
      <c r="S33" s="93"/>
      <c r="T33" s="11"/>
    </row>
    <row r="34" spans="1:40" ht="3.75" customHeight="1" x14ac:dyDescent="0.25">
      <c r="A34" s="10"/>
      <c r="B34" s="70"/>
      <c r="C34" s="67"/>
      <c r="D34" s="67"/>
      <c r="E34" s="67"/>
      <c r="F34" s="67"/>
      <c r="G34" s="67"/>
      <c r="H34" s="67"/>
      <c r="I34" s="94"/>
      <c r="J34" s="94"/>
      <c r="K34" s="70"/>
      <c r="L34" s="67"/>
      <c r="M34" s="67"/>
      <c r="N34" s="67"/>
      <c r="O34" s="67"/>
      <c r="P34" s="67"/>
      <c r="Q34" s="67"/>
      <c r="R34" s="94"/>
      <c r="S34" s="120"/>
      <c r="T34" s="11"/>
    </row>
    <row r="35" spans="1:40" x14ac:dyDescent="0.25">
      <c r="A35" s="10"/>
      <c r="B35" s="280" t="s">
        <v>185</v>
      </c>
      <c r="C35" s="281"/>
      <c r="D35" s="281"/>
      <c r="E35" s="281"/>
      <c r="F35" s="89" t="s">
        <v>20</v>
      </c>
      <c r="G35" s="305" t="s">
        <v>39</v>
      </c>
      <c r="H35" s="306"/>
      <c r="I35" s="93" t="s">
        <v>112</v>
      </c>
      <c r="J35" s="93"/>
      <c r="K35" s="280" t="s">
        <v>84</v>
      </c>
      <c r="L35" s="281"/>
      <c r="M35" s="281"/>
      <c r="N35" s="281"/>
      <c r="O35" s="89" t="s">
        <v>20</v>
      </c>
      <c r="P35" s="305" t="s">
        <v>39</v>
      </c>
      <c r="Q35" s="306"/>
      <c r="R35" s="93" t="s">
        <v>112</v>
      </c>
      <c r="S35" s="93"/>
      <c r="T35" s="11"/>
    </row>
    <row r="36" spans="1:40" ht="3.75" customHeight="1" x14ac:dyDescent="0.25">
      <c r="A36" s="10"/>
      <c r="B36" s="70"/>
      <c r="C36" s="67"/>
      <c r="D36" s="67"/>
      <c r="E36" s="67"/>
      <c r="F36" s="67"/>
      <c r="G36" s="67"/>
      <c r="H36" s="67"/>
      <c r="I36" s="94"/>
      <c r="J36" s="94"/>
      <c r="K36" s="70"/>
      <c r="L36" s="67"/>
      <c r="M36" s="67"/>
      <c r="N36" s="67"/>
      <c r="O36" s="67"/>
      <c r="P36" s="67"/>
      <c r="Q36" s="67"/>
      <c r="R36" s="94"/>
      <c r="S36" s="120"/>
      <c r="T36" s="11"/>
    </row>
    <row r="37" spans="1:40" x14ac:dyDescent="0.25">
      <c r="A37" s="10"/>
      <c r="B37" s="280" t="s">
        <v>186</v>
      </c>
      <c r="C37" s="281"/>
      <c r="D37" s="281"/>
      <c r="E37" s="281"/>
      <c r="F37" s="110" t="s">
        <v>20</v>
      </c>
      <c r="G37" s="305" t="s">
        <v>39</v>
      </c>
      <c r="H37" s="306"/>
      <c r="I37" s="93" t="s">
        <v>112</v>
      </c>
      <c r="J37" s="93"/>
      <c r="K37" s="247" t="s">
        <v>82</v>
      </c>
      <c r="L37" s="248"/>
      <c r="M37" s="248"/>
      <c r="N37" s="248"/>
      <c r="O37" s="111" t="s">
        <v>20</v>
      </c>
      <c r="P37" s="305" t="s">
        <v>39</v>
      </c>
      <c r="Q37" s="306"/>
      <c r="R37" s="93" t="s">
        <v>112</v>
      </c>
      <c r="S37" s="93"/>
      <c r="T37" s="11"/>
    </row>
    <row r="38" spans="1:40" ht="3.75" customHeight="1" x14ac:dyDescent="0.25">
      <c r="A38" s="10"/>
      <c r="B38" s="70"/>
      <c r="C38" s="67"/>
      <c r="D38" s="67"/>
      <c r="E38" s="67"/>
      <c r="F38" s="67"/>
      <c r="G38" s="67"/>
      <c r="H38" s="67"/>
      <c r="I38" s="94"/>
      <c r="J38" s="94"/>
      <c r="K38" s="67"/>
      <c r="L38" s="67"/>
      <c r="M38" s="67"/>
      <c r="N38" s="67"/>
      <c r="O38" s="67"/>
      <c r="P38" s="94"/>
      <c r="Q38" s="94"/>
      <c r="R38" s="94"/>
      <c r="S38" s="120"/>
      <c r="T38" s="11"/>
    </row>
    <row r="39" spans="1:40" ht="15" customHeight="1" x14ac:dyDescent="0.25">
      <c r="A39" s="10"/>
      <c r="B39" s="280" t="s">
        <v>187</v>
      </c>
      <c r="C39" s="281"/>
      <c r="D39" s="281"/>
      <c r="E39" s="281"/>
      <c r="F39" s="89" t="s">
        <v>20</v>
      </c>
      <c r="G39" s="305" t="s">
        <v>39</v>
      </c>
      <c r="H39" s="306"/>
      <c r="I39" s="93" t="s">
        <v>112</v>
      </c>
      <c r="J39" s="93"/>
      <c r="K39" s="281" t="s">
        <v>85</v>
      </c>
      <c r="L39" s="281"/>
      <c r="M39" s="281"/>
      <c r="N39" s="281"/>
      <c r="O39" s="89" t="s">
        <v>20</v>
      </c>
      <c r="P39" s="305" t="s">
        <v>39</v>
      </c>
      <c r="Q39" s="306"/>
      <c r="R39" s="93" t="s">
        <v>112</v>
      </c>
      <c r="S39" s="93"/>
      <c r="T39" s="11"/>
      <c r="U39" s="1"/>
    </row>
    <row r="40" spans="1:40" ht="3.75" customHeight="1" x14ac:dyDescent="0.25">
      <c r="A40" s="10"/>
      <c r="B40" s="70"/>
      <c r="C40" s="67"/>
      <c r="D40" s="67"/>
      <c r="E40" s="67"/>
      <c r="F40" s="67"/>
      <c r="G40" s="67"/>
      <c r="H40" s="67"/>
      <c r="I40" s="94"/>
      <c r="J40" s="94"/>
      <c r="K40" s="67"/>
      <c r="L40" s="67"/>
      <c r="M40" s="67"/>
      <c r="N40" s="67"/>
      <c r="O40" s="67"/>
      <c r="P40" s="94"/>
      <c r="Q40" s="94"/>
      <c r="R40" s="94"/>
      <c r="S40" s="120"/>
      <c r="T40" s="11"/>
    </row>
    <row r="41" spans="1:40" x14ac:dyDescent="0.25">
      <c r="A41" s="10"/>
      <c r="B41" s="247" t="s">
        <v>188</v>
      </c>
      <c r="C41" s="248"/>
      <c r="D41" s="248"/>
      <c r="E41" s="248"/>
      <c r="F41" s="89" t="s">
        <v>20</v>
      </c>
      <c r="G41" s="305" t="s">
        <v>39</v>
      </c>
      <c r="H41" s="306"/>
      <c r="I41" s="93" t="s">
        <v>112</v>
      </c>
      <c r="J41" s="93"/>
      <c r="K41" s="248" t="s">
        <v>83</v>
      </c>
      <c r="L41" s="248"/>
      <c r="M41" s="248"/>
      <c r="N41" s="248"/>
      <c r="O41" s="89" t="s">
        <v>20</v>
      </c>
      <c r="P41" s="305" t="s">
        <v>39</v>
      </c>
      <c r="Q41" s="306"/>
      <c r="R41" s="93" t="s">
        <v>112</v>
      </c>
      <c r="S41" s="93"/>
      <c r="T41" s="11"/>
    </row>
    <row r="42" spans="1:40" ht="3" customHeight="1" x14ac:dyDescent="0.25">
      <c r="A42" s="10"/>
      <c r="B42" s="71"/>
      <c r="C42" s="72"/>
      <c r="D42" s="72"/>
      <c r="E42" s="72"/>
      <c r="F42" s="73"/>
      <c r="G42" s="73"/>
      <c r="H42" s="73"/>
      <c r="I42" s="73"/>
      <c r="J42" s="73"/>
      <c r="K42" s="72"/>
      <c r="L42" s="72"/>
      <c r="M42" s="72"/>
      <c r="N42" s="72"/>
      <c r="O42" s="73"/>
      <c r="P42" s="73"/>
      <c r="Q42" s="73"/>
      <c r="R42" s="73"/>
      <c r="S42" s="74"/>
      <c r="T42" s="11"/>
    </row>
    <row r="43" spans="1:40" ht="3" customHeight="1" x14ac:dyDescent="0.25">
      <c r="A43" s="10"/>
      <c r="B43" s="332"/>
      <c r="C43" s="333"/>
      <c r="D43" s="333"/>
      <c r="E43" s="333"/>
      <c r="F43" s="333"/>
      <c r="G43" s="333"/>
      <c r="H43" s="333"/>
      <c r="I43" s="333"/>
      <c r="J43" s="333"/>
      <c r="K43" s="333"/>
      <c r="L43" s="333"/>
      <c r="M43" s="333"/>
      <c r="N43" s="333"/>
      <c r="O43" s="333"/>
      <c r="P43" s="333"/>
      <c r="Q43" s="333"/>
      <c r="R43" s="333"/>
      <c r="S43" s="334"/>
      <c r="T43" s="11"/>
    </row>
    <row r="44" spans="1:40" ht="15.75" customHeight="1" x14ac:dyDescent="0.25">
      <c r="A44" s="10"/>
      <c r="B44" s="335"/>
      <c r="C44" s="336"/>
      <c r="D44" s="336"/>
      <c r="E44" s="336"/>
      <c r="F44" s="336"/>
      <c r="G44" s="336"/>
      <c r="H44" s="336"/>
      <c r="I44" s="336"/>
      <c r="J44" s="336"/>
      <c r="K44" s="336"/>
      <c r="L44" s="336"/>
      <c r="M44" s="336"/>
      <c r="N44" s="336"/>
      <c r="O44" s="336"/>
      <c r="P44" s="336"/>
      <c r="Q44" s="336"/>
      <c r="R44" s="336"/>
      <c r="S44" s="337"/>
      <c r="T44" s="11"/>
      <c r="V44" s="288" t="s">
        <v>88</v>
      </c>
      <c r="W44" s="289"/>
      <c r="X44" s="289"/>
      <c r="Y44" s="289"/>
      <c r="Z44" s="289"/>
      <c r="AA44" s="289"/>
      <c r="AB44" s="289"/>
      <c r="AC44" s="289"/>
      <c r="AD44" s="290"/>
      <c r="AF44" s="288" t="s">
        <v>88</v>
      </c>
      <c r="AG44" s="289"/>
      <c r="AH44" s="289"/>
      <c r="AI44" s="289"/>
      <c r="AJ44" s="289"/>
      <c r="AK44" s="289"/>
      <c r="AL44" s="289"/>
      <c r="AM44" s="289"/>
      <c r="AN44" s="290"/>
    </row>
    <row r="45" spans="1:40" ht="3" customHeight="1" x14ac:dyDescent="0.25">
      <c r="A45" s="10"/>
      <c r="B45" s="335"/>
      <c r="C45" s="336"/>
      <c r="D45" s="336"/>
      <c r="E45" s="336"/>
      <c r="F45" s="336"/>
      <c r="G45" s="336"/>
      <c r="H45" s="336"/>
      <c r="I45" s="336"/>
      <c r="J45" s="336"/>
      <c r="K45" s="336"/>
      <c r="L45" s="336"/>
      <c r="M45" s="336"/>
      <c r="N45" s="336"/>
      <c r="O45" s="336"/>
      <c r="P45" s="336"/>
      <c r="Q45" s="336"/>
      <c r="R45" s="336"/>
      <c r="S45" s="337"/>
      <c r="T45" s="11"/>
      <c r="V45" s="3"/>
      <c r="W45" s="4"/>
      <c r="X45" s="4"/>
      <c r="Y45" s="39"/>
      <c r="Z45" s="4"/>
      <c r="AA45" s="4"/>
      <c r="AB45" s="39"/>
      <c r="AC45" s="4"/>
      <c r="AD45" s="5"/>
      <c r="AF45" s="3"/>
      <c r="AG45" s="4"/>
      <c r="AH45" s="4"/>
      <c r="AI45" s="39"/>
      <c r="AJ45" s="4"/>
      <c r="AK45" s="4"/>
      <c r="AL45" s="39"/>
      <c r="AM45" s="4"/>
      <c r="AN45" s="5"/>
    </row>
    <row r="46" spans="1:40" x14ac:dyDescent="0.25">
      <c r="A46" s="10"/>
      <c r="B46" s="335"/>
      <c r="C46" s="336"/>
      <c r="D46" s="336"/>
      <c r="E46" s="336"/>
      <c r="F46" s="336"/>
      <c r="G46" s="336"/>
      <c r="H46" s="336"/>
      <c r="I46" s="336"/>
      <c r="J46" s="336"/>
      <c r="K46" s="336"/>
      <c r="L46" s="336"/>
      <c r="M46" s="336"/>
      <c r="N46" s="336"/>
      <c r="O46" s="336"/>
      <c r="P46" s="336"/>
      <c r="Q46" s="336"/>
      <c r="R46" s="336"/>
      <c r="S46" s="337"/>
      <c r="T46" s="11"/>
      <c r="V46" s="310" t="s">
        <v>91</v>
      </c>
      <c r="W46" s="311"/>
      <c r="X46" s="312"/>
      <c r="Y46" s="311" t="s">
        <v>92</v>
      </c>
      <c r="Z46" s="311"/>
      <c r="AA46" s="312"/>
      <c r="AB46" s="310" t="s">
        <v>93</v>
      </c>
      <c r="AC46" s="311"/>
      <c r="AD46" s="312"/>
      <c r="AF46" s="310" t="s">
        <v>91</v>
      </c>
      <c r="AG46" s="311"/>
      <c r="AH46" s="312"/>
      <c r="AI46" s="311" t="s">
        <v>92</v>
      </c>
      <c r="AJ46" s="311"/>
      <c r="AK46" s="312"/>
      <c r="AL46" s="310" t="s">
        <v>93</v>
      </c>
      <c r="AM46" s="311"/>
      <c r="AN46" s="312"/>
    </row>
    <row r="47" spans="1:40" ht="3" customHeight="1" x14ac:dyDescent="0.25">
      <c r="A47" s="10"/>
      <c r="B47" s="335"/>
      <c r="C47" s="336"/>
      <c r="D47" s="336"/>
      <c r="E47" s="336"/>
      <c r="F47" s="336"/>
      <c r="G47" s="336"/>
      <c r="H47" s="336"/>
      <c r="I47" s="336"/>
      <c r="J47" s="336"/>
      <c r="K47" s="336"/>
      <c r="L47" s="336"/>
      <c r="M47" s="336"/>
      <c r="N47" s="336"/>
      <c r="O47" s="336"/>
      <c r="P47" s="336"/>
      <c r="Q47" s="336"/>
      <c r="R47" s="336"/>
      <c r="S47" s="337"/>
      <c r="T47" s="11"/>
      <c r="V47" s="3"/>
      <c r="W47" s="4"/>
      <c r="X47" s="5"/>
      <c r="Y47" s="4"/>
      <c r="Z47" s="4"/>
      <c r="AA47" s="5"/>
      <c r="AB47" s="4"/>
      <c r="AC47" s="4"/>
      <c r="AD47" s="5"/>
      <c r="AF47" s="3"/>
      <c r="AG47" s="4"/>
      <c r="AH47" s="5"/>
      <c r="AI47" s="4"/>
      <c r="AJ47" s="4"/>
      <c r="AK47" s="5"/>
      <c r="AL47" s="4"/>
      <c r="AM47" s="4"/>
      <c r="AN47" s="5"/>
    </row>
    <row r="48" spans="1:40" x14ac:dyDescent="0.25">
      <c r="A48" s="10"/>
      <c r="B48" s="335"/>
      <c r="C48" s="336"/>
      <c r="D48" s="336"/>
      <c r="E48" s="336"/>
      <c r="F48" s="336"/>
      <c r="G48" s="336"/>
      <c r="H48" s="336"/>
      <c r="I48" s="336"/>
      <c r="J48" s="336"/>
      <c r="K48" s="336"/>
      <c r="L48" s="336"/>
      <c r="M48" s="336"/>
      <c r="N48" s="336"/>
      <c r="O48" s="336"/>
      <c r="P48" s="336"/>
      <c r="Q48" s="336"/>
      <c r="R48" s="336"/>
      <c r="S48" s="337"/>
      <c r="T48" s="11"/>
      <c r="V48" s="320">
        <f>V57/1.0525889</f>
        <v>123.56220213996001</v>
      </c>
      <c r="W48" s="321"/>
      <c r="X48" s="322"/>
      <c r="Y48" s="320">
        <f>Y57/1.0525889</f>
        <v>123.56054995171687</v>
      </c>
      <c r="Z48" s="321"/>
      <c r="AA48" s="322"/>
      <c r="AB48" s="320">
        <f>AB57/1.0525889</f>
        <v>123.57872402239147</v>
      </c>
      <c r="AC48" s="321"/>
      <c r="AD48" s="322"/>
      <c r="AF48" s="320">
        <f>AF57/1.045489</f>
        <v>143.06606764872708</v>
      </c>
      <c r="AG48" s="321"/>
      <c r="AH48" s="322"/>
      <c r="AI48" s="320">
        <f>AI57/1.045489</f>
        <v>143.06415466829398</v>
      </c>
      <c r="AJ48" s="321"/>
      <c r="AK48" s="322"/>
      <c r="AL48" s="320">
        <f>AL57/1.045489</f>
        <v>143.08519745305787</v>
      </c>
      <c r="AM48" s="321"/>
      <c r="AN48" s="322"/>
    </row>
    <row r="49" spans="1:40" ht="3" customHeight="1" x14ac:dyDescent="0.25">
      <c r="A49" s="10"/>
      <c r="B49" s="335"/>
      <c r="C49" s="336"/>
      <c r="D49" s="336"/>
      <c r="E49" s="336"/>
      <c r="F49" s="336"/>
      <c r="G49" s="336"/>
      <c r="H49" s="336"/>
      <c r="I49" s="336"/>
      <c r="J49" s="336"/>
      <c r="K49" s="336"/>
      <c r="L49" s="336"/>
      <c r="M49" s="336"/>
      <c r="N49" s="336"/>
      <c r="O49" s="336"/>
      <c r="P49" s="336"/>
      <c r="Q49" s="336"/>
      <c r="R49" s="336"/>
      <c r="S49" s="337"/>
      <c r="T49" s="11"/>
      <c r="V49" s="42"/>
      <c r="W49" s="43"/>
      <c r="X49" s="75"/>
      <c r="Y49" s="42"/>
      <c r="Z49" s="43"/>
      <c r="AA49" s="75"/>
      <c r="AB49" s="43"/>
      <c r="AC49" s="43"/>
      <c r="AD49" s="75"/>
      <c r="AF49" s="42"/>
      <c r="AG49" s="43"/>
      <c r="AH49" s="75"/>
      <c r="AI49" s="42"/>
      <c r="AJ49" s="43"/>
      <c r="AK49" s="75"/>
      <c r="AL49" s="43"/>
      <c r="AM49" s="43"/>
      <c r="AN49" s="75"/>
    </row>
    <row r="50" spans="1:40" x14ac:dyDescent="0.25">
      <c r="A50" s="10"/>
      <c r="B50" s="335"/>
      <c r="C50" s="336"/>
      <c r="D50" s="336"/>
      <c r="E50" s="336"/>
      <c r="F50" s="336"/>
      <c r="G50" s="336"/>
      <c r="H50" s="336"/>
      <c r="I50" s="336"/>
      <c r="J50" s="336"/>
      <c r="K50" s="336"/>
      <c r="L50" s="336"/>
      <c r="M50" s="336"/>
      <c r="N50" s="336"/>
      <c r="O50" s="336"/>
      <c r="P50" s="336"/>
      <c r="Q50" s="336"/>
      <c r="R50" s="336"/>
      <c r="S50" s="337"/>
      <c r="T50" s="11"/>
      <c r="V50" s="328" t="s">
        <v>98</v>
      </c>
      <c r="W50" s="329"/>
      <c r="X50" s="329"/>
      <c r="Y50" s="99" t="s">
        <v>20</v>
      </c>
      <c r="Z50" s="330" t="s">
        <v>114</v>
      </c>
      <c r="AA50" s="330"/>
      <c r="AB50" s="330"/>
      <c r="AC50" s="330"/>
      <c r="AD50" s="331"/>
      <c r="AF50" s="328" t="s">
        <v>98</v>
      </c>
      <c r="AG50" s="329"/>
      <c r="AH50" s="329"/>
      <c r="AI50" s="99" t="s">
        <v>20</v>
      </c>
      <c r="AJ50" s="330" t="s">
        <v>117</v>
      </c>
      <c r="AK50" s="330"/>
      <c r="AL50" s="330"/>
      <c r="AM50" s="330"/>
      <c r="AN50" s="331"/>
    </row>
    <row r="51" spans="1:40" ht="3" customHeight="1" x14ac:dyDescent="0.25">
      <c r="A51" s="10"/>
      <c r="B51" s="338"/>
      <c r="C51" s="339"/>
      <c r="D51" s="339"/>
      <c r="E51" s="339"/>
      <c r="F51" s="339"/>
      <c r="G51" s="339"/>
      <c r="H51" s="339"/>
      <c r="I51" s="339"/>
      <c r="J51" s="339"/>
      <c r="K51" s="339"/>
      <c r="L51" s="339"/>
      <c r="M51" s="339"/>
      <c r="N51" s="339"/>
      <c r="O51" s="339"/>
      <c r="P51" s="339"/>
      <c r="Q51" s="339"/>
      <c r="R51" s="339"/>
      <c r="S51" s="340"/>
      <c r="T51" s="11"/>
    </row>
    <row r="52" spans="1:40" ht="3" customHeight="1" x14ac:dyDescent="0.25">
      <c r="A52" s="10"/>
      <c r="B52" s="3"/>
      <c r="C52" s="4"/>
      <c r="D52" s="4"/>
      <c r="E52" s="4"/>
      <c r="F52" s="4"/>
      <c r="G52" s="4"/>
      <c r="H52" s="4"/>
      <c r="I52" s="4"/>
      <c r="J52" s="4"/>
      <c r="K52" s="4"/>
      <c r="L52" s="4"/>
      <c r="M52" s="4"/>
      <c r="N52" s="4"/>
      <c r="O52" s="4"/>
      <c r="P52" s="4"/>
      <c r="Q52" s="4"/>
      <c r="R52" s="4"/>
      <c r="S52" s="5"/>
      <c r="T52" s="11"/>
    </row>
    <row r="53" spans="1:40" ht="15.75" customHeight="1" x14ac:dyDescent="0.25">
      <c r="A53" s="10"/>
      <c r="B53" s="153">
        <v>2</v>
      </c>
      <c r="C53" s="154" t="s">
        <v>21</v>
      </c>
      <c r="D53" s="323" t="s">
        <v>87</v>
      </c>
      <c r="E53" s="323"/>
      <c r="F53" s="323"/>
      <c r="G53" s="323"/>
      <c r="H53" s="323"/>
      <c r="I53" s="154">
        <v>50</v>
      </c>
      <c r="J53" s="155" t="s">
        <v>21</v>
      </c>
      <c r="K53" s="288" t="s">
        <v>88</v>
      </c>
      <c r="L53" s="289"/>
      <c r="M53" s="289"/>
      <c r="N53" s="289"/>
      <c r="O53" s="289"/>
      <c r="P53" s="289"/>
      <c r="Q53" s="289"/>
      <c r="R53" s="289"/>
      <c r="S53" s="290"/>
      <c r="T53" s="11"/>
      <c r="V53" s="288" t="s">
        <v>88</v>
      </c>
      <c r="W53" s="289"/>
      <c r="X53" s="289"/>
      <c r="Y53" s="289"/>
      <c r="Z53" s="289"/>
      <c r="AA53" s="289"/>
      <c r="AB53" s="289"/>
      <c r="AC53" s="289"/>
      <c r="AD53" s="290"/>
      <c r="AF53" s="288" t="s">
        <v>88</v>
      </c>
      <c r="AG53" s="289"/>
      <c r="AH53" s="289"/>
      <c r="AI53" s="289"/>
      <c r="AJ53" s="289"/>
      <c r="AK53" s="289"/>
      <c r="AL53" s="289"/>
      <c r="AM53" s="289"/>
      <c r="AN53" s="290"/>
    </row>
    <row r="54" spans="1:40" ht="3" customHeight="1" x14ac:dyDescent="0.25">
      <c r="A54" s="10"/>
      <c r="B54" s="3"/>
      <c r="C54" s="4"/>
      <c r="D54" s="4"/>
      <c r="E54" s="4"/>
      <c r="F54" s="4"/>
      <c r="G54" s="4"/>
      <c r="H54" s="4"/>
      <c r="I54" s="4"/>
      <c r="J54" s="5"/>
      <c r="K54" s="3"/>
      <c r="L54" s="4"/>
      <c r="M54" s="4"/>
      <c r="N54" s="39"/>
      <c r="O54" s="4"/>
      <c r="P54" s="4"/>
      <c r="Q54" s="39"/>
      <c r="R54" s="4"/>
      <c r="S54" s="5"/>
      <c r="T54" s="11"/>
      <c r="V54" s="3"/>
      <c r="W54" s="4"/>
      <c r="X54" s="4"/>
      <c r="Y54" s="39"/>
      <c r="Z54" s="4"/>
      <c r="AA54" s="4"/>
      <c r="AB54" s="39"/>
      <c r="AC54" s="4"/>
      <c r="AD54" s="5"/>
      <c r="AF54" s="3"/>
      <c r="AG54" s="4"/>
      <c r="AH54" s="4"/>
      <c r="AI54" s="39"/>
      <c r="AJ54" s="4"/>
      <c r="AK54" s="4"/>
      <c r="AL54" s="39"/>
      <c r="AM54" s="4"/>
      <c r="AN54" s="5"/>
    </row>
    <row r="55" spans="1:40" ht="15" customHeight="1" x14ac:dyDescent="0.25">
      <c r="A55" s="10"/>
      <c r="B55" s="76" t="s">
        <v>89</v>
      </c>
      <c r="C55" s="309">
        <v>9.35</v>
      </c>
      <c r="D55" s="309"/>
      <c r="E55" s="309"/>
      <c r="F55" s="77" t="s">
        <v>90</v>
      </c>
      <c r="G55" s="324">
        <v>4.8779999999999998E-4</v>
      </c>
      <c r="H55" s="324"/>
      <c r="I55" s="324"/>
      <c r="J55" s="325"/>
      <c r="K55" s="310" t="s">
        <v>91</v>
      </c>
      <c r="L55" s="311"/>
      <c r="M55" s="312"/>
      <c r="N55" s="311" t="s">
        <v>92</v>
      </c>
      <c r="O55" s="311"/>
      <c r="P55" s="312"/>
      <c r="Q55" s="310" t="s">
        <v>93</v>
      </c>
      <c r="R55" s="311"/>
      <c r="S55" s="312"/>
      <c r="T55" s="69"/>
      <c r="V55" s="310" t="s">
        <v>91</v>
      </c>
      <c r="W55" s="311"/>
      <c r="X55" s="312"/>
      <c r="Y55" s="311" t="s">
        <v>92</v>
      </c>
      <c r="Z55" s="311"/>
      <c r="AA55" s="312"/>
      <c r="AB55" s="310" t="s">
        <v>93</v>
      </c>
      <c r="AC55" s="311"/>
      <c r="AD55" s="312"/>
      <c r="AF55" s="310" t="s">
        <v>91</v>
      </c>
      <c r="AG55" s="311"/>
      <c r="AH55" s="312"/>
      <c r="AI55" s="311" t="s">
        <v>92</v>
      </c>
      <c r="AJ55" s="311"/>
      <c r="AK55" s="312"/>
      <c r="AL55" s="310" t="s">
        <v>93</v>
      </c>
      <c r="AM55" s="311"/>
      <c r="AN55" s="312"/>
    </row>
    <row r="56" spans="1:40" ht="3" customHeight="1" x14ac:dyDescent="0.25">
      <c r="A56" s="10"/>
      <c r="B56" s="8"/>
      <c r="C56" s="23"/>
      <c r="D56" s="23"/>
      <c r="E56" s="23"/>
      <c r="F56" s="1"/>
      <c r="G56" s="30"/>
      <c r="H56" s="30"/>
      <c r="I56" s="30"/>
      <c r="J56" s="121"/>
      <c r="K56" s="3"/>
      <c r="L56" s="4"/>
      <c r="M56" s="5"/>
      <c r="N56" s="4"/>
      <c r="O56" s="4"/>
      <c r="P56" s="5"/>
      <c r="Q56" s="4"/>
      <c r="R56" s="4"/>
      <c r="S56" s="5"/>
      <c r="T56" s="11"/>
      <c r="V56" s="3"/>
      <c r="W56" s="4"/>
      <c r="X56" s="5"/>
      <c r="Y56" s="4"/>
      <c r="Z56" s="4"/>
      <c r="AA56" s="5"/>
      <c r="AB56" s="4"/>
      <c r="AC56" s="4"/>
      <c r="AD56" s="5"/>
      <c r="AF56" s="3"/>
      <c r="AG56" s="4"/>
      <c r="AH56" s="5"/>
      <c r="AI56" s="4"/>
      <c r="AJ56" s="4"/>
      <c r="AK56" s="5"/>
      <c r="AL56" s="4"/>
      <c r="AM56" s="4"/>
      <c r="AN56" s="5"/>
    </row>
    <row r="57" spans="1:40" ht="15" customHeight="1" x14ac:dyDescent="0.25">
      <c r="A57" s="10"/>
      <c r="B57" s="76" t="s">
        <v>94</v>
      </c>
      <c r="C57" s="309">
        <v>9.3782999999999994</v>
      </c>
      <c r="D57" s="309"/>
      <c r="E57" s="309"/>
      <c r="F57" s="77" t="s">
        <v>95</v>
      </c>
      <c r="G57" s="324">
        <v>4.6989999999999998E-4</v>
      </c>
      <c r="H57" s="324"/>
      <c r="I57" s="324"/>
      <c r="J57" s="325"/>
      <c r="K57" s="320">
        <v>149.57400000000001</v>
      </c>
      <c r="L57" s="321"/>
      <c r="M57" s="322"/>
      <c r="N57" s="320">
        <v>149.572</v>
      </c>
      <c r="O57" s="321"/>
      <c r="P57" s="322"/>
      <c r="Q57" s="320">
        <v>149.59399999999999</v>
      </c>
      <c r="R57" s="321"/>
      <c r="S57" s="322"/>
      <c r="T57" s="11"/>
      <c r="V57" s="320">
        <f>V66/1.050038</f>
        <v>130.06020243207814</v>
      </c>
      <c r="W57" s="321"/>
      <c r="X57" s="322"/>
      <c r="Y57" s="320">
        <f>Y66/1.050038</f>
        <v>130.0584633570727</v>
      </c>
      <c r="Z57" s="321"/>
      <c r="AA57" s="322"/>
      <c r="AB57" s="320">
        <f>AB66/1.050038</f>
        <v>130.0775931821326</v>
      </c>
      <c r="AC57" s="321"/>
      <c r="AD57" s="322"/>
      <c r="AF57" s="320">
        <f>K57</f>
        <v>149.57400000000001</v>
      </c>
      <c r="AG57" s="321"/>
      <c r="AH57" s="322"/>
      <c r="AI57" s="320">
        <f>N57</f>
        <v>149.572</v>
      </c>
      <c r="AJ57" s="321"/>
      <c r="AK57" s="322"/>
      <c r="AL57" s="320">
        <f>Q57</f>
        <v>149.59399999999999</v>
      </c>
      <c r="AM57" s="321"/>
      <c r="AN57" s="322"/>
    </row>
    <row r="58" spans="1:40" ht="3" customHeight="1" x14ac:dyDescent="0.25">
      <c r="A58" s="10"/>
      <c r="B58" s="8"/>
      <c r="C58" s="23"/>
      <c r="D58" s="23"/>
      <c r="E58" s="23"/>
      <c r="F58" s="1"/>
      <c r="G58" s="30"/>
      <c r="H58" s="30"/>
      <c r="I58" s="30"/>
      <c r="J58" s="121"/>
      <c r="K58" s="42"/>
      <c r="L58" s="43"/>
      <c r="M58" s="75"/>
      <c r="N58" s="42"/>
      <c r="O58" s="43"/>
      <c r="P58" s="75"/>
      <c r="Q58" s="43"/>
      <c r="R58" s="43"/>
      <c r="S58" s="75"/>
      <c r="T58" s="11"/>
      <c r="V58" s="42"/>
      <c r="W58" s="43"/>
      <c r="X58" s="75"/>
      <c r="Y58" s="42"/>
      <c r="Z58" s="43"/>
      <c r="AA58" s="75"/>
      <c r="AB58" s="43"/>
      <c r="AC58" s="43"/>
      <c r="AD58" s="75"/>
      <c r="AF58" s="42"/>
      <c r="AG58" s="43"/>
      <c r="AH58" s="75"/>
      <c r="AI58" s="42"/>
      <c r="AJ58" s="43"/>
      <c r="AK58" s="75"/>
      <c r="AL58" s="43"/>
      <c r="AM58" s="43"/>
      <c r="AN58" s="75"/>
    </row>
    <row r="59" spans="1:40" ht="17.25" x14ac:dyDescent="0.25">
      <c r="A59" s="10"/>
      <c r="B59" s="76" t="s">
        <v>96</v>
      </c>
      <c r="C59" s="309">
        <v>9.3655000000000008</v>
      </c>
      <c r="D59" s="309"/>
      <c r="E59" s="309"/>
      <c r="F59" s="77" t="s">
        <v>97</v>
      </c>
      <c r="G59" s="324">
        <v>4.7199999999999998E-4</v>
      </c>
      <c r="H59" s="324"/>
      <c r="I59" s="324"/>
      <c r="J59" s="325"/>
      <c r="K59" s="326" t="s">
        <v>98</v>
      </c>
      <c r="L59" s="327"/>
      <c r="M59" s="327"/>
      <c r="N59" s="90" t="s">
        <v>20</v>
      </c>
      <c r="O59" s="271">
        <v>34500</v>
      </c>
      <c r="P59" s="271"/>
      <c r="Q59" s="133" t="s">
        <v>105</v>
      </c>
      <c r="R59" s="138">
        <v>230.9494</v>
      </c>
      <c r="S59" s="137"/>
      <c r="T59" s="69"/>
      <c r="V59" s="328" t="s">
        <v>98</v>
      </c>
      <c r="W59" s="329"/>
      <c r="X59" s="329"/>
      <c r="Y59" s="99" t="s">
        <v>20</v>
      </c>
      <c r="Z59" s="330" t="s">
        <v>115</v>
      </c>
      <c r="AA59" s="330"/>
      <c r="AB59" s="330"/>
      <c r="AC59" s="330"/>
      <c r="AD59" s="331"/>
      <c r="AF59" s="328" t="s">
        <v>98</v>
      </c>
      <c r="AG59" s="329"/>
      <c r="AH59" s="329"/>
      <c r="AI59" s="99" t="s">
        <v>20</v>
      </c>
      <c r="AJ59" s="330" t="s">
        <v>106</v>
      </c>
      <c r="AK59" s="330"/>
      <c r="AL59" s="330"/>
      <c r="AM59" s="330"/>
      <c r="AN59" s="331"/>
    </row>
    <row r="60" spans="1:40" ht="3" customHeight="1" x14ac:dyDescent="0.25">
      <c r="A60" s="10"/>
      <c r="B60" s="42"/>
      <c r="C60" s="43"/>
      <c r="D60" s="43"/>
      <c r="E60" s="43"/>
      <c r="F60" s="43"/>
      <c r="G60" s="43"/>
      <c r="H60" s="43"/>
      <c r="I60" s="43"/>
      <c r="J60" s="75"/>
      <c r="K60" s="313"/>
      <c r="L60" s="314"/>
      <c r="M60" s="314"/>
      <c r="N60" s="314"/>
      <c r="O60" s="314"/>
      <c r="P60" s="314"/>
      <c r="Q60" s="314"/>
      <c r="R60" s="314"/>
      <c r="S60" s="315"/>
      <c r="T60" s="11"/>
    </row>
    <row r="61" spans="1:40" ht="3" customHeight="1" x14ac:dyDescent="0.25">
      <c r="A61" s="10"/>
      <c r="B61" s="3"/>
      <c r="C61" s="4"/>
      <c r="D61" s="4"/>
      <c r="E61" s="4"/>
      <c r="F61" s="4"/>
      <c r="G61" s="4"/>
      <c r="H61" s="4"/>
      <c r="I61" s="4"/>
      <c r="J61" s="4"/>
      <c r="K61" s="4"/>
      <c r="L61" s="4"/>
      <c r="M61" s="4"/>
      <c r="N61" s="4"/>
      <c r="O61" s="4"/>
      <c r="P61" s="4"/>
      <c r="Q61" s="4"/>
      <c r="R61" s="4"/>
      <c r="S61" s="5"/>
      <c r="T61" s="11"/>
    </row>
    <row r="62" spans="1:40" ht="15.75" customHeight="1" x14ac:dyDescent="0.25">
      <c r="A62" s="10"/>
      <c r="B62" s="288" t="s">
        <v>99</v>
      </c>
      <c r="C62" s="289"/>
      <c r="D62" s="289"/>
      <c r="E62" s="289"/>
      <c r="F62" s="289"/>
      <c r="G62" s="289"/>
      <c r="H62" s="289"/>
      <c r="I62" s="289"/>
      <c r="J62" s="289"/>
      <c r="K62" s="289"/>
      <c r="L62" s="289"/>
      <c r="M62" s="289"/>
      <c r="N62" s="289"/>
      <c r="O62" s="289"/>
      <c r="P62" s="289"/>
      <c r="Q62" s="289"/>
      <c r="R62" s="289"/>
      <c r="S62" s="290"/>
      <c r="T62" s="11"/>
      <c r="V62" s="288" t="s">
        <v>88</v>
      </c>
      <c r="W62" s="289"/>
      <c r="X62" s="289"/>
      <c r="Y62" s="289"/>
      <c r="Z62" s="289"/>
      <c r="AA62" s="289"/>
      <c r="AB62" s="289"/>
      <c r="AC62" s="289"/>
      <c r="AD62" s="290"/>
      <c r="AF62" s="288" t="s">
        <v>88</v>
      </c>
      <c r="AG62" s="289"/>
      <c r="AH62" s="289"/>
      <c r="AI62" s="289"/>
      <c r="AJ62" s="289"/>
      <c r="AK62" s="289"/>
      <c r="AL62" s="289"/>
      <c r="AM62" s="289"/>
      <c r="AN62" s="290"/>
    </row>
    <row r="63" spans="1:40" ht="3" customHeight="1" x14ac:dyDescent="0.25">
      <c r="A63" s="10"/>
      <c r="B63" s="3"/>
      <c r="C63" s="4"/>
      <c r="D63" s="4"/>
      <c r="E63" s="4"/>
      <c r="F63" s="4"/>
      <c r="G63" s="23"/>
      <c r="H63" s="4"/>
      <c r="I63" s="4"/>
      <c r="J63" s="4"/>
      <c r="K63" s="4"/>
      <c r="L63" s="4"/>
      <c r="M63" s="4"/>
      <c r="N63" s="4"/>
      <c r="O63" s="4"/>
      <c r="P63" s="4"/>
      <c r="Q63" s="4"/>
      <c r="R63" s="4"/>
      <c r="S63" s="5"/>
      <c r="T63" s="11"/>
      <c r="V63" s="3"/>
      <c r="W63" s="4"/>
      <c r="X63" s="4"/>
      <c r="Y63" s="39"/>
      <c r="Z63" s="4"/>
      <c r="AA63" s="4"/>
      <c r="AB63" s="39"/>
      <c r="AC63" s="4"/>
      <c r="AD63" s="5"/>
      <c r="AF63" s="3"/>
      <c r="AG63" s="4"/>
      <c r="AH63" s="4"/>
      <c r="AI63" s="39"/>
      <c r="AJ63" s="4"/>
      <c r="AK63" s="4"/>
      <c r="AL63" s="39"/>
      <c r="AM63" s="4"/>
      <c r="AN63" s="5"/>
    </row>
    <row r="64" spans="1:40" x14ac:dyDescent="0.25">
      <c r="A64" s="10"/>
      <c r="B64" s="3"/>
      <c r="C64" s="4"/>
      <c r="D64" s="4"/>
      <c r="E64" s="4"/>
      <c r="F64" s="316" t="s">
        <v>33</v>
      </c>
      <c r="G64" s="316"/>
      <c r="H64" s="4"/>
      <c r="I64" s="316" t="s">
        <v>34</v>
      </c>
      <c r="J64" s="316"/>
      <c r="K64" s="4"/>
      <c r="L64" s="316" t="s">
        <v>35</v>
      </c>
      <c r="M64" s="316"/>
      <c r="N64" s="1"/>
      <c r="O64" s="317" t="s">
        <v>100</v>
      </c>
      <c r="P64" s="317"/>
      <c r="Q64" s="318" t="s">
        <v>130</v>
      </c>
      <c r="R64" s="318"/>
      <c r="S64" s="319"/>
      <c r="T64" s="11"/>
      <c r="V64" s="310" t="s">
        <v>91</v>
      </c>
      <c r="W64" s="311"/>
      <c r="X64" s="312"/>
      <c r="Y64" s="311" t="s">
        <v>92</v>
      </c>
      <c r="Z64" s="311"/>
      <c r="AA64" s="312"/>
      <c r="AB64" s="310" t="s">
        <v>93</v>
      </c>
      <c r="AC64" s="311"/>
      <c r="AD64" s="312"/>
      <c r="AF64" s="310" t="s">
        <v>91</v>
      </c>
      <c r="AG64" s="311"/>
      <c r="AH64" s="312"/>
      <c r="AI64" s="311" t="s">
        <v>92</v>
      </c>
      <c r="AJ64" s="311"/>
      <c r="AK64" s="312"/>
      <c r="AL64" s="310" t="s">
        <v>93</v>
      </c>
      <c r="AM64" s="311"/>
      <c r="AN64" s="312"/>
    </row>
    <row r="65" spans="1:40" ht="3" customHeight="1" x14ac:dyDescent="0.25">
      <c r="A65" s="10"/>
      <c r="B65" s="53"/>
      <c r="C65" s="54"/>
      <c r="D65" s="54"/>
      <c r="E65" s="54"/>
      <c r="F65" s="54"/>
      <c r="G65" s="54"/>
      <c r="H65" s="54"/>
      <c r="I65" s="54"/>
      <c r="J65" s="54"/>
      <c r="K65" s="54"/>
      <c r="L65" s="54"/>
      <c r="M65" s="54"/>
      <c r="N65" s="54"/>
      <c r="O65" s="54"/>
      <c r="P65" s="54"/>
      <c r="Q65" s="54"/>
      <c r="R65" s="54"/>
      <c r="S65" s="55"/>
      <c r="T65" s="11"/>
      <c r="V65" s="3"/>
      <c r="W65" s="4"/>
      <c r="X65" s="5"/>
      <c r="Y65" s="4"/>
      <c r="Z65" s="4"/>
      <c r="AA65" s="5"/>
      <c r="AB65" s="4"/>
      <c r="AC65" s="4"/>
      <c r="AD65" s="5"/>
      <c r="AF65" s="3"/>
      <c r="AG65" s="4"/>
      <c r="AH65" s="5"/>
      <c r="AI65" s="4"/>
      <c r="AJ65" s="4"/>
      <c r="AK65" s="5"/>
      <c r="AL65" s="4"/>
      <c r="AM65" s="4"/>
      <c r="AN65" s="5"/>
    </row>
    <row r="66" spans="1:40" ht="15" customHeight="1" x14ac:dyDescent="0.25">
      <c r="A66" s="10"/>
      <c r="B66" s="273" t="s">
        <v>101</v>
      </c>
      <c r="C66" s="274"/>
      <c r="D66" s="274"/>
      <c r="E66" s="56"/>
      <c r="F66" s="275">
        <v>54.6</v>
      </c>
      <c r="G66" s="275"/>
      <c r="H66" s="112"/>
      <c r="I66" s="275">
        <v>60.3</v>
      </c>
      <c r="J66" s="275"/>
      <c r="K66" s="112"/>
      <c r="L66" s="275">
        <v>64.7</v>
      </c>
      <c r="M66" s="275"/>
      <c r="N66" s="56"/>
      <c r="O66" s="59" t="s">
        <v>113</v>
      </c>
      <c r="P66" s="95" t="s">
        <v>30</v>
      </c>
      <c r="Q66" s="272">
        <f>L66/F66</f>
        <v>1.184981684981685</v>
      </c>
      <c r="R66" s="272"/>
      <c r="S66" s="109"/>
      <c r="T66" s="11"/>
      <c r="V66" s="320">
        <f>AF48/1.04758</f>
        <v>136.56815484137448</v>
      </c>
      <c r="W66" s="321"/>
      <c r="X66" s="322"/>
      <c r="Y66" s="320">
        <f>AI48/1.04758</f>
        <v>136.56632874653391</v>
      </c>
      <c r="Z66" s="321"/>
      <c r="AA66" s="322"/>
      <c r="AB66" s="320">
        <f>AL48/1.04758</f>
        <v>136.58641578978015</v>
      </c>
      <c r="AC66" s="321"/>
      <c r="AD66" s="322"/>
      <c r="AF66" s="320">
        <f>AF57*1.043443</f>
        <v>156.07194328200001</v>
      </c>
      <c r="AG66" s="321"/>
      <c r="AH66" s="322"/>
      <c r="AI66" s="320">
        <f>AI57*1.043443</f>
        <v>156.06985639599998</v>
      </c>
      <c r="AJ66" s="321"/>
      <c r="AK66" s="322"/>
      <c r="AL66" s="320">
        <f>AL57*1.043443</f>
        <v>156.09281214199999</v>
      </c>
      <c r="AM66" s="321"/>
      <c r="AN66" s="322"/>
    </row>
    <row r="67" spans="1:40" ht="3" customHeight="1" x14ac:dyDescent="0.25">
      <c r="A67" s="10"/>
      <c r="B67" s="84"/>
      <c r="C67" s="85"/>
      <c r="D67" s="85"/>
      <c r="E67" s="4"/>
      <c r="F67" s="113"/>
      <c r="G67" s="113"/>
      <c r="H67" s="113"/>
      <c r="I67" s="113"/>
      <c r="J67" s="113"/>
      <c r="K67" s="113"/>
      <c r="L67" s="113"/>
      <c r="M67" s="113"/>
      <c r="N67" s="4"/>
      <c r="O67" s="59"/>
      <c r="P67" s="96"/>
      <c r="Q67" s="107"/>
      <c r="R67" s="107"/>
      <c r="S67" s="108"/>
      <c r="T67" s="11"/>
      <c r="V67" s="42"/>
      <c r="W67" s="43"/>
      <c r="X67" s="75"/>
      <c r="Y67" s="42"/>
      <c r="Z67" s="43"/>
      <c r="AA67" s="75"/>
      <c r="AB67" s="43"/>
      <c r="AC67" s="43"/>
      <c r="AD67" s="75"/>
      <c r="AF67" s="42"/>
      <c r="AG67" s="43"/>
      <c r="AH67" s="75"/>
      <c r="AI67" s="42"/>
      <c r="AJ67" s="43"/>
      <c r="AK67" s="75"/>
      <c r="AL67" s="43"/>
      <c r="AM67" s="43"/>
      <c r="AN67" s="75"/>
    </row>
    <row r="68" spans="1:40" ht="15.75" x14ac:dyDescent="0.25">
      <c r="A68" s="10"/>
      <c r="B68" s="273" t="s">
        <v>102</v>
      </c>
      <c r="C68" s="274"/>
      <c r="D68" s="274"/>
      <c r="E68" s="4"/>
      <c r="F68" s="275">
        <v>37.700000000000003</v>
      </c>
      <c r="G68" s="275"/>
      <c r="H68" s="113"/>
      <c r="I68" s="275">
        <v>44.4</v>
      </c>
      <c r="J68" s="275"/>
      <c r="K68" s="113"/>
      <c r="L68" s="275">
        <v>48.8</v>
      </c>
      <c r="M68" s="275"/>
      <c r="N68" s="45"/>
      <c r="O68" s="59" t="s">
        <v>113</v>
      </c>
      <c r="P68" s="95" t="s">
        <v>30</v>
      </c>
      <c r="Q68" s="272">
        <f>L68/F68</f>
        <v>1.2944297082228116</v>
      </c>
      <c r="R68" s="272"/>
      <c r="S68" s="109"/>
      <c r="T68" s="11"/>
      <c r="V68" s="328" t="s">
        <v>98</v>
      </c>
      <c r="W68" s="329"/>
      <c r="X68" s="329"/>
      <c r="Y68" s="99" t="s">
        <v>20</v>
      </c>
      <c r="Z68" s="330" t="s">
        <v>116</v>
      </c>
      <c r="AA68" s="330"/>
      <c r="AB68" s="330"/>
      <c r="AC68" s="330"/>
      <c r="AD68" s="331"/>
      <c r="AF68" s="328" t="s">
        <v>98</v>
      </c>
      <c r="AG68" s="329"/>
      <c r="AH68" s="329"/>
      <c r="AI68" s="99" t="s">
        <v>20</v>
      </c>
      <c r="AJ68" s="330" t="s">
        <v>118</v>
      </c>
      <c r="AK68" s="330"/>
      <c r="AL68" s="330"/>
      <c r="AM68" s="330"/>
      <c r="AN68" s="331"/>
    </row>
    <row r="69" spans="1:40" ht="3" customHeight="1" x14ac:dyDescent="0.25">
      <c r="A69" s="10"/>
      <c r="B69" s="86"/>
      <c r="C69" s="85"/>
      <c r="D69" s="85"/>
      <c r="E69" s="4"/>
      <c r="F69" s="113"/>
      <c r="G69" s="113"/>
      <c r="H69" s="113"/>
      <c r="I69" s="113"/>
      <c r="J69" s="113"/>
      <c r="K69" s="113"/>
      <c r="L69" s="113"/>
      <c r="M69" s="113"/>
      <c r="N69" s="45"/>
      <c r="O69" s="59"/>
      <c r="P69" s="97"/>
      <c r="Q69" s="107"/>
      <c r="R69" s="107"/>
      <c r="S69" s="108"/>
      <c r="T69" s="11"/>
    </row>
    <row r="70" spans="1:40" ht="15.75" x14ac:dyDescent="0.25">
      <c r="A70" s="10"/>
      <c r="B70" s="273" t="s">
        <v>103</v>
      </c>
      <c r="C70" s="274"/>
      <c r="D70" s="274"/>
      <c r="E70" s="4"/>
      <c r="F70" s="275">
        <v>57.8</v>
      </c>
      <c r="G70" s="275"/>
      <c r="H70" s="113"/>
      <c r="I70" s="275">
        <v>63.3</v>
      </c>
      <c r="J70" s="275"/>
      <c r="K70" s="113"/>
      <c r="L70" s="275">
        <v>68.8</v>
      </c>
      <c r="M70" s="275"/>
      <c r="N70" s="4"/>
      <c r="O70" s="59" t="s">
        <v>113</v>
      </c>
      <c r="P70" s="95" t="s">
        <v>30</v>
      </c>
      <c r="Q70" s="272">
        <f>L70/F70</f>
        <v>1.1903114186851211</v>
      </c>
      <c r="R70" s="272"/>
      <c r="S70" s="109"/>
      <c r="T70" s="11"/>
    </row>
    <row r="71" spans="1:40" ht="3" customHeight="1" x14ac:dyDescent="0.25">
      <c r="A71" s="10"/>
      <c r="B71" s="87"/>
      <c r="C71" s="88"/>
      <c r="D71" s="88"/>
      <c r="E71" s="43"/>
      <c r="F71" s="43"/>
      <c r="G71" s="43"/>
      <c r="H71" s="43"/>
      <c r="I71" s="43"/>
      <c r="J71" s="43"/>
      <c r="K71" s="43"/>
      <c r="L71" s="43"/>
      <c r="M71" s="43"/>
      <c r="N71" s="43"/>
      <c r="O71" s="21"/>
      <c r="P71" s="78"/>
      <c r="Q71" s="60"/>
      <c r="R71" s="60"/>
      <c r="S71" s="61"/>
      <c r="T71" s="11"/>
    </row>
    <row r="72" spans="1:40" ht="3" customHeight="1" x14ac:dyDescent="0.25">
      <c r="A72" s="10"/>
      <c r="B72" s="115"/>
      <c r="C72" s="52"/>
      <c r="D72" s="52"/>
      <c r="E72" s="52"/>
      <c r="F72" s="52"/>
      <c r="G72" s="52"/>
      <c r="H72" s="52"/>
      <c r="I72" s="52"/>
      <c r="J72" s="52"/>
      <c r="K72" s="52"/>
      <c r="L72" s="52"/>
      <c r="M72" s="52"/>
      <c r="N72" s="52"/>
      <c r="O72" s="52"/>
      <c r="P72" s="52"/>
      <c r="Q72" s="52"/>
      <c r="R72" s="52"/>
      <c r="S72" s="129"/>
      <c r="T72" s="11"/>
    </row>
    <row r="73" spans="1:40" ht="15.75" customHeight="1" x14ac:dyDescent="0.25">
      <c r="A73" s="10"/>
      <c r="B73" s="348" t="s">
        <v>197</v>
      </c>
      <c r="C73" s="349"/>
      <c r="D73" s="349"/>
      <c r="E73" s="349"/>
      <c r="F73" s="349"/>
      <c r="G73" s="349"/>
      <c r="H73" s="349"/>
      <c r="I73" s="349"/>
      <c r="J73" s="349"/>
      <c r="K73" s="349"/>
      <c r="L73" s="349"/>
      <c r="M73" s="349"/>
      <c r="N73" s="349"/>
      <c r="O73" s="349"/>
      <c r="P73" s="349"/>
      <c r="Q73" s="349"/>
      <c r="R73" s="349"/>
      <c r="S73" s="350"/>
      <c r="T73" s="11"/>
    </row>
    <row r="74" spans="1:40" ht="15" customHeight="1" x14ac:dyDescent="0.25">
      <c r="A74" s="10"/>
      <c r="B74" s="348"/>
      <c r="C74" s="349"/>
      <c r="D74" s="349"/>
      <c r="E74" s="349"/>
      <c r="F74" s="349"/>
      <c r="G74" s="349"/>
      <c r="H74" s="349"/>
      <c r="I74" s="349"/>
      <c r="J74" s="349"/>
      <c r="K74" s="349"/>
      <c r="L74" s="349"/>
      <c r="M74" s="349"/>
      <c r="N74" s="349"/>
      <c r="O74" s="349"/>
      <c r="P74" s="349"/>
      <c r="Q74" s="349"/>
      <c r="R74" s="349"/>
      <c r="S74" s="350"/>
      <c r="T74" s="11"/>
    </row>
    <row r="75" spans="1:40" ht="15.75" customHeight="1" x14ac:dyDescent="0.25">
      <c r="A75" s="10"/>
      <c r="B75" s="348"/>
      <c r="C75" s="349"/>
      <c r="D75" s="349"/>
      <c r="E75" s="349"/>
      <c r="F75" s="349"/>
      <c r="G75" s="349"/>
      <c r="H75" s="349"/>
      <c r="I75" s="349"/>
      <c r="J75" s="349"/>
      <c r="K75" s="349"/>
      <c r="L75" s="349"/>
      <c r="M75" s="349"/>
      <c r="N75" s="349"/>
      <c r="O75" s="349"/>
      <c r="P75" s="349"/>
      <c r="Q75" s="349"/>
      <c r="R75" s="349"/>
      <c r="S75" s="350"/>
      <c r="T75" s="11"/>
    </row>
    <row r="76" spans="1:40" ht="15.75" customHeight="1" x14ac:dyDescent="0.25">
      <c r="A76" s="10"/>
      <c r="B76" s="348"/>
      <c r="C76" s="349"/>
      <c r="D76" s="349"/>
      <c r="E76" s="349"/>
      <c r="F76" s="349"/>
      <c r="G76" s="349"/>
      <c r="H76" s="349"/>
      <c r="I76" s="349"/>
      <c r="J76" s="349"/>
      <c r="K76" s="349"/>
      <c r="L76" s="349"/>
      <c r="M76" s="349"/>
      <c r="N76" s="349"/>
      <c r="O76" s="349"/>
      <c r="P76" s="349"/>
      <c r="Q76" s="349"/>
      <c r="R76" s="349"/>
      <c r="S76" s="350"/>
      <c r="T76" s="11"/>
      <c r="U76" s="10"/>
    </row>
    <row r="77" spans="1:40" ht="4.5" customHeight="1" x14ac:dyDescent="0.25">
      <c r="A77" s="10"/>
      <c r="B77" s="181"/>
      <c r="C77" s="182"/>
      <c r="D77" s="182"/>
      <c r="E77" s="182"/>
      <c r="F77" s="182"/>
      <c r="G77" s="182"/>
      <c r="H77" s="182"/>
      <c r="I77" s="182"/>
      <c r="J77" s="182"/>
      <c r="K77" s="182"/>
      <c r="L77" s="182"/>
      <c r="M77" s="182"/>
      <c r="N77" s="182"/>
      <c r="O77" s="182"/>
      <c r="P77" s="182"/>
      <c r="Q77" s="182"/>
      <c r="R77" s="182"/>
      <c r="S77" s="183"/>
      <c r="T77" s="11"/>
    </row>
    <row r="78" spans="1:40" ht="16.5" customHeight="1" x14ac:dyDescent="0.25">
      <c r="A78" s="10"/>
      <c r="B78" s="341"/>
      <c r="C78" s="342"/>
      <c r="D78" s="342"/>
      <c r="E78" s="342"/>
      <c r="F78" s="342"/>
      <c r="G78" s="342"/>
      <c r="H78" s="342"/>
      <c r="I78" s="342"/>
      <c r="J78" s="343"/>
      <c r="K78" s="345" t="s">
        <v>142</v>
      </c>
      <c r="L78" s="346"/>
      <c r="M78" s="346"/>
      <c r="N78" s="346"/>
      <c r="O78" s="346"/>
      <c r="P78" s="346"/>
      <c r="Q78" s="346"/>
      <c r="R78" s="346"/>
      <c r="S78" s="347"/>
      <c r="T78" s="11"/>
    </row>
    <row r="79" spans="1:40" ht="16.5" customHeight="1" x14ac:dyDescent="0.25">
      <c r="A79" s="10"/>
      <c r="B79" s="267" t="s">
        <v>178</v>
      </c>
      <c r="C79" s="268"/>
      <c r="D79" s="268"/>
      <c r="E79" s="160" t="s">
        <v>20</v>
      </c>
      <c r="F79" s="269" t="str">
        <f>'KAPAK SAYFASI'!D53</f>
        <v>05.08.2026</v>
      </c>
      <c r="G79" s="269"/>
      <c r="H79" s="269"/>
      <c r="I79" s="269"/>
      <c r="J79" s="270"/>
      <c r="K79" s="161"/>
      <c r="L79" s="162"/>
      <c r="M79" s="160"/>
      <c r="N79" s="168"/>
      <c r="O79" s="168"/>
      <c r="P79" s="168"/>
      <c r="Q79" s="168"/>
      <c r="R79" s="168"/>
      <c r="S79" s="169"/>
      <c r="T79" s="11"/>
    </row>
    <row r="80" spans="1:40" ht="16.5" customHeight="1" x14ac:dyDescent="0.25">
      <c r="A80" s="10"/>
      <c r="B80" s="267" t="s">
        <v>132</v>
      </c>
      <c r="C80" s="268"/>
      <c r="D80" s="268"/>
      <c r="E80" s="160" t="s">
        <v>20</v>
      </c>
      <c r="F80" s="264" t="str">
        <f>'KAPAK SAYFASI'!D54</f>
        <v>05.08.2026</v>
      </c>
      <c r="G80" s="265"/>
      <c r="H80" s="265"/>
      <c r="I80" s="265"/>
      <c r="J80" s="266"/>
      <c r="K80" s="161"/>
      <c r="L80" s="162"/>
      <c r="M80" s="160"/>
      <c r="N80" s="160"/>
      <c r="O80" s="160"/>
      <c r="P80" s="160"/>
      <c r="Q80" s="160"/>
      <c r="R80" s="160"/>
      <c r="S80" s="170"/>
      <c r="T80" s="11"/>
    </row>
    <row r="81" spans="1:20" s="159" customFormat="1" ht="16.5" customHeight="1" x14ac:dyDescent="0.25">
      <c r="A81" s="10"/>
      <c r="B81" s="267" t="s">
        <v>161</v>
      </c>
      <c r="C81" s="268"/>
      <c r="D81" s="268"/>
      <c r="E81" s="160" t="s">
        <v>20</v>
      </c>
      <c r="F81" s="268" t="s">
        <v>190</v>
      </c>
      <c r="G81" s="268"/>
      <c r="H81" s="268"/>
      <c r="I81" s="268"/>
      <c r="J81" s="344"/>
      <c r="K81" s="162"/>
      <c r="L81" s="156"/>
      <c r="M81" s="160"/>
      <c r="N81" s="157"/>
      <c r="O81" s="157"/>
      <c r="P81" s="157"/>
      <c r="Q81" s="157"/>
      <c r="R81" s="157"/>
      <c r="S81" s="158"/>
      <c r="T81" s="11"/>
    </row>
    <row r="82" spans="1:20" ht="16.5" customHeight="1" x14ac:dyDescent="0.25">
      <c r="A82" s="10"/>
      <c r="B82" s="236"/>
      <c r="C82" s="237"/>
      <c r="D82" s="237"/>
      <c r="E82" s="237"/>
      <c r="F82" s="237"/>
      <c r="G82" s="237"/>
      <c r="H82" s="237"/>
      <c r="I82" s="237"/>
      <c r="J82" s="238"/>
      <c r="K82" s="163"/>
      <c r="L82" s="164"/>
      <c r="M82" s="165"/>
      <c r="N82" s="166"/>
      <c r="O82" s="166"/>
      <c r="P82" s="166"/>
      <c r="Q82" s="166"/>
      <c r="R82" s="166"/>
      <c r="S82" s="167"/>
      <c r="T82" s="11"/>
    </row>
    <row r="83" spans="1:20" ht="6" customHeight="1" thickBot="1" x14ac:dyDescent="0.3">
      <c r="A83" s="15"/>
      <c r="B83" s="16"/>
      <c r="C83" s="16"/>
      <c r="D83" s="16"/>
      <c r="E83" s="16"/>
      <c r="F83" s="16"/>
      <c r="G83" s="16"/>
      <c r="H83" s="16"/>
      <c r="I83" s="16"/>
      <c r="J83" s="16"/>
      <c r="K83" s="16"/>
      <c r="L83" s="16"/>
      <c r="M83" s="16"/>
      <c r="N83" s="16"/>
      <c r="O83" s="16"/>
      <c r="P83" s="16"/>
      <c r="Q83" s="16"/>
      <c r="R83" s="16"/>
      <c r="S83" s="16"/>
      <c r="T83" s="17"/>
    </row>
  </sheetData>
  <mergeCells count="161">
    <mergeCell ref="V62:AD62"/>
    <mergeCell ref="V64:X64"/>
    <mergeCell ref="Y64:AA64"/>
    <mergeCell ref="AB64:AD64"/>
    <mergeCell ref="V66:X66"/>
    <mergeCell ref="Y66:AA66"/>
    <mergeCell ref="AB66:AD66"/>
    <mergeCell ref="V44:AD44"/>
    <mergeCell ref="V46:X46"/>
    <mergeCell ref="B81:D81"/>
    <mergeCell ref="B78:J78"/>
    <mergeCell ref="F81:J81"/>
    <mergeCell ref="V68:X68"/>
    <mergeCell ref="Z68:AD68"/>
    <mergeCell ref="B66:D66"/>
    <mergeCell ref="B68:D68"/>
    <mergeCell ref="I70:J70"/>
    <mergeCell ref="I68:J68"/>
    <mergeCell ref="I66:J66"/>
    <mergeCell ref="F70:G70"/>
    <mergeCell ref="F68:G68"/>
    <mergeCell ref="K78:S78"/>
    <mergeCell ref="B73:S76"/>
    <mergeCell ref="AF62:AN62"/>
    <mergeCell ref="AF64:AH64"/>
    <mergeCell ref="AI64:AK64"/>
    <mergeCell ref="AL64:AN64"/>
    <mergeCell ref="AF66:AH66"/>
    <mergeCell ref="AI66:AK66"/>
    <mergeCell ref="AL66:AN66"/>
    <mergeCell ref="AF68:AH68"/>
    <mergeCell ref="AJ68:AN68"/>
    <mergeCell ref="AF53:AN53"/>
    <mergeCell ref="AF55:AH55"/>
    <mergeCell ref="AI55:AK55"/>
    <mergeCell ref="AL55:AN55"/>
    <mergeCell ref="AF57:AH57"/>
    <mergeCell ref="AI57:AK57"/>
    <mergeCell ref="AL57:AN57"/>
    <mergeCell ref="AF59:AH59"/>
    <mergeCell ref="AJ59:AN59"/>
    <mergeCell ref="AF44:AN44"/>
    <mergeCell ref="AF46:AH46"/>
    <mergeCell ref="AI46:AK46"/>
    <mergeCell ref="AL46:AN46"/>
    <mergeCell ref="AF48:AH48"/>
    <mergeCell ref="AI48:AK48"/>
    <mergeCell ref="AL48:AN48"/>
    <mergeCell ref="AF50:AH50"/>
    <mergeCell ref="AJ50:AN50"/>
    <mergeCell ref="V57:X57"/>
    <mergeCell ref="Y57:AA57"/>
    <mergeCell ref="AB57:AD57"/>
    <mergeCell ref="V59:X59"/>
    <mergeCell ref="Z59:AD59"/>
    <mergeCell ref="P39:Q39"/>
    <mergeCell ref="P37:Q37"/>
    <mergeCell ref="P35:Q35"/>
    <mergeCell ref="P33:Q33"/>
    <mergeCell ref="Y46:AA46"/>
    <mergeCell ref="AB46:AD46"/>
    <mergeCell ref="V48:X48"/>
    <mergeCell ref="Y48:AA48"/>
    <mergeCell ref="AB48:AD48"/>
    <mergeCell ref="V50:X50"/>
    <mergeCell ref="Z50:AD50"/>
    <mergeCell ref="V53:AD53"/>
    <mergeCell ref="V55:X55"/>
    <mergeCell ref="Y55:AA55"/>
    <mergeCell ref="AB55:AD55"/>
    <mergeCell ref="B43:S51"/>
    <mergeCell ref="P31:Q31"/>
    <mergeCell ref="L68:M68"/>
    <mergeCell ref="L66:M66"/>
    <mergeCell ref="K60:S60"/>
    <mergeCell ref="B62:S62"/>
    <mergeCell ref="F64:G64"/>
    <mergeCell ref="I64:J64"/>
    <mergeCell ref="L64:M64"/>
    <mergeCell ref="O64:P64"/>
    <mergeCell ref="Q64:S64"/>
    <mergeCell ref="K53:S53"/>
    <mergeCell ref="K55:M55"/>
    <mergeCell ref="N55:P55"/>
    <mergeCell ref="P41:Q41"/>
    <mergeCell ref="C55:E55"/>
    <mergeCell ref="Q57:S57"/>
    <mergeCell ref="N57:P57"/>
    <mergeCell ref="D53:H53"/>
    <mergeCell ref="G59:J59"/>
    <mergeCell ref="K57:M57"/>
    <mergeCell ref="G57:J57"/>
    <mergeCell ref="G55:J55"/>
    <mergeCell ref="C57:E57"/>
    <mergeCell ref="K59:M59"/>
    <mergeCell ref="B19:E19"/>
    <mergeCell ref="G19:J19"/>
    <mergeCell ref="K19:M19"/>
    <mergeCell ref="O19:S19"/>
    <mergeCell ref="C59:E59"/>
    <mergeCell ref="Q55:S55"/>
    <mergeCell ref="B41:E41"/>
    <mergeCell ref="K41:N41"/>
    <mergeCell ref="B39:E39"/>
    <mergeCell ref="K39:N39"/>
    <mergeCell ref="B37:E37"/>
    <mergeCell ref="K37:N37"/>
    <mergeCell ref="B31:E31"/>
    <mergeCell ref="K31:N31"/>
    <mergeCell ref="B33:E33"/>
    <mergeCell ref="K33:N33"/>
    <mergeCell ref="B35:E35"/>
    <mergeCell ref="K35:N35"/>
    <mergeCell ref="G33:H33"/>
    <mergeCell ref="G35:H35"/>
    <mergeCell ref="G37:H37"/>
    <mergeCell ref="G39:H39"/>
    <mergeCell ref="G41:H41"/>
    <mergeCell ref="G31:H31"/>
    <mergeCell ref="B21:E21"/>
    <mergeCell ref="K21:M21"/>
    <mergeCell ref="B24:S24"/>
    <mergeCell ref="B27:E27"/>
    <mergeCell ref="K27:N27"/>
    <mergeCell ref="B29:E29"/>
    <mergeCell ref="K29:N29"/>
    <mergeCell ref="P29:Q29"/>
    <mergeCell ref="P27:Q27"/>
    <mergeCell ref="G29:H29"/>
    <mergeCell ref="B6:G6"/>
    <mergeCell ref="B9:S9"/>
    <mergeCell ref="B11:E11"/>
    <mergeCell ref="G11:J11"/>
    <mergeCell ref="K11:M11"/>
    <mergeCell ref="H5:J6"/>
    <mergeCell ref="K5:S6"/>
    <mergeCell ref="K2:S3"/>
    <mergeCell ref="H2:J3"/>
    <mergeCell ref="B13:E13"/>
    <mergeCell ref="G13:J13"/>
    <mergeCell ref="K13:M13"/>
    <mergeCell ref="O13:S13"/>
    <mergeCell ref="B15:E15"/>
    <mergeCell ref="K15:M15"/>
    <mergeCell ref="O15:S15"/>
    <mergeCell ref="G15:J15"/>
    <mergeCell ref="B17:E17"/>
    <mergeCell ref="G17:J17"/>
    <mergeCell ref="K17:M17"/>
    <mergeCell ref="O17:S17"/>
    <mergeCell ref="F80:J80"/>
    <mergeCell ref="B79:D79"/>
    <mergeCell ref="B80:D80"/>
    <mergeCell ref="F79:J79"/>
    <mergeCell ref="O59:P59"/>
    <mergeCell ref="Q68:R68"/>
    <mergeCell ref="Q70:R70"/>
    <mergeCell ref="B70:D70"/>
    <mergeCell ref="F66:G66"/>
    <mergeCell ref="L70:M70"/>
    <mergeCell ref="Q66:R66"/>
  </mergeCells>
  <pageMargins left="0.55118110236220474" right="0.23622047244094488" top="0.3543307086614173" bottom="0.3543307086614173"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pageSetUpPr fitToPage="1"/>
  </sheetPr>
  <dimension ref="A1:V49"/>
  <sheetViews>
    <sheetView topLeftCell="A14" zoomScaleNormal="100" workbookViewId="0">
      <selection activeCell="J9" sqref="J9:Q9"/>
    </sheetView>
  </sheetViews>
  <sheetFormatPr defaultRowHeight="15" x14ac:dyDescent="0.25"/>
  <cols>
    <col min="1" max="1" width="3.5703125" customWidth="1"/>
    <col min="2" max="17" width="5.5703125" customWidth="1"/>
    <col min="18" max="18" width="3.5703125" customWidth="1"/>
    <col min="19" max="19" width="9.140625" customWidth="1"/>
  </cols>
  <sheetData>
    <row r="1" spans="1:22" x14ac:dyDescent="0.25">
      <c r="A1" s="12"/>
      <c r="B1" s="13"/>
      <c r="C1" s="13"/>
      <c r="D1" s="13"/>
      <c r="E1" s="13"/>
      <c r="F1" s="13"/>
      <c r="G1" s="13"/>
      <c r="H1" s="13"/>
      <c r="I1" s="13"/>
      <c r="J1" s="13"/>
      <c r="K1" s="13"/>
      <c r="L1" s="13"/>
      <c r="M1" s="13"/>
      <c r="N1" s="13"/>
      <c r="O1" s="13"/>
      <c r="P1" s="13"/>
      <c r="Q1" s="13"/>
      <c r="R1" s="14"/>
    </row>
    <row r="2" spans="1:22" ht="29.25" customHeight="1" x14ac:dyDescent="0.25">
      <c r="A2" s="10"/>
      <c r="B2" s="46"/>
      <c r="C2" s="47"/>
      <c r="D2" s="47"/>
      <c r="E2" s="47"/>
      <c r="F2" s="211"/>
      <c r="G2" s="298" t="s">
        <v>18</v>
      </c>
      <c r="H2" s="299"/>
      <c r="I2" s="142" t="s">
        <v>20</v>
      </c>
      <c r="J2" s="393" t="str">
        <f>'ANA SAYFA'!K2</f>
        <v>OK AMBALAJ</v>
      </c>
      <c r="K2" s="393"/>
      <c r="L2" s="393"/>
      <c r="M2" s="393"/>
      <c r="N2" s="393"/>
      <c r="O2" s="393"/>
      <c r="P2" s="393"/>
      <c r="Q2" s="394"/>
      <c r="R2" s="11"/>
    </row>
    <row r="3" spans="1:22" ht="29.25" customHeight="1" x14ac:dyDescent="0.25">
      <c r="A3" s="10"/>
      <c r="B3" s="49"/>
      <c r="C3" s="50"/>
      <c r="D3" s="50"/>
      <c r="E3" s="50"/>
      <c r="F3" s="213"/>
      <c r="G3" s="391" t="s">
        <v>19</v>
      </c>
      <c r="H3" s="392"/>
      <c r="I3" s="141" t="s">
        <v>20</v>
      </c>
      <c r="J3" s="395" t="str">
        <f>'ANA SAYFA'!K5</f>
        <v>TR-1</v>
      </c>
      <c r="K3" s="395"/>
      <c r="L3" s="395"/>
      <c r="M3" s="395"/>
      <c r="N3" s="395"/>
      <c r="O3" s="395"/>
      <c r="P3" s="395"/>
      <c r="Q3" s="396"/>
      <c r="R3" s="11"/>
    </row>
    <row r="4" spans="1:22" x14ac:dyDescent="0.25">
      <c r="A4" s="10"/>
      <c r="B4" s="3"/>
      <c r="C4" s="4"/>
      <c r="D4" s="4"/>
      <c r="E4" s="4"/>
      <c r="F4" s="4"/>
      <c r="G4" s="4"/>
      <c r="H4" s="4"/>
      <c r="I4" s="4"/>
      <c r="J4" s="4"/>
      <c r="K4" s="4"/>
      <c r="L4" s="4"/>
      <c r="M4" s="4"/>
      <c r="N4" s="4"/>
      <c r="O4" s="4"/>
      <c r="P4" s="4"/>
      <c r="Q4" s="5"/>
      <c r="R4" s="11"/>
    </row>
    <row r="5" spans="1:22" ht="18.75" x14ac:dyDescent="0.25">
      <c r="A5" s="10"/>
      <c r="B5" s="288" t="s">
        <v>157</v>
      </c>
      <c r="C5" s="289"/>
      <c r="D5" s="289"/>
      <c r="E5" s="289"/>
      <c r="F5" s="289"/>
      <c r="G5" s="289"/>
      <c r="H5" s="289"/>
      <c r="I5" s="289"/>
      <c r="J5" s="289"/>
      <c r="K5" s="289"/>
      <c r="L5" s="289"/>
      <c r="M5" s="289"/>
      <c r="N5" s="289"/>
      <c r="O5" s="289"/>
      <c r="P5" s="289"/>
      <c r="Q5" s="290"/>
      <c r="R5" s="11"/>
    </row>
    <row r="6" spans="1:22" x14ac:dyDescent="0.25">
      <c r="A6" s="10"/>
      <c r="B6" s="3"/>
      <c r="C6" s="4"/>
      <c r="D6" s="4"/>
      <c r="E6" s="4"/>
      <c r="F6" s="4"/>
      <c r="G6" s="4"/>
      <c r="H6" s="4"/>
      <c r="I6" s="4"/>
      <c r="J6" s="4"/>
      <c r="K6" s="4"/>
      <c r="L6" s="4"/>
      <c r="M6" s="4"/>
      <c r="N6" s="4"/>
      <c r="O6" s="4"/>
      <c r="P6" s="4"/>
      <c r="Q6" s="5"/>
      <c r="R6" s="11"/>
    </row>
    <row r="7" spans="1:22" x14ac:dyDescent="0.25">
      <c r="A7" s="10"/>
      <c r="B7" s="397" t="s">
        <v>0</v>
      </c>
      <c r="C7" s="398"/>
      <c r="D7" s="399" t="str">
        <f>'ANA SAYFA'!G11</f>
        <v>ASTOR</v>
      </c>
      <c r="E7" s="389"/>
      <c r="F7" s="390"/>
      <c r="G7" s="399" t="s">
        <v>1</v>
      </c>
      <c r="H7" s="400"/>
      <c r="I7" s="388" t="str">
        <f>'ANA SAYFA'!O13</f>
        <v>2017</v>
      </c>
      <c r="J7" s="389"/>
      <c r="K7" s="390"/>
      <c r="L7" s="397" t="s">
        <v>17</v>
      </c>
      <c r="M7" s="401"/>
      <c r="N7" s="398"/>
      <c r="O7" s="388" t="str">
        <f>'ANA SAYFA'!O15</f>
        <v>27-07840</v>
      </c>
      <c r="P7" s="389"/>
      <c r="Q7" s="390"/>
      <c r="R7" s="11"/>
    </row>
    <row r="8" spans="1:22" x14ac:dyDescent="0.25">
      <c r="A8" s="10"/>
      <c r="B8" s="3"/>
      <c r="C8" s="4"/>
      <c r="D8" s="4"/>
      <c r="E8" s="4"/>
      <c r="F8" s="4"/>
      <c r="G8" s="4"/>
      <c r="H8" s="4"/>
      <c r="I8" s="4"/>
      <c r="J8" s="4"/>
      <c r="K8" s="4"/>
      <c r="L8" s="4"/>
      <c r="M8" s="4"/>
      <c r="N8" s="4"/>
      <c r="O8" s="4"/>
      <c r="P8" s="4"/>
      <c r="Q8" s="5"/>
      <c r="R8" s="11"/>
    </row>
    <row r="9" spans="1:22" ht="18.75" x14ac:dyDescent="0.25">
      <c r="A9" s="10"/>
      <c r="B9" s="402" t="s">
        <v>2</v>
      </c>
      <c r="C9" s="403"/>
      <c r="D9" s="403"/>
      <c r="E9" s="403"/>
      <c r="F9" s="403"/>
      <c r="G9" s="403"/>
      <c r="H9" s="403"/>
      <c r="I9" s="403"/>
      <c r="J9" s="404" t="str">
        <f>'KAPAK SAYFASI'!D54</f>
        <v>05.08.2026</v>
      </c>
      <c r="K9" s="404"/>
      <c r="L9" s="404"/>
      <c r="M9" s="404"/>
      <c r="N9" s="404"/>
      <c r="O9" s="404"/>
      <c r="P9" s="404"/>
      <c r="Q9" s="405"/>
      <c r="R9" s="11"/>
    </row>
    <row r="10" spans="1:22" x14ac:dyDescent="0.25">
      <c r="A10" s="10"/>
      <c r="B10" s="3"/>
      <c r="C10" s="4"/>
      <c r="D10" s="4"/>
      <c r="E10" s="4"/>
      <c r="F10" s="4"/>
      <c r="G10" s="4"/>
      <c r="H10" s="4"/>
      <c r="I10" s="4"/>
      <c r="J10" s="4"/>
      <c r="K10" s="4"/>
      <c r="L10" s="4"/>
      <c r="M10" s="4"/>
      <c r="N10" s="4"/>
      <c r="O10" s="4"/>
      <c r="P10" s="4"/>
      <c r="Q10" s="5"/>
      <c r="R10" s="11"/>
    </row>
    <row r="11" spans="1:22" x14ac:dyDescent="0.25">
      <c r="A11" s="10"/>
      <c r="B11" s="406" t="s">
        <v>3</v>
      </c>
      <c r="C11" s="407"/>
      <c r="D11" s="408" t="s">
        <v>191</v>
      </c>
      <c r="E11" s="409"/>
      <c r="F11" s="409"/>
      <c r="G11" s="410"/>
      <c r="H11" s="406" t="s">
        <v>4</v>
      </c>
      <c r="I11" s="407"/>
      <c r="J11" s="397" t="s">
        <v>5</v>
      </c>
      <c r="K11" s="401"/>
      <c r="L11" s="398"/>
      <c r="M11" s="397" t="s">
        <v>6</v>
      </c>
      <c r="N11" s="398"/>
      <c r="O11" s="397" t="s">
        <v>7</v>
      </c>
      <c r="P11" s="401"/>
      <c r="Q11" s="398"/>
      <c r="R11" s="11"/>
      <c r="U11" s="98"/>
    </row>
    <row r="12" spans="1:22" x14ac:dyDescent="0.25">
      <c r="A12" s="10"/>
      <c r="B12" s="3"/>
      <c r="C12" s="4"/>
      <c r="D12" s="4"/>
      <c r="E12" s="4"/>
      <c r="F12" s="4"/>
      <c r="G12" s="4"/>
      <c r="H12" s="4"/>
      <c r="I12" s="4"/>
      <c r="J12" s="4"/>
      <c r="K12" s="4"/>
      <c r="L12" s="4"/>
      <c r="M12" s="4"/>
      <c r="N12" s="4"/>
      <c r="O12" s="4"/>
      <c r="P12" s="4"/>
      <c r="Q12" s="5"/>
      <c r="R12" s="11"/>
      <c r="S12" s="98"/>
      <c r="U12" s="98"/>
    </row>
    <row r="13" spans="1:22" ht="18.75" x14ac:dyDescent="0.25">
      <c r="A13" s="10"/>
      <c r="B13" s="380" t="s">
        <v>8</v>
      </c>
      <c r="C13" s="381"/>
      <c r="D13" s="381"/>
      <c r="E13" s="381"/>
      <c r="F13" s="381"/>
      <c r="G13" s="381"/>
      <c r="H13" s="381"/>
      <c r="I13" s="381"/>
      <c r="J13" s="381"/>
      <c r="K13" s="381"/>
      <c r="L13" s="381"/>
      <c r="M13" s="381"/>
      <c r="N13" s="381"/>
      <c r="O13" s="381"/>
      <c r="P13" s="381"/>
      <c r="Q13" s="382"/>
      <c r="R13" s="11"/>
      <c r="V13">
        <f>'ANA SAYFA'!G13</f>
        <v>1000</v>
      </c>
    </row>
    <row r="14" spans="1:22" x14ac:dyDescent="0.25">
      <c r="A14" s="10"/>
      <c r="B14" s="3"/>
      <c r="C14" s="4"/>
      <c r="D14" s="4"/>
      <c r="E14" s="4"/>
      <c r="F14" s="4"/>
      <c r="G14" s="4"/>
      <c r="H14" s="4"/>
      <c r="I14" s="4"/>
      <c r="J14" s="4"/>
      <c r="K14" s="4"/>
      <c r="L14" s="4"/>
      <c r="M14" s="4"/>
      <c r="N14" s="4"/>
      <c r="O14" s="4"/>
      <c r="P14" s="4"/>
      <c r="Q14" s="5"/>
      <c r="R14" s="11"/>
      <c r="V14">
        <f>V13/59.75575286</f>
        <v>16.734790411608916</v>
      </c>
    </row>
    <row r="15" spans="1:22" ht="18.75" x14ac:dyDescent="0.25">
      <c r="A15" s="10"/>
      <c r="B15" s="355" t="s">
        <v>9</v>
      </c>
      <c r="C15" s="356"/>
      <c r="D15" s="356"/>
      <c r="E15" s="356"/>
      <c r="F15" s="356"/>
      <c r="G15" s="356"/>
      <c r="H15" s="356"/>
      <c r="I15" s="383"/>
      <c r="J15" s="386" t="s">
        <v>104</v>
      </c>
      <c r="K15" s="387"/>
      <c r="L15" s="387"/>
      <c r="M15" s="387"/>
      <c r="N15" s="387"/>
      <c r="O15" s="79">
        <f>'ANA SAYFA'!S11</f>
        <v>5</v>
      </c>
      <c r="P15" s="79"/>
      <c r="Q15" s="38"/>
      <c r="R15" s="11"/>
    </row>
    <row r="16" spans="1:22" x14ac:dyDescent="0.25">
      <c r="A16" s="10"/>
      <c r="B16" s="3"/>
      <c r="C16" s="4"/>
      <c r="D16" s="4"/>
      <c r="E16" s="4"/>
      <c r="F16" s="4"/>
      <c r="G16" s="4"/>
      <c r="H16" s="4"/>
      <c r="I16" s="4"/>
      <c r="J16" s="4"/>
      <c r="K16" s="4"/>
      <c r="L16" s="4"/>
      <c r="M16" s="4"/>
      <c r="N16" s="4"/>
      <c r="O16" s="4"/>
      <c r="P16" s="4"/>
      <c r="Q16" s="5"/>
      <c r="R16" s="11"/>
    </row>
    <row r="17" spans="1:22" x14ac:dyDescent="0.25">
      <c r="A17" s="10"/>
      <c r="B17" s="384" t="s">
        <v>10</v>
      </c>
      <c r="C17" s="385"/>
      <c r="D17" s="385"/>
      <c r="E17" s="385"/>
      <c r="F17" s="318"/>
      <c r="G17" s="318"/>
      <c r="H17" s="318"/>
      <c r="I17" s="318"/>
      <c r="J17" s="318"/>
      <c r="K17" s="318"/>
      <c r="L17" s="318"/>
      <c r="M17" s="318"/>
      <c r="N17" s="318"/>
      <c r="O17" s="318"/>
      <c r="P17" s="318"/>
      <c r="Q17" s="319"/>
      <c r="R17" s="11"/>
    </row>
    <row r="18" spans="1:22" x14ac:dyDescent="0.25">
      <c r="A18" s="10"/>
      <c r="B18" s="377" t="s">
        <v>12</v>
      </c>
      <c r="C18" s="318"/>
      <c r="D18" s="318"/>
      <c r="E18" s="318"/>
      <c r="F18" s="379" t="str">
        <f>'ANA SAYFA'!G19</f>
        <v>Dyn11</v>
      </c>
      <c r="G18" s="379"/>
      <c r="H18" s="379"/>
      <c r="I18" s="379"/>
      <c r="J18" s="318"/>
      <c r="K18" s="318"/>
      <c r="L18" s="318"/>
      <c r="M18" s="318"/>
      <c r="N18" s="318"/>
      <c r="O18" s="318"/>
      <c r="P18" s="318"/>
      <c r="Q18" s="319"/>
      <c r="R18" s="11"/>
    </row>
    <row r="19" spans="1:22" x14ac:dyDescent="0.25">
      <c r="A19" s="10"/>
      <c r="B19" s="377" t="s">
        <v>16</v>
      </c>
      <c r="C19" s="318"/>
      <c r="D19" s="318"/>
      <c r="E19" s="318"/>
      <c r="F19" s="318"/>
      <c r="G19" s="318"/>
      <c r="H19" s="318"/>
      <c r="I19" s="318"/>
      <c r="J19" s="318"/>
      <c r="K19" s="318"/>
      <c r="L19" s="318"/>
      <c r="M19" s="318"/>
      <c r="N19" s="318"/>
      <c r="O19" s="318"/>
      <c r="P19" s="318"/>
      <c r="Q19" s="319"/>
      <c r="R19" s="11"/>
    </row>
    <row r="20" spans="1:22" x14ac:dyDescent="0.25">
      <c r="A20" s="10"/>
      <c r="B20" s="377" t="s">
        <v>13</v>
      </c>
      <c r="C20" s="318"/>
      <c r="D20" s="318"/>
      <c r="E20" s="318"/>
      <c r="F20" s="378">
        <f>(K24+K25+K26)/3</f>
        <v>9.3645999999999994</v>
      </c>
      <c r="G20" s="318"/>
      <c r="H20" s="4" t="s">
        <v>30</v>
      </c>
      <c r="I20" s="4"/>
      <c r="J20" s="318"/>
      <c r="K20" s="318"/>
      <c r="L20" s="318"/>
      <c r="M20" s="318"/>
      <c r="N20" s="318"/>
      <c r="O20" s="318"/>
      <c r="P20" s="318"/>
      <c r="Q20" s="319"/>
      <c r="R20" s="11"/>
    </row>
    <row r="21" spans="1:22" x14ac:dyDescent="0.25">
      <c r="A21" s="10"/>
      <c r="B21" s="377" t="s">
        <v>14</v>
      </c>
      <c r="C21" s="318"/>
      <c r="D21" s="318"/>
      <c r="E21" s="318"/>
      <c r="F21" s="318" t="s">
        <v>141</v>
      </c>
      <c r="G21" s="318"/>
      <c r="H21" s="318"/>
      <c r="I21" s="318"/>
      <c r="J21" s="318"/>
      <c r="K21" s="318"/>
      <c r="L21" s="318"/>
      <c r="M21" s="318"/>
      <c r="N21" s="318"/>
      <c r="O21" s="318"/>
      <c r="P21" s="318"/>
      <c r="Q21" s="319"/>
      <c r="R21" s="11"/>
      <c r="T21" t="s">
        <v>21</v>
      </c>
      <c r="U21" s="150">
        <f>MAX(T32:T33)</f>
        <v>3.0176044698932399E-3</v>
      </c>
    </row>
    <row r="22" spans="1:22" x14ac:dyDescent="0.25">
      <c r="A22" s="10"/>
      <c r="B22" s="3"/>
      <c r="C22" s="4"/>
      <c r="D22" s="4"/>
      <c r="E22" s="4"/>
      <c r="F22" s="4"/>
      <c r="G22" s="4"/>
      <c r="H22" s="4"/>
      <c r="I22" s="4"/>
      <c r="J22" s="4"/>
      <c r="K22" s="4"/>
      <c r="L22" s="4"/>
      <c r="M22" s="4"/>
      <c r="N22" s="4"/>
      <c r="O22" s="4"/>
      <c r="P22" s="4"/>
      <c r="Q22" s="5"/>
      <c r="R22" s="11"/>
      <c r="T22" t="s">
        <v>22</v>
      </c>
      <c r="U22" s="150">
        <f>MAX(U32:U33)</f>
        <v>1.6577540106953133E-3</v>
      </c>
    </row>
    <row r="23" spans="1:22" x14ac:dyDescent="0.25">
      <c r="A23" s="10"/>
      <c r="B23" s="2"/>
      <c r="C23" s="376" t="s">
        <v>24</v>
      </c>
      <c r="D23" s="376"/>
      <c r="E23" s="374" t="s">
        <v>25</v>
      </c>
      <c r="F23" s="374"/>
      <c r="G23" s="374" t="s">
        <v>26</v>
      </c>
      <c r="H23" s="374"/>
      <c r="I23" s="374" t="s">
        <v>27</v>
      </c>
      <c r="J23" s="374"/>
      <c r="K23" s="374" t="s">
        <v>28</v>
      </c>
      <c r="L23" s="374"/>
      <c r="M23" s="374" t="s">
        <v>29</v>
      </c>
      <c r="N23" s="374"/>
      <c r="O23" s="374" t="s">
        <v>140</v>
      </c>
      <c r="P23" s="374"/>
      <c r="Q23" s="2"/>
      <c r="R23" s="11"/>
      <c r="T23" t="s">
        <v>23</v>
      </c>
      <c r="U23" s="150">
        <f>MAX(V32:V33)</f>
        <v>3.0267379679144138E-3</v>
      </c>
    </row>
    <row r="24" spans="1:22" x14ac:dyDescent="0.25">
      <c r="A24" s="10"/>
      <c r="B24" s="2" t="s">
        <v>21</v>
      </c>
      <c r="C24" s="370">
        <f>'ANA SAYFA'!B53</f>
        <v>2</v>
      </c>
      <c r="D24" s="375"/>
      <c r="E24" s="371">
        <f>C24</f>
        <v>2</v>
      </c>
      <c r="F24" s="372"/>
      <c r="G24" s="373">
        <f>(E24*K24)*0.98</f>
        <v>18.326000000000001</v>
      </c>
      <c r="H24" s="370"/>
      <c r="I24" s="370">
        <v>40</v>
      </c>
      <c r="J24" s="370"/>
      <c r="K24" s="370">
        <f>'ANA SAYFA'!C55</f>
        <v>9.35</v>
      </c>
      <c r="L24" s="370"/>
      <c r="M24" s="370">
        <f>F20</f>
        <v>9.3645999999999994</v>
      </c>
      <c r="N24" s="370"/>
      <c r="O24" s="369">
        <f>U21</f>
        <v>3.0176044698932399E-3</v>
      </c>
      <c r="P24" s="369"/>
      <c r="Q24" s="2">
        <f>IF(O24&gt;0.05,1,0)</f>
        <v>0</v>
      </c>
      <c r="R24" s="11"/>
      <c r="T24" t="s">
        <v>138</v>
      </c>
      <c r="U24" s="150">
        <v>0.05</v>
      </c>
    </row>
    <row r="25" spans="1:22" x14ac:dyDescent="0.25">
      <c r="A25" s="10"/>
      <c r="B25" s="2" t="s">
        <v>22</v>
      </c>
      <c r="C25" s="370">
        <f>'ANA SAYFA'!B53</f>
        <v>2</v>
      </c>
      <c r="D25" s="370"/>
      <c r="E25" s="371">
        <f t="shared" ref="E25:E26" si="0">C25</f>
        <v>2</v>
      </c>
      <c r="F25" s="372"/>
      <c r="G25" s="373">
        <f>(E25*K25)*0.98</f>
        <v>18.356380000000001</v>
      </c>
      <c r="H25" s="370"/>
      <c r="I25" s="370">
        <v>40</v>
      </c>
      <c r="J25" s="370"/>
      <c r="K25" s="370">
        <f>'ANA SAYFA'!C59</f>
        <v>9.3655000000000008</v>
      </c>
      <c r="L25" s="370"/>
      <c r="M25" s="370">
        <f>M24</f>
        <v>9.3645999999999994</v>
      </c>
      <c r="N25" s="370"/>
      <c r="O25" s="369">
        <f>U22</f>
        <v>1.6577540106953133E-3</v>
      </c>
      <c r="P25" s="369"/>
      <c r="Q25" s="152">
        <f>IF(O25&gt;0.05,1,0)</f>
        <v>0</v>
      </c>
      <c r="R25" s="11"/>
    </row>
    <row r="26" spans="1:22" x14ac:dyDescent="0.25">
      <c r="A26" s="10"/>
      <c r="B26" s="2" t="s">
        <v>23</v>
      </c>
      <c r="C26" s="370">
        <f>'ANA SAYFA'!B53</f>
        <v>2</v>
      </c>
      <c r="D26" s="370"/>
      <c r="E26" s="371">
        <f t="shared" si="0"/>
        <v>2</v>
      </c>
      <c r="F26" s="372"/>
      <c r="G26" s="373">
        <f>(E26*K26)*0.98</f>
        <v>18.381467999999998</v>
      </c>
      <c r="H26" s="370"/>
      <c r="I26" s="370">
        <v>40</v>
      </c>
      <c r="J26" s="370"/>
      <c r="K26" s="370">
        <f>'ANA SAYFA'!C57</f>
        <v>9.3782999999999994</v>
      </c>
      <c r="L26" s="370"/>
      <c r="M26" s="370">
        <f>M24</f>
        <v>9.3645999999999994</v>
      </c>
      <c r="N26" s="370"/>
      <c r="O26" s="369">
        <f>U23</f>
        <v>3.0267379679144138E-3</v>
      </c>
      <c r="P26" s="369"/>
      <c r="Q26" s="152">
        <f>IF(O26&gt;0.05,1,0)</f>
        <v>0</v>
      </c>
      <c r="R26" s="11"/>
    </row>
    <row r="27" spans="1:22" x14ac:dyDescent="0.25">
      <c r="A27" s="10"/>
      <c r="B27" s="18"/>
      <c r="C27" s="19"/>
      <c r="D27" s="19"/>
      <c r="E27" s="19"/>
      <c r="F27" s="19"/>
      <c r="G27" s="19"/>
      <c r="H27" s="19"/>
      <c r="I27" s="19"/>
      <c r="J27" s="19"/>
      <c r="K27" s="19"/>
      <c r="L27" s="19"/>
      <c r="M27" s="19"/>
      <c r="N27" s="19"/>
      <c r="O27" s="19"/>
      <c r="P27" s="19"/>
      <c r="Q27" s="20"/>
      <c r="R27" s="11"/>
    </row>
    <row r="28" spans="1:22" ht="18.75" x14ac:dyDescent="0.25">
      <c r="A28" s="10"/>
      <c r="B28" s="28"/>
      <c r="C28" s="26"/>
      <c r="D28" s="26"/>
      <c r="E28" s="26"/>
      <c r="F28" s="26"/>
      <c r="G28" s="26"/>
      <c r="H28" s="26"/>
      <c r="I28" s="26"/>
      <c r="J28" s="26"/>
      <c r="K28" s="26"/>
      <c r="L28" s="26"/>
      <c r="M28" s="26"/>
      <c r="N28" s="26"/>
      <c r="O28" s="26"/>
      <c r="P28" s="26"/>
      <c r="Q28" s="29"/>
      <c r="R28" s="11"/>
    </row>
    <row r="29" spans="1:22" x14ac:dyDescent="0.25">
      <c r="A29" s="10"/>
      <c r="B29" s="3"/>
      <c r="C29" s="4"/>
      <c r="D29" s="4"/>
      <c r="E29" s="4"/>
      <c r="F29" s="4"/>
      <c r="G29" s="4"/>
      <c r="H29" s="4"/>
      <c r="I29" s="4"/>
      <c r="J29" s="4"/>
      <c r="K29" s="4"/>
      <c r="L29" s="4"/>
      <c r="M29" s="4"/>
      <c r="N29" s="4"/>
      <c r="O29" s="4"/>
      <c r="P29" s="4"/>
      <c r="Q29" s="5"/>
      <c r="R29" s="11"/>
    </row>
    <row r="30" spans="1:22" x14ac:dyDescent="0.25">
      <c r="A30" s="10"/>
      <c r="B30" s="24"/>
      <c r="C30" s="25"/>
      <c r="D30" s="25"/>
      <c r="E30" s="25"/>
      <c r="F30" s="4"/>
      <c r="G30" s="4"/>
      <c r="H30" s="4"/>
      <c r="I30" s="4"/>
      <c r="J30" s="4"/>
      <c r="K30" s="4"/>
      <c r="L30" s="4"/>
      <c r="M30" s="4"/>
      <c r="N30" s="4"/>
      <c r="O30" s="4"/>
      <c r="P30" s="4"/>
      <c r="Q30" s="5"/>
      <c r="R30" s="11"/>
    </row>
    <row r="31" spans="1:22" x14ac:dyDescent="0.25">
      <c r="A31" s="10"/>
      <c r="B31" s="3"/>
      <c r="C31" s="4"/>
      <c r="D31" s="4"/>
      <c r="E31" s="4"/>
      <c r="F31" s="4"/>
      <c r="G31" s="4"/>
      <c r="H31" s="4"/>
      <c r="I31" s="4"/>
      <c r="J31" s="4"/>
      <c r="K31" s="4"/>
      <c r="L31" s="4"/>
      <c r="M31" s="4"/>
      <c r="N31" s="4"/>
      <c r="O31" s="4"/>
      <c r="P31" s="4"/>
      <c r="Q31" s="5"/>
      <c r="R31" s="11"/>
    </row>
    <row r="32" spans="1:22" x14ac:dyDescent="0.25">
      <c r="A32" s="10"/>
      <c r="B32" s="3"/>
      <c r="C32" s="4"/>
      <c r="D32" s="4"/>
      <c r="E32" s="4"/>
      <c r="F32" s="4"/>
      <c r="G32" s="4"/>
      <c r="H32" s="4"/>
      <c r="I32" s="4"/>
      <c r="J32" s="4"/>
      <c r="K32" s="4"/>
      <c r="L32" s="4"/>
      <c r="M32" s="4"/>
      <c r="N32" s="4"/>
      <c r="O32" s="4"/>
      <c r="P32" s="4"/>
      <c r="Q32" s="5"/>
      <c r="R32" s="11"/>
      <c r="T32">
        <f>SQRT((K24-K25)^2)/K25</f>
        <v>1.6550104105494824E-3</v>
      </c>
      <c r="U32" s="148">
        <f>SQRT((K24-K25)^2)/K24</f>
        <v>1.6577540106953133E-3</v>
      </c>
      <c r="V32" s="148">
        <f>SQRT((K26-K24)^2)/K24</f>
        <v>3.0267379679144138E-3</v>
      </c>
    </row>
    <row r="33" spans="1:22" x14ac:dyDescent="0.25">
      <c r="A33" s="10"/>
      <c r="B33" s="3"/>
      <c r="C33" s="4"/>
      <c r="D33" s="4"/>
      <c r="E33" s="4"/>
      <c r="F33" s="23"/>
      <c r="G33" s="4"/>
      <c r="H33" s="4"/>
      <c r="I33" s="4"/>
      <c r="J33" s="4"/>
      <c r="K33" s="4"/>
      <c r="L33" s="4"/>
      <c r="M33" s="4"/>
      <c r="N33" s="4"/>
      <c r="O33" s="4"/>
      <c r="P33" s="4"/>
      <c r="Q33" s="5"/>
      <c r="R33" s="11"/>
      <c r="T33" s="148">
        <f>SQRT((K26-K24)^2)/K26</f>
        <v>3.0176044698932399E-3</v>
      </c>
      <c r="U33" s="148">
        <f>SQRT((K25-K26)^2)/K26</f>
        <v>1.3648529051105841E-3</v>
      </c>
      <c r="V33" s="148">
        <f>SQRT((K26-K25)^2)/K25</f>
        <v>1.3667182745180277E-3</v>
      </c>
    </row>
    <row r="34" spans="1:22" x14ac:dyDescent="0.25">
      <c r="A34" s="10"/>
      <c r="B34" s="3"/>
      <c r="C34" s="4"/>
      <c r="D34" s="4"/>
      <c r="E34" s="4"/>
      <c r="F34" s="4"/>
      <c r="G34" s="4"/>
      <c r="H34" s="4"/>
      <c r="I34" s="4"/>
      <c r="J34" s="4"/>
      <c r="K34" s="4"/>
      <c r="L34" s="4"/>
      <c r="M34" s="4"/>
      <c r="N34" s="4"/>
      <c r="O34" s="4"/>
      <c r="P34" s="4"/>
      <c r="Q34" s="5"/>
      <c r="R34" s="11"/>
      <c r="T34" s="148"/>
    </row>
    <row r="35" spans="1:22" x14ac:dyDescent="0.25">
      <c r="A35" s="10"/>
      <c r="B35" s="3"/>
      <c r="C35" s="4"/>
      <c r="D35" s="4"/>
      <c r="E35" s="4"/>
      <c r="F35" s="4"/>
      <c r="G35" s="4"/>
      <c r="H35" s="4"/>
      <c r="I35" s="4"/>
      <c r="J35" s="4"/>
      <c r="K35" s="4"/>
      <c r="L35" s="4"/>
      <c r="M35" s="4"/>
      <c r="N35" s="4"/>
      <c r="O35" s="4"/>
      <c r="P35" s="4"/>
      <c r="Q35" s="5"/>
      <c r="R35" s="11"/>
      <c r="T35" s="148"/>
    </row>
    <row r="36" spans="1:22" x14ac:dyDescent="0.25">
      <c r="A36" s="10"/>
      <c r="B36" s="3"/>
      <c r="C36" s="4"/>
      <c r="D36" s="4"/>
      <c r="E36" s="4"/>
      <c r="F36" s="4"/>
      <c r="G36" s="4"/>
      <c r="H36" s="4"/>
      <c r="I36" s="4"/>
      <c r="J36" s="4"/>
      <c r="K36" s="4"/>
      <c r="L36" s="4"/>
      <c r="M36" s="4"/>
      <c r="N36" s="4"/>
      <c r="O36" s="4"/>
      <c r="P36" s="4"/>
      <c r="Q36" s="5"/>
      <c r="R36" s="11"/>
      <c r="T36" s="148"/>
    </row>
    <row r="37" spans="1:22" x14ac:dyDescent="0.25">
      <c r="A37" s="10"/>
      <c r="B37" s="6"/>
      <c r="C37" s="27"/>
      <c r="D37" s="27"/>
      <c r="E37" s="4"/>
      <c r="F37" s="4"/>
      <c r="G37" s="4"/>
      <c r="H37" s="4"/>
      <c r="I37" s="4"/>
      <c r="J37" s="4"/>
      <c r="K37" s="4"/>
      <c r="L37" s="4"/>
      <c r="M37" s="4"/>
      <c r="N37" s="4"/>
      <c r="O37" s="4"/>
      <c r="P37" s="4"/>
      <c r="Q37" s="7"/>
      <c r="R37" s="11"/>
      <c r="T37" s="148"/>
    </row>
    <row r="38" spans="1:22" x14ac:dyDescent="0.25">
      <c r="A38" s="10"/>
      <c r="B38" s="6"/>
      <c r="C38" s="23"/>
      <c r="D38" s="23"/>
      <c r="E38" s="23"/>
      <c r="F38" s="23"/>
      <c r="G38" s="23"/>
      <c r="H38" s="23"/>
      <c r="I38" s="23"/>
      <c r="J38" s="23"/>
      <c r="K38" s="23"/>
      <c r="L38" s="23"/>
      <c r="M38" s="23"/>
      <c r="N38" s="23"/>
      <c r="O38" s="23"/>
      <c r="P38" s="23"/>
      <c r="Q38" s="7"/>
      <c r="R38" s="11"/>
      <c r="T38" s="148"/>
    </row>
    <row r="39" spans="1:22" ht="15.75" x14ac:dyDescent="0.25">
      <c r="A39" s="10"/>
      <c r="B39" s="357" t="s">
        <v>31</v>
      </c>
      <c r="C39" s="358"/>
      <c r="D39" s="359" t="s">
        <v>173</v>
      </c>
      <c r="E39" s="359"/>
      <c r="F39" s="359"/>
      <c r="G39" s="359"/>
      <c r="H39" s="359"/>
      <c r="I39" s="359"/>
      <c r="J39" s="359"/>
      <c r="K39" s="359"/>
      <c r="L39" s="359"/>
      <c r="M39" s="359"/>
      <c r="N39" s="359"/>
      <c r="O39" s="359"/>
      <c r="P39" s="359"/>
      <c r="Q39" s="360"/>
      <c r="R39" s="11"/>
      <c r="T39" s="148"/>
    </row>
    <row r="40" spans="1:22" x14ac:dyDescent="0.25">
      <c r="A40" s="10"/>
      <c r="B40" s="6"/>
      <c r="C40" s="23"/>
      <c r="D40" s="361"/>
      <c r="E40" s="361"/>
      <c r="F40" s="361"/>
      <c r="G40" s="361"/>
      <c r="H40" s="361"/>
      <c r="I40" s="361"/>
      <c r="J40" s="361"/>
      <c r="K40" s="361"/>
      <c r="L40" s="361"/>
      <c r="M40" s="361"/>
      <c r="N40" s="361"/>
      <c r="O40" s="361"/>
      <c r="P40" s="361"/>
      <c r="Q40" s="362"/>
      <c r="R40" s="11"/>
    </row>
    <row r="41" spans="1:22" x14ac:dyDescent="0.25">
      <c r="A41" s="10"/>
      <c r="B41" s="3"/>
      <c r="C41" s="4"/>
      <c r="D41" s="361"/>
      <c r="E41" s="361"/>
      <c r="F41" s="361"/>
      <c r="G41" s="361"/>
      <c r="H41" s="361"/>
      <c r="I41" s="361"/>
      <c r="J41" s="361"/>
      <c r="K41" s="361"/>
      <c r="L41" s="361"/>
      <c r="M41" s="361"/>
      <c r="N41" s="361"/>
      <c r="O41" s="361"/>
      <c r="P41" s="361"/>
      <c r="Q41" s="362"/>
      <c r="R41" s="11"/>
    </row>
    <row r="42" spans="1:22" x14ac:dyDescent="0.25">
      <c r="A42" s="10"/>
      <c r="B42" s="3"/>
      <c r="C42" s="4"/>
      <c r="D42" s="361"/>
      <c r="E42" s="361"/>
      <c r="F42" s="361"/>
      <c r="G42" s="361"/>
      <c r="H42" s="361"/>
      <c r="I42" s="361"/>
      <c r="J42" s="361"/>
      <c r="K42" s="361"/>
      <c r="L42" s="361"/>
      <c r="M42" s="361"/>
      <c r="N42" s="361"/>
      <c r="O42" s="361"/>
      <c r="P42" s="361"/>
      <c r="Q42" s="362"/>
      <c r="R42" s="11"/>
    </row>
    <row r="43" spans="1:22" x14ac:dyDescent="0.25">
      <c r="A43" s="10"/>
      <c r="B43" s="8"/>
      <c r="C43" s="1"/>
      <c r="D43" s="1"/>
      <c r="E43" s="1"/>
      <c r="F43" s="1"/>
      <c r="G43" s="1"/>
      <c r="H43" s="1"/>
      <c r="I43" s="1"/>
      <c r="J43" s="1"/>
      <c r="K43" s="1"/>
      <c r="L43" s="1"/>
      <c r="M43" s="1"/>
      <c r="N43" s="1"/>
      <c r="O43" s="1"/>
      <c r="P43" s="1"/>
      <c r="Q43" s="9"/>
      <c r="R43" s="11"/>
    </row>
    <row r="44" spans="1:22" x14ac:dyDescent="0.25">
      <c r="A44" s="10"/>
      <c r="B44" s="8"/>
      <c r="C44" s="1"/>
      <c r="D44" s="1"/>
      <c r="E44" s="1"/>
      <c r="F44" s="1"/>
      <c r="G44" s="1"/>
      <c r="H44" s="1"/>
      <c r="I44" s="1"/>
      <c r="J44" s="21"/>
      <c r="K44" s="21"/>
      <c r="L44" s="21"/>
      <c r="M44" s="21"/>
      <c r="N44" s="21"/>
      <c r="O44" s="21"/>
      <c r="P44" s="21"/>
      <c r="Q44" s="22"/>
      <c r="R44" s="11"/>
    </row>
    <row r="45" spans="1:22" ht="22.5" customHeight="1" x14ac:dyDescent="0.25">
      <c r="A45" s="10"/>
      <c r="B45" s="355"/>
      <c r="C45" s="356"/>
      <c r="D45" s="356"/>
      <c r="E45" s="79"/>
      <c r="F45" s="363"/>
      <c r="G45" s="363"/>
      <c r="H45" s="363"/>
      <c r="I45" s="364"/>
      <c r="J45" s="289" t="s">
        <v>142</v>
      </c>
      <c r="K45" s="289"/>
      <c r="L45" s="289"/>
      <c r="M45" s="289"/>
      <c r="N45" s="289"/>
      <c r="O45" s="289"/>
      <c r="P45" s="289"/>
      <c r="Q45" s="290"/>
      <c r="R45" s="11"/>
    </row>
    <row r="46" spans="1:22" ht="22.5" customHeight="1" x14ac:dyDescent="0.25">
      <c r="A46" s="10"/>
      <c r="B46" s="365" t="s">
        <v>167</v>
      </c>
      <c r="C46" s="366"/>
      <c r="D46" s="366"/>
      <c r="E46" s="134" t="s">
        <v>20</v>
      </c>
      <c r="F46" s="367" t="s">
        <v>190</v>
      </c>
      <c r="G46" s="367"/>
      <c r="H46" s="367"/>
      <c r="I46" s="368"/>
      <c r="J46" s="54"/>
      <c r="K46" s="54"/>
      <c r="L46" s="134"/>
      <c r="M46" s="134"/>
      <c r="N46" s="134"/>
      <c r="O46" s="134"/>
      <c r="P46" s="134"/>
      <c r="Q46" s="135"/>
      <c r="R46" s="11"/>
    </row>
    <row r="47" spans="1:22" ht="22.5" customHeight="1" x14ac:dyDescent="0.25">
      <c r="A47" s="10"/>
      <c r="B47" s="351" t="s">
        <v>179</v>
      </c>
      <c r="C47" s="352"/>
      <c r="D47" s="352"/>
      <c r="E47" s="134" t="s">
        <v>20</v>
      </c>
      <c r="F47" s="353" t="str">
        <f>'KAPAK SAYFASI'!D53</f>
        <v>05.08.2026</v>
      </c>
      <c r="G47" s="352"/>
      <c r="H47" s="352"/>
      <c r="I47" s="354"/>
      <c r="J47" s="54"/>
      <c r="K47" s="54"/>
      <c r="L47" s="134"/>
      <c r="M47" s="134"/>
      <c r="N47" s="134"/>
      <c r="O47" s="134"/>
      <c r="P47" s="134"/>
      <c r="Q47" s="135"/>
      <c r="R47" s="11"/>
    </row>
    <row r="48" spans="1:22" ht="22.5" customHeight="1" x14ac:dyDescent="0.25">
      <c r="A48" s="10"/>
      <c r="B48" s="233"/>
      <c r="C48" s="234"/>
      <c r="D48" s="234"/>
      <c r="E48" s="234"/>
      <c r="F48" s="234"/>
      <c r="G48" s="234"/>
      <c r="H48" s="234"/>
      <c r="I48" s="235"/>
      <c r="J48" s="139"/>
      <c r="K48" s="139"/>
      <c r="L48" s="139"/>
      <c r="M48" s="139"/>
      <c r="N48" s="139"/>
      <c r="O48" s="139"/>
      <c r="P48" s="139"/>
      <c r="Q48" s="136"/>
      <c r="R48" s="11"/>
    </row>
    <row r="49" spans="1:18" ht="15.75" thickBot="1" x14ac:dyDescent="0.3">
      <c r="A49" s="15"/>
      <c r="B49" s="16"/>
      <c r="C49" s="16"/>
      <c r="D49" s="16"/>
      <c r="E49" s="16"/>
      <c r="F49" s="16"/>
      <c r="G49" s="16"/>
      <c r="H49" s="16"/>
      <c r="I49" s="16"/>
      <c r="J49" s="16"/>
      <c r="K49" s="16"/>
      <c r="L49" s="16"/>
      <c r="M49" s="16"/>
      <c r="N49" s="16"/>
      <c r="O49" s="16"/>
      <c r="P49" s="16"/>
      <c r="Q49" s="16"/>
      <c r="R49" s="17"/>
    </row>
  </sheetData>
  <mergeCells count="79">
    <mergeCell ref="B9:I9"/>
    <mergeCell ref="J9:Q9"/>
    <mergeCell ref="B11:C11"/>
    <mergeCell ref="D11:G11"/>
    <mergeCell ref="H11:I11"/>
    <mergeCell ref="J11:L11"/>
    <mergeCell ref="M11:N11"/>
    <mergeCell ref="O11:Q11"/>
    <mergeCell ref="B5:Q5"/>
    <mergeCell ref="O7:Q7"/>
    <mergeCell ref="G2:H2"/>
    <mergeCell ref="G3:H3"/>
    <mergeCell ref="J2:Q2"/>
    <mergeCell ref="J3:Q3"/>
    <mergeCell ref="B7:C7"/>
    <mergeCell ref="D7:F7"/>
    <mergeCell ref="G7:H7"/>
    <mergeCell ref="I7:K7"/>
    <mergeCell ref="L7:N7"/>
    <mergeCell ref="B13:Q13"/>
    <mergeCell ref="B15:I15"/>
    <mergeCell ref="B17:E17"/>
    <mergeCell ref="F17:I17"/>
    <mergeCell ref="J17:M17"/>
    <mergeCell ref="N17:Q17"/>
    <mergeCell ref="J15:N15"/>
    <mergeCell ref="B18:E18"/>
    <mergeCell ref="F18:I18"/>
    <mergeCell ref="J18:M18"/>
    <mergeCell ref="N18:Q18"/>
    <mergeCell ref="B19:E19"/>
    <mergeCell ref="F19:I19"/>
    <mergeCell ref="J19:M19"/>
    <mergeCell ref="N19:Q19"/>
    <mergeCell ref="B20:E20"/>
    <mergeCell ref="F20:G20"/>
    <mergeCell ref="J20:M20"/>
    <mergeCell ref="N20:Q20"/>
    <mergeCell ref="B21:E21"/>
    <mergeCell ref="F21:I21"/>
    <mergeCell ref="J21:M21"/>
    <mergeCell ref="N21:Q21"/>
    <mergeCell ref="O23:P23"/>
    <mergeCell ref="C24:D24"/>
    <mergeCell ref="E24:F24"/>
    <mergeCell ref="G24:H24"/>
    <mergeCell ref="I24:J24"/>
    <mergeCell ref="K24:L24"/>
    <mergeCell ref="M24:N24"/>
    <mergeCell ref="O24:P24"/>
    <mergeCell ref="C23:D23"/>
    <mergeCell ref="E23:F23"/>
    <mergeCell ref="G23:H23"/>
    <mergeCell ref="I23:J23"/>
    <mergeCell ref="K23:L23"/>
    <mergeCell ref="M23:N23"/>
    <mergeCell ref="O25:P25"/>
    <mergeCell ref="C26:D26"/>
    <mergeCell ref="E26:F26"/>
    <mergeCell ref="G26:H26"/>
    <mergeCell ref="I26:J26"/>
    <mergeCell ref="K26:L26"/>
    <mergeCell ref="M26:N26"/>
    <mergeCell ref="O26:P26"/>
    <mergeCell ref="C25:D25"/>
    <mergeCell ref="E25:F25"/>
    <mergeCell ref="G25:H25"/>
    <mergeCell ref="I25:J25"/>
    <mergeCell ref="K25:L25"/>
    <mergeCell ref="M25:N25"/>
    <mergeCell ref="B47:D47"/>
    <mergeCell ref="F47:I47"/>
    <mergeCell ref="B45:D45"/>
    <mergeCell ref="B39:C39"/>
    <mergeCell ref="D39:Q42"/>
    <mergeCell ref="F45:I45"/>
    <mergeCell ref="B46:D46"/>
    <mergeCell ref="F46:I46"/>
    <mergeCell ref="J45:Q45"/>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4" right="0.23622047244094488" top="0.3543307086614173" bottom="0.3543307086614173" header="0" footer="0"/>
  <pageSetup paperSize="9" scale="9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7">
    <pageSetUpPr fitToPage="1"/>
  </sheetPr>
  <dimension ref="A1:V49"/>
  <sheetViews>
    <sheetView topLeftCell="A4" workbookViewId="0">
      <selection activeCell="J10" sqref="J10"/>
    </sheetView>
  </sheetViews>
  <sheetFormatPr defaultRowHeight="15" x14ac:dyDescent="0.25"/>
  <cols>
    <col min="1" max="1" width="3.5703125" customWidth="1"/>
    <col min="2" max="17" width="5.5703125" customWidth="1"/>
    <col min="18" max="18" width="3.5703125" customWidth="1"/>
  </cols>
  <sheetData>
    <row r="1" spans="1:22" x14ac:dyDescent="0.25">
      <c r="A1" s="12"/>
      <c r="B1" s="13"/>
      <c r="C1" s="13"/>
      <c r="D1" s="13"/>
      <c r="E1" s="13"/>
      <c r="F1" s="13"/>
      <c r="G1" s="13"/>
      <c r="H1" s="13"/>
      <c r="I1" s="13"/>
      <c r="J1" s="13"/>
      <c r="K1" s="13"/>
      <c r="L1" s="13"/>
      <c r="M1" s="13"/>
      <c r="N1" s="13"/>
      <c r="O1" s="13"/>
      <c r="P1" s="13"/>
      <c r="Q1" s="13"/>
      <c r="R1" s="14"/>
    </row>
    <row r="2" spans="1:22" ht="29.25" customHeight="1" x14ac:dyDescent="0.25">
      <c r="A2" s="10"/>
      <c r="B2" s="46"/>
      <c r="C2" s="47"/>
      <c r="D2" s="47"/>
      <c r="E2" s="47"/>
      <c r="F2" s="211"/>
      <c r="G2" s="298" t="s">
        <v>18</v>
      </c>
      <c r="H2" s="299"/>
      <c r="I2" s="142" t="s">
        <v>20</v>
      </c>
      <c r="J2" s="393" t="str">
        <f>'ANA SAYFA'!K2</f>
        <v>OK AMBALAJ</v>
      </c>
      <c r="K2" s="393"/>
      <c r="L2" s="393"/>
      <c r="M2" s="393"/>
      <c r="N2" s="393"/>
      <c r="O2" s="393"/>
      <c r="P2" s="393"/>
      <c r="Q2" s="394"/>
      <c r="R2" s="11"/>
    </row>
    <row r="3" spans="1:22" ht="29.25" customHeight="1" x14ac:dyDescent="0.25">
      <c r="A3" s="10"/>
      <c r="B3" s="49"/>
      <c r="C3" s="50"/>
      <c r="D3" s="50"/>
      <c r="E3" s="50"/>
      <c r="F3" s="213"/>
      <c r="G3" s="391" t="s">
        <v>19</v>
      </c>
      <c r="H3" s="392"/>
      <c r="I3" s="141" t="s">
        <v>20</v>
      </c>
      <c r="J3" s="395" t="str">
        <f>'ANA SAYFA'!K5</f>
        <v>TR-1</v>
      </c>
      <c r="K3" s="395"/>
      <c r="L3" s="395"/>
      <c r="M3" s="395"/>
      <c r="N3" s="395"/>
      <c r="O3" s="395"/>
      <c r="P3" s="395"/>
      <c r="Q3" s="396"/>
      <c r="R3" s="11"/>
    </row>
    <row r="4" spans="1:22" x14ac:dyDescent="0.25">
      <c r="A4" s="10"/>
      <c r="B4" s="3"/>
      <c r="C4" s="4"/>
      <c r="D4" s="4"/>
      <c r="E4" s="4"/>
      <c r="F4" s="4"/>
      <c r="G4" s="4"/>
      <c r="H4" s="4"/>
      <c r="I4" s="4"/>
      <c r="J4" s="4"/>
      <c r="K4" s="4"/>
      <c r="L4" s="4"/>
      <c r="M4" s="4"/>
      <c r="N4" s="4"/>
      <c r="O4" s="4"/>
      <c r="P4" s="4"/>
      <c r="Q4" s="5"/>
      <c r="R4" s="11"/>
    </row>
    <row r="5" spans="1:22" ht="18.75" x14ac:dyDescent="0.25">
      <c r="A5" s="10"/>
      <c r="B5" s="288" t="s">
        <v>158</v>
      </c>
      <c r="C5" s="289"/>
      <c r="D5" s="289"/>
      <c r="E5" s="289"/>
      <c r="F5" s="289"/>
      <c r="G5" s="289"/>
      <c r="H5" s="289"/>
      <c r="I5" s="289"/>
      <c r="J5" s="289"/>
      <c r="K5" s="289"/>
      <c r="L5" s="289"/>
      <c r="M5" s="289"/>
      <c r="N5" s="289"/>
      <c r="O5" s="289"/>
      <c r="P5" s="289"/>
      <c r="Q5" s="290"/>
      <c r="R5" s="11"/>
    </row>
    <row r="6" spans="1:22" x14ac:dyDescent="0.25">
      <c r="A6" s="10"/>
      <c r="B6" s="3"/>
      <c r="C6" s="4"/>
      <c r="D6" s="4"/>
      <c r="E6" s="4"/>
      <c r="F6" s="4"/>
      <c r="G6" s="4"/>
      <c r="H6" s="4"/>
      <c r="I6" s="4"/>
      <c r="J6" s="4"/>
      <c r="K6" s="4"/>
      <c r="L6" s="4"/>
      <c r="M6" s="4"/>
      <c r="N6" s="4"/>
      <c r="O6" s="4"/>
      <c r="P6" s="4"/>
      <c r="Q6" s="5"/>
      <c r="R6" s="11"/>
    </row>
    <row r="7" spans="1:22" x14ac:dyDescent="0.25">
      <c r="A7" s="10"/>
      <c r="B7" s="374" t="s">
        <v>0</v>
      </c>
      <c r="C7" s="374"/>
      <c r="D7" s="374" t="str">
        <f>'OG SARGI MEVCUT KADEME'!D7:F7</f>
        <v>ASTOR</v>
      </c>
      <c r="E7" s="374"/>
      <c r="F7" s="374"/>
      <c r="G7" s="418" t="s">
        <v>1</v>
      </c>
      <c r="H7" s="418"/>
      <c r="I7" s="418" t="str">
        <f>'OG SARGI MEVCUT KADEME'!I7:K7</f>
        <v>2017</v>
      </c>
      <c r="J7" s="374"/>
      <c r="K7" s="374"/>
      <c r="L7" s="374" t="s">
        <v>17</v>
      </c>
      <c r="M7" s="374"/>
      <c r="N7" s="374"/>
      <c r="O7" s="418" t="str">
        <f>'OG SARGI MEVCUT KADEME'!O7:Q7</f>
        <v>27-07840</v>
      </c>
      <c r="P7" s="374"/>
      <c r="Q7" s="374"/>
      <c r="R7" s="11"/>
    </row>
    <row r="8" spans="1:22" x14ac:dyDescent="0.25">
      <c r="A8" s="10"/>
      <c r="B8" s="3"/>
      <c r="C8" s="4"/>
      <c r="D8" s="4"/>
      <c r="E8" s="4"/>
      <c r="F8" s="4"/>
      <c r="G8" s="4"/>
      <c r="H8" s="4"/>
      <c r="I8" s="4"/>
      <c r="J8" s="4"/>
      <c r="K8" s="4"/>
      <c r="L8" s="4"/>
      <c r="M8" s="4"/>
      <c r="N8" s="4"/>
      <c r="O8" s="4"/>
      <c r="P8" s="4"/>
      <c r="Q8" s="5"/>
      <c r="R8" s="11"/>
    </row>
    <row r="9" spans="1:22" ht="18.75" x14ac:dyDescent="0.25">
      <c r="A9" s="10"/>
      <c r="B9" s="402" t="s">
        <v>2</v>
      </c>
      <c r="C9" s="403"/>
      <c r="D9" s="403"/>
      <c r="E9" s="403"/>
      <c r="F9" s="403"/>
      <c r="G9" s="403"/>
      <c r="H9" s="403"/>
      <c r="I9" s="403"/>
      <c r="J9" s="404" t="str">
        <f>'KAPAK SAYFASI'!D54</f>
        <v>05.08.2026</v>
      </c>
      <c r="K9" s="404"/>
      <c r="L9" s="404"/>
      <c r="M9" s="404"/>
      <c r="N9" s="404"/>
      <c r="O9" s="404"/>
      <c r="P9" s="404"/>
      <c r="Q9" s="405"/>
      <c r="R9" s="11"/>
    </row>
    <row r="10" spans="1:22" x14ac:dyDescent="0.25">
      <c r="A10" s="10"/>
      <c r="B10" s="3"/>
      <c r="C10" s="4"/>
      <c r="D10" s="4"/>
      <c r="E10" s="4"/>
      <c r="F10" s="4"/>
      <c r="G10" s="4"/>
      <c r="H10" s="4"/>
      <c r="I10" s="4"/>
      <c r="J10" s="4"/>
      <c r="K10" s="4"/>
      <c r="L10" s="4"/>
      <c r="M10" s="4"/>
      <c r="N10" s="4"/>
      <c r="O10" s="4"/>
      <c r="P10" s="4"/>
      <c r="Q10" s="5"/>
      <c r="R10" s="11"/>
    </row>
    <row r="11" spans="1:22" x14ac:dyDescent="0.25">
      <c r="A11" s="10"/>
      <c r="B11" s="421" t="s">
        <v>3</v>
      </c>
      <c r="C11" s="421"/>
      <c r="D11" s="422" t="str">
        <f>'OG SARGI MEVCUT KADEME'!D11</f>
        <v>Hilmi GÜL</v>
      </c>
      <c r="E11" s="422"/>
      <c r="F11" s="422"/>
      <c r="G11" s="422"/>
      <c r="H11" s="421" t="s">
        <v>4</v>
      </c>
      <c r="I11" s="421"/>
      <c r="J11" s="374" t="s">
        <v>5</v>
      </c>
      <c r="K11" s="374"/>
      <c r="L11" s="374"/>
      <c r="M11" s="374" t="s">
        <v>6</v>
      </c>
      <c r="N11" s="374"/>
      <c r="O11" s="397" t="s">
        <v>7</v>
      </c>
      <c r="P11" s="401"/>
      <c r="Q11" s="398"/>
      <c r="R11" s="11"/>
    </row>
    <row r="12" spans="1:22" x14ac:dyDescent="0.25">
      <c r="A12" s="10"/>
      <c r="B12" s="3"/>
      <c r="C12" s="4"/>
      <c r="D12" s="4"/>
      <c r="E12" s="4"/>
      <c r="F12" s="4"/>
      <c r="G12" s="4"/>
      <c r="H12" s="4"/>
      <c r="I12" s="4"/>
      <c r="J12" s="4"/>
      <c r="K12" s="4"/>
      <c r="L12" s="4"/>
      <c r="M12" s="4"/>
      <c r="N12" s="4"/>
      <c r="O12" s="4"/>
      <c r="P12" s="4"/>
      <c r="Q12" s="5"/>
      <c r="R12" s="11"/>
    </row>
    <row r="13" spans="1:22" ht="18.75" x14ac:dyDescent="0.25">
      <c r="A13" s="10"/>
      <c r="B13" s="420" t="s">
        <v>8</v>
      </c>
      <c r="C13" s="420"/>
      <c r="D13" s="420"/>
      <c r="E13" s="420"/>
      <c r="F13" s="420"/>
      <c r="G13" s="420"/>
      <c r="H13" s="420"/>
      <c r="I13" s="420"/>
      <c r="J13" s="420"/>
      <c r="K13" s="420"/>
      <c r="L13" s="420"/>
      <c r="M13" s="420"/>
      <c r="N13" s="420"/>
      <c r="O13" s="420"/>
      <c r="P13" s="420"/>
      <c r="Q13" s="420"/>
      <c r="R13" s="11"/>
      <c r="V13" s="149">
        <f>'ANA SAYFA'!G13</f>
        <v>1000</v>
      </c>
    </row>
    <row r="14" spans="1:22" x14ac:dyDescent="0.25">
      <c r="A14" s="10"/>
      <c r="B14" s="3"/>
      <c r="C14" s="4"/>
      <c r="D14" s="4"/>
      <c r="E14" s="4"/>
      <c r="F14" s="4"/>
      <c r="G14" s="4"/>
      <c r="H14" s="4"/>
      <c r="I14" s="4"/>
      <c r="J14" s="4"/>
      <c r="K14" s="4"/>
      <c r="L14" s="4"/>
      <c r="M14" s="4"/>
      <c r="N14" s="4"/>
      <c r="O14" s="4"/>
      <c r="P14" s="4"/>
      <c r="Q14" s="5"/>
      <c r="R14" s="11"/>
      <c r="V14" s="149">
        <f>V13/0.69282</f>
        <v>1443.3763459484426</v>
      </c>
    </row>
    <row r="15" spans="1:22" ht="18.75" x14ac:dyDescent="0.25">
      <c r="A15" s="10"/>
      <c r="B15" s="419" t="s">
        <v>9</v>
      </c>
      <c r="C15" s="419"/>
      <c r="D15" s="419"/>
      <c r="E15" s="419"/>
      <c r="F15" s="419"/>
      <c r="G15" s="419"/>
      <c r="H15" s="419"/>
      <c r="I15" s="419"/>
      <c r="J15" s="386" t="s">
        <v>119</v>
      </c>
      <c r="K15" s="387"/>
      <c r="L15" s="387"/>
      <c r="M15" s="387"/>
      <c r="N15" s="79">
        <v>1</v>
      </c>
      <c r="O15" s="79"/>
      <c r="P15" s="79"/>
      <c r="Q15" s="38"/>
      <c r="R15" s="11"/>
    </row>
    <row r="16" spans="1:22" x14ac:dyDescent="0.25">
      <c r="A16" s="10"/>
      <c r="B16" s="3"/>
      <c r="C16" s="4"/>
      <c r="D16" s="4"/>
      <c r="E16" s="4"/>
      <c r="F16" s="4"/>
      <c r="G16" s="4"/>
      <c r="H16" s="4"/>
      <c r="I16" s="4"/>
      <c r="J16" s="4"/>
      <c r="K16" s="4"/>
      <c r="L16" s="4"/>
      <c r="M16" s="4"/>
      <c r="N16" s="4"/>
      <c r="O16" s="4"/>
      <c r="P16" s="4"/>
      <c r="Q16" s="5"/>
      <c r="R16" s="11"/>
    </row>
    <row r="17" spans="1:22" x14ac:dyDescent="0.25">
      <c r="A17" s="10"/>
      <c r="B17" s="384" t="s">
        <v>10</v>
      </c>
      <c r="C17" s="385"/>
      <c r="D17" s="385"/>
      <c r="E17" s="385"/>
      <c r="F17" s="318"/>
      <c r="G17" s="318"/>
      <c r="H17" s="318"/>
      <c r="I17" s="318"/>
      <c r="J17" s="318"/>
      <c r="K17" s="318"/>
      <c r="L17" s="318"/>
      <c r="M17" s="318"/>
      <c r="N17" s="318"/>
      <c r="O17" s="318"/>
      <c r="P17" s="318"/>
      <c r="Q17" s="319"/>
      <c r="R17" s="11"/>
    </row>
    <row r="18" spans="1:22" x14ac:dyDescent="0.25">
      <c r="A18" s="10"/>
      <c r="B18" s="377" t="s">
        <v>12</v>
      </c>
      <c r="C18" s="318"/>
      <c r="D18" s="318"/>
      <c r="E18" s="318"/>
      <c r="F18" s="318" t="str">
        <f>'ANA SAYFA'!G19</f>
        <v>Dyn11</v>
      </c>
      <c r="G18" s="318"/>
      <c r="H18" s="318"/>
      <c r="I18" s="318"/>
      <c r="J18" s="318"/>
      <c r="K18" s="318"/>
      <c r="L18" s="318"/>
      <c r="M18" s="318"/>
      <c r="N18" s="318"/>
      <c r="O18" s="318"/>
      <c r="P18" s="318"/>
      <c r="Q18" s="319"/>
      <c r="R18" s="11"/>
    </row>
    <row r="19" spans="1:22" x14ac:dyDescent="0.25">
      <c r="A19" s="10"/>
      <c r="B19" s="377" t="s">
        <v>16</v>
      </c>
      <c r="C19" s="318"/>
      <c r="D19" s="318"/>
      <c r="E19" s="318"/>
      <c r="F19" s="318"/>
      <c r="G19" s="318"/>
      <c r="H19" s="318"/>
      <c r="I19" s="318"/>
      <c r="J19" s="318"/>
      <c r="K19" s="318"/>
      <c r="L19" s="318"/>
      <c r="M19" s="318"/>
      <c r="N19" s="318"/>
      <c r="O19" s="318"/>
      <c r="P19" s="318"/>
      <c r="Q19" s="319"/>
      <c r="R19" s="11"/>
    </row>
    <row r="20" spans="1:22" x14ac:dyDescent="0.25">
      <c r="A20" s="10"/>
      <c r="B20" s="377" t="s">
        <v>13</v>
      </c>
      <c r="C20" s="318"/>
      <c r="D20" s="318"/>
      <c r="E20" s="318"/>
      <c r="F20" s="417">
        <f>(K24+K25+K26)/3</f>
        <v>4.7656666666666663E-4</v>
      </c>
      <c r="G20" s="417"/>
      <c r="H20" s="4" t="s">
        <v>30</v>
      </c>
      <c r="I20" s="4"/>
      <c r="J20" s="318"/>
      <c r="K20" s="318"/>
      <c r="L20" s="318"/>
      <c r="M20" s="318"/>
      <c r="N20" s="318"/>
      <c r="O20" s="318"/>
      <c r="P20" s="318"/>
      <c r="Q20" s="319"/>
      <c r="R20" s="11"/>
    </row>
    <row r="21" spans="1:22" x14ac:dyDescent="0.25">
      <c r="A21" s="10"/>
      <c r="B21" s="377" t="s">
        <v>14</v>
      </c>
      <c r="C21" s="318"/>
      <c r="D21" s="318"/>
      <c r="E21" s="318"/>
      <c r="F21" s="318" t="s">
        <v>15</v>
      </c>
      <c r="G21" s="318"/>
      <c r="H21" s="318"/>
      <c r="I21" s="318"/>
      <c r="J21" s="318"/>
      <c r="K21" s="318"/>
      <c r="L21" s="318"/>
      <c r="M21" s="318"/>
      <c r="N21" s="318"/>
      <c r="O21" s="318"/>
      <c r="P21" s="318"/>
      <c r="Q21" s="319"/>
      <c r="R21" s="11"/>
      <c r="T21" s="148" t="s">
        <v>21</v>
      </c>
      <c r="U21" s="150">
        <f>MIN(T32:T33)</f>
        <v>3.3474576271186454E-2</v>
      </c>
      <c r="V21" s="148"/>
    </row>
    <row r="22" spans="1:22" x14ac:dyDescent="0.25">
      <c r="A22" s="10"/>
      <c r="B22" s="3"/>
      <c r="C22" s="4"/>
      <c r="D22" s="4"/>
      <c r="E22" s="4"/>
      <c r="F22" s="4"/>
      <c r="G22" s="4"/>
      <c r="H22" s="4"/>
      <c r="I22" s="4"/>
      <c r="J22" s="4"/>
      <c r="K22" s="4"/>
      <c r="L22" s="4"/>
      <c r="M22" s="4"/>
      <c r="N22" s="4"/>
      <c r="O22" s="4"/>
      <c r="P22" s="4"/>
      <c r="Q22" s="5"/>
      <c r="R22" s="11"/>
      <c r="T22" s="148" t="s">
        <v>22</v>
      </c>
      <c r="U22" s="150">
        <f>MIN(U32:U33)</f>
        <v>4.4491525423728745E-3</v>
      </c>
      <c r="V22" s="148"/>
    </row>
    <row r="23" spans="1:22" x14ac:dyDescent="0.25">
      <c r="A23" s="10"/>
      <c r="B23" s="2"/>
      <c r="C23" s="376" t="s">
        <v>24</v>
      </c>
      <c r="D23" s="376"/>
      <c r="E23" s="374" t="s">
        <v>25</v>
      </c>
      <c r="F23" s="374"/>
      <c r="G23" s="374" t="s">
        <v>26</v>
      </c>
      <c r="H23" s="374"/>
      <c r="I23" s="374" t="s">
        <v>27</v>
      </c>
      <c r="J23" s="374"/>
      <c r="K23" s="374" t="s">
        <v>28</v>
      </c>
      <c r="L23" s="374"/>
      <c r="M23" s="374" t="s">
        <v>29</v>
      </c>
      <c r="N23" s="374"/>
      <c r="O23" s="374" t="s">
        <v>140</v>
      </c>
      <c r="P23" s="374"/>
      <c r="Q23" s="2"/>
      <c r="R23" s="11"/>
      <c r="T23" s="148" t="s">
        <v>23</v>
      </c>
      <c r="U23" s="150">
        <f>MIN(V32:V33)</f>
        <v>4.469035965098951E-3</v>
      </c>
      <c r="V23" s="148"/>
    </row>
    <row r="24" spans="1:22" x14ac:dyDescent="0.25">
      <c r="A24" s="10"/>
      <c r="B24" s="2" t="s">
        <v>21</v>
      </c>
      <c r="C24" s="370">
        <f>'ANA SAYFA'!I53</f>
        <v>50</v>
      </c>
      <c r="D24" s="370"/>
      <c r="E24" s="370">
        <f>C24</f>
        <v>50</v>
      </c>
      <c r="F24" s="370"/>
      <c r="G24" s="415">
        <f>(K24*E24)*0.98</f>
        <v>2.3902199999999998E-2</v>
      </c>
      <c r="H24" s="415"/>
      <c r="I24" s="370">
        <v>35</v>
      </c>
      <c r="J24" s="370"/>
      <c r="K24" s="416">
        <f>'ANA SAYFA'!G55</f>
        <v>4.8779999999999998E-4</v>
      </c>
      <c r="L24" s="416"/>
      <c r="M24" s="415">
        <f>F20</f>
        <v>4.7656666666666663E-4</v>
      </c>
      <c r="N24" s="415"/>
      <c r="O24" s="369">
        <f>MIN(T32:T33)</f>
        <v>3.3474576271186454E-2</v>
      </c>
      <c r="P24" s="369"/>
      <c r="Q24" s="152">
        <f>IF(O24&gt;0.05,1,0)</f>
        <v>0</v>
      </c>
      <c r="R24" s="11"/>
      <c r="T24" s="148" t="s">
        <v>138</v>
      </c>
      <c r="U24" s="150">
        <v>0.05</v>
      </c>
      <c r="V24" s="148"/>
    </row>
    <row r="25" spans="1:22" x14ac:dyDescent="0.25">
      <c r="A25" s="10"/>
      <c r="B25" s="2" t="s">
        <v>22</v>
      </c>
      <c r="C25" s="370">
        <f>'ANA SAYFA'!I53</f>
        <v>50</v>
      </c>
      <c r="D25" s="370"/>
      <c r="E25" s="370">
        <f>C25</f>
        <v>50</v>
      </c>
      <c r="F25" s="370"/>
      <c r="G25" s="415">
        <f>(K25*E25)*0.98</f>
        <v>2.30251E-2</v>
      </c>
      <c r="H25" s="415"/>
      <c r="I25" s="370">
        <v>35</v>
      </c>
      <c r="J25" s="370"/>
      <c r="K25" s="416">
        <f>'ANA SAYFA'!G57</f>
        <v>4.6989999999999998E-4</v>
      </c>
      <c r="L25" s="416"/>
      <c r="M25" s="415">
        <f>M24</f>
        <v>4.7656666666666663E-4</v>
      </c>
      <c r="N25" s="415"/>
      <c r="O25" s="369">
        <f>MIN(U32:U33)</f>
        <v>4.4491525423728745E-3</v>
      </c>
      <c r="P25" s="369"/>
      <c r="Q25" s="152">
        <f>IF(O25&gt;0.05,1,0)</f>
        <v>0</v>
      </c>
      <c r="R25" s="11"/>
      <c r="T25" s="148"/>
      <c r="U25" s="148"/>
      <c r="V25" s="148"/>
    </row>
    <row r="26" spans="1:22" x14ac:dyDescent="0.25">
      <c r="A26" s="10"/>
      <c r="B26" s="2" t="s">
        <v>23</v>
      </c>
      <c r="C26" s="370">
        <f>'ANA SAYFA'!I53</f>
        <v>50</v>
      </c>
      <c r="D26" s="370"/>
      <c r="E26" s="370">
        <f>C26</f>
        <v>50</v>
      </c>
      <c r="F26" s="370"/>
      <c r="G26" s="415">
        <f>(K26*E26)*0.98</f>
        <v>2.3127999999999999E-2</v>
      </c>
      <c r="H26" s="415"/>
      <c r="I26" s="370">
        <v>35</v>
      </c>
      <c r="J26" s="370"/>
      <c r="K26" s="416">
        <f>'ANA SAYFA'!G59</f>
        <v>4.7199999999999998E-4</v>
      </c>
      <c r="L26" s="416"/>
      <c r="M26" s="415">
        <f>M24</f>
        <v>4.7656666666666663E-4</v>
      </c>
      <c r="N26" s="415"/>
      <c r="O26" s="369">
        <f>MIN(V32:V33)</f>
        <v>4.469035965098951E-3</v>
      </c>
      <c r="P26" s="369"/>
      <c r="Q26" s="152">
        <f>IF(O26&gt;0.05,1,0)</f>
        <v>0</v>
      </c>
      <c r="R26" s="11"/>
      <c r="T26" s="148"/>
      <c r="U26" s="148"/>
      <c r="V26" s="148"/>
    </row>
    <row r="27" spans="1:22" x14ac:dyDescent="0.25">
      <c r="A27" s="10"/>
      <c r="B27" s="18"/>
      <c r="C27" s="19"/>
      <c r="D27" s="19"/>
      <c r="E27" s="19"/>
      <c r="F27" s="19"/>
      <c r="G27" s="19"/>
      <c r="H27" s="19"/>
      <c r="I27" s="19"/>
      <c r="J27" s="19"/>
      <c r="K27" s="19"/>
      <c r="L27" s="19"/>
      <c r="M27" s="19"/>
      <c r="N27" s="19"/>
      <c r="O27" s="19"/>
      <c r="P27" s="19"/>
      <c r="Q27" s="20"/>
      <c r="R27" s="11"/>
      <c r="T27" s="148"/>
      <c r="U27" s="148"/>
      <c r="V27" s="148"/>
    </row>
    <row r="28" spans="1:22" ht="18.75" x14ac:dyDescent="0.25">
      <c r="A28" s="10"/>
      <c r="B28" s="28"/>
      <c r="C28" s="26"/>
      <c r="D28" s="26"/>
      <c r="E28" s="26"/>
      <c r="F28" s="26"/>
      <c r="G28" s="26"/>
      <c r="H28" s="26"/>
      <c r="I28" s="26"/>
      <c r="J28" s="26"/>
      <c r="K28" s="26"/>
      <c r="L28" s="26"/>
      <c r="M28" s="26"/>
      <c r="N28" s="26"/>
      <c r="O28" s="26"/>
      <c r="P28" s="26"/>
      <c r="Q28" s="29"/>
      <c r="R28" s="11"/>
      <c r="T28" s="148"/>
      <c r="U28" s="148"/>
      <c r="V28" s="148"/>
    </row>
    <row r="29" spans="1:22" x14ac:dyDescent="0.25">
      <c r="A29" s="10"/>
      <c r="B29" s="3"/>
      <c r="C29" s="4"/>
      <c r="D29" s="4"/>
      <c r="E29" s="4"/>
      <c r="F29" s="4"/>
      <c r="G29" s="4"/>
      <c r="H29" s="4"/>
      <c r="I29" s="4"/>
      <c r="J29" s="4"/>
      <c r="K29" s="4"/>
      <c r="L29" s="4"/>
      <c r="M29" s="4"/>
      <c r="N29" s="4"/>
      <c r="O29" s="4"/>
      <c r="P29" s="4"/>
      <c r="Q29" s="5"/>
      <c r="R29" s="11"/>
      <c r="T29" s="148"/>
      <c r="U29" s="148"/>
      <c r="V29" s="148"/>
    </row>
    <row r="30" spans="1:22" x14ac:dyDescent="0.25">
      <c r="A30" s="10"/>
      <c r="B30" s="24"/>
      <c r="C30" s="25"/>
      <c r="D30" s="25"/>
      <c r="E30" s="25"/>
      <c r="F30" s="4"/>
      <c r="G30" s="4"/>
      <c r="H30" s="4"/>
      <c r="I30" s="4"/>
      <c r="J30" s="4"/>
      <c r="K30" s="4"/>
      <c r="L30" s="4"/>
      <c r="M30" s="4"/>
      <c r="N30" s="4"/>
      <c r="O30" s="4"/>
      <c r="P30" s="4"/>
      <c r="Q30" s="5"/>
      <c r="R30" s="11"/>
      <c r="T30" s="148"/>
      <c r="U30" s="148"/>
      <c r="V30" s="148"/>
    </row>
    <row r="31" spans="1:22" x14ac:dyDescent="0.25">
      <c r="A31" s="10"/>
      <c r="B31" s="3"/>
      <c r="C31" s="4"/>
      <c r="D31" s="4"/>
      <c r="E31" s="4"/>
      <c r="F31" s="4"/>
      <c r="G31" s="4"/>
      <c r="H31" s="4"/>
      <c r="I31" s="4"/>
      <c r="J31" s="4"/>
      <c r="K31" s="4"/>
      <c r="L31" s="4"/>
      <c r="M31" s="4"/>
      <c r="N31" s="4"/>
      <c r="O31" s="4"/>
      <c r="P31" s="4"/>
      <c r="Q31" s="5"/>
      <c r="R31" s="11"/>
      <c r="T31" s="148"/>
      <c r="U31" s="148"/>
      <c r="V31" s="148"/>
    </row>
    <row r="32" spans="1:22" x14ac:dyDescent="0.25">
      <c r="A32" s="10"/>
      <c r="B32" s="3"/>
      <c r="C32" s="4"/>
      <c r="D32" s="4"/>
      <c r="E32" s="4"/>
      <c r="F32" s="4"/>
      <c r="G32" s="4"/>
      <c r="H32" s="4"/>
      <c r="I32" s="4"/>
      <c r="J32" s="4"/>
      <c r="K32" s="4"/>
      <c r="L32" s="4"/>
      <c r="M32" s="4"/>
      <c r="N32" s="4"/>
      <c r="O32" s="4"/>
      <c r="P32" s="4"/>
      <c r="Q32" s="5"/>
      <c r="R32" s="11"/>
      <c r="T32" s="148">
        <f>SQRT((K24-K25)^2)/K25</f>
        <v>3.8093211321557782E-2</v>
      </c>
      <c r="U32" s="148">
        <f>SQRT((K24-K25)^2)/K24</f>
        <v>3.6695366953669539E-2</v>
      </c>
      <c r="V32" s="148">
        <f>SQRT((K26-K24)^2)/K24</f>
        <v>3.2390323903239045E-2</v>
      </c>
    </row>
    <row r="33" spans="1:22" x14ac:dyDescent="0.25">
      <c r="A33" s="10"/>
      <c r="B33" s="3"/>
      <c r="C33" s="4"/>
      <c r="D33" s="4"/>
      <c r="E33" s="4"/>
      <c r="F33" s="4"/>
      <c r="G33" s="4"/>
      <c r="H33" s="4"/>
      <c r="I33" s="4"/>
      <c r="J33" s="4"/>
      <c r="K33" s="4"/>
      <c r="L33" s="4"/>
      <c r="M33" s="4"/>
      <c r="N33" s="4"/>
      <c r="O33" s="4"/>
      <c r="P33" s="4"/>
      <c r="Q33" s="5"/>
      <c r="R33" s="11"/>
      <c r="T33" s="148">
        <f>SQRT((K26-K24)^2)/K26</f>
        <v>3.3474576271186454E-2</v>
      </c>
      <c r="U33" s="148">
        <f>SQRT((K25-K26)^2)/K26</f>
        <v>4.4491525423728745E-3</v>
      </c>
      <c r="V33" s="148">
        <f>SQRT((K26-K25)^2)/K25</f>
        <v>4.469035965098951E-3</v>
      </c>
    </row>
    <row r="34" spans="1:22" x14ac:dyDescent="0.25">
      <c r="A34" s="10"/>
      <c r="B34" s="3"/>
      <c r="C34" s="4"/>
      <c r="D34" s="4"/>
      <c r="E34" s="4"/>
      <c r="F34" s="23"/>
      <c r="G34" s="4"/>
      <c r="H34" s="4"/>
      <c r="I34" s="4"/>
      <c r="J34" s="4"/>
      <c r="K34" s="4"/>
      <c r="L34" s="4"/>
      <c r="M34" s="4"/>
      <c r="N34" s="4"/>
      <c r="O34" s="4"/>
      <c r="P34" s="4"/>
      <c r="Q34" s="5"/>
      <c r="R34" s="11"/>
    </row>
    <row r="35" spans="1:22" x14ac:dyDescent="0.25">
      <c r="A35" s="10"/>
      <c r="B35" s="3"/>
      <c r="C35" s="4"/>
      <c r="D35" s="4"/>
      <c r="E35" s="4"/>
      <c r="F35" s="4"/>
      <c r="G35" s="4"/>
      <c r="H35" s="4"/>
      <c r="I35" s="4"/>
      <c r="J35" s="4"/>
      <c r="K35" s="4"/>
      <c r="L35" s="4"/>
      <c r="M35" s="4"/>
      <c r="N35" s="4"/>
      <c r="O35" s="4"/>
      <c r="P35" s="4"/>
      <c r="Q35" s="5"/>
      <c r="R35" s="11"/>
    </row>
    <row r="36" spans="1:22" x14ac:dyDescent="0.25">
      <c r="A36" s="10"/>
      <c r="B36" s="3"/>
      <c r="C36" s="4"/>
      <c r="D36" s="4"/>
      <c r="E36" s="4"/>
      <c r="F36" s="4"/>
      <c r="G36" s="4"/>
      <c r="H36" s="4"/>
      <c r="I36" s="4"/>
      <c r="J36" s="4"/>
      <c r="K36" s="4"/>
      <c r="L36" s="4"/>
      <c r="M36" s="4"/>
      <c r="N36" s="4"/>
      <c r="O36" s="4"/>
      <c r="P36" s="4"/>
      <c r="Q36" s="5"/>
      <c r="R36" s="11"/>
    </row>
    <row r="37" spans="1:22" x14ac:dyDescent="0.25">
      <c r="A37" s="10"/>
      <c r="B37" s="6"/>
      <c r="C37" s="27"/>
      <c r="D37" s="27"/>
      <c r="E37" s="4"/>
      <c r="F37" s="4"/>
      <c r="G37" s="4"/>
      <c r="H37" s="4"/>
      <c r="I37" s="4"/>
      <c r="J37" s="4"/>
      <c r="K37" s="4"/>
      <c r="L37" s="4"/>
      <c r="M37" s="4"/>
      <c r="N37" s="4"/>
      <c r="O37" s="4"/>
      <c r="P37" s="4"/>
      <c r="Q37" s="7"/>
      <c r="R37" s="11"/>
    </row>
    <row r="38" spans="1:22" x14ac:dyDescent="0.25">
      <c r="A38" s="10"/>
      <c r="B38" s="6"/>
      <c r="C38" s="23"/>
      <c r="D38" s="23"/>
      <c r="E38" s="23"/>
      <c r="F38" s="23"/>
      <c r="G38" s="23"/>
      <c r="H38" s="23"/>
      <c r="I38" s="23"/>
      <c r="J38" s="23"/>
      <c r="K38" s="23"/>
      <c r="L38" s="23"/>
      <c r="M38" s="23"/>
      <c r="N38" s="23"/>
      <c r="O38" s="23"/>
      <c r="P38" s="23"/>
      <c r="Q38" s="7"/>
      <c r="R38" s="11"/>
    </row>
    <row r="39" spans="1:22" ht="15.75" x14ac:dyDescent="0.25">
      <c r="A39" s="10"/>
      <c r="B39" s="357" t="s">
        <v>31</v>
      </c>
      <c r="C39" s="358"/>
      <c r="D39" s="411" t="s">
        <v>172</v>
      </c>
      <c r="E39" s="411"/>
      <c r="F39" s="411"/>
      <c r="G39" s="411"/>
      <c r="H39" s="411"/>
      <c r="I39" s="411"/>
      <c r="J39" s="411"/>
      <c r="K39" s="411"/>
      <c r="L39" s="411"/>
      <c r="M39" s="411"/>
      <c r="N39" s="411"/>
      <c r="O39" s="411"/>
      <c r="P39" s="411"/>
      <c r="Q39" s="412"/>
      <c r="R39" s="11"/>
    </row>
    <row r="40" spans="1:22" x14ac:dyDescent="0.25">
      <c r="A40" s="10"/>
      <c r="B40" s="6"/>
      <c r="C40" s="23"/>
      <c r="D40" s="413"/>
      <c r="E40" s="413"/>
      <c r="F40" s="413"/>
      <c r="G40" s="413"/>
      <c r="H40" s="413"/>
      <c r="I40" s="413"/>
      <c r="J40" s="413"/>
      <c r="K40" s="413"/>
      <c r="L40" s="413"/>
      <c r="M40" s="413"/>
      <c r="N40" s="413"/>
      <c r="O40" s="413"/>
      <c r="P40" s="413"/>
      <c r="Q40" s="414"/>
      <c r="R40" s="11"/>
    </row>
    <row r="41" spans="1:22" x14ac:dyDescent="0.25">
      <c r="A41" s="10"/>
      <c r="B41" s="3"/>
      <c r="C41" s="4"/>
      <c r="D41" s="413"/>
      <c r="E41" s="413"/>
      <c r="F41" s="413"/>
      <c r="G41" s="413"/>
      <c r="H41" s="413"/>
      <c r="I41" s="413"/>
      <c r="J41" s="413"/>
      <c r="K41" s="413"/>
      <c r="L41" s="413"/>
      <c r="M41" s="413"/>
      <c r="N41" s="413"/>
      <c r="O41" s="413"/>
      <c r="P41" s="413"/>
      <c r="Q41" s="414"/>
      <c r="R41" s="11"/>
    </row>
    <row r="42" spans="1:22" x14ac:dyDescent="0.25">
      <c r="A42" s="10"/>
      <c r="B42" s="3"/>
      <c r="C42" s="4"/>
      <c r="D42" s="413"/>
      <c r="E42" s="413"/>
      <c r="F42" s="413"/>
      <c r="G42" s="413"/>
      <c r="H42" s="413"/>
      <c r="I42" s="413"/>
      <c r="J42" s="413"/>
      <c r="K42" s="413"/>
      <c r="L42" s="413"/>
      <c r="M42" s="413"/>
      <c r="N42" s="413"/>
      <c r="O42" s="413"/>
      <c r="P42" s="413"/>
      <c r="Q42" s="414"/>
      <c r="R42" s="11"/>
    </row>
    <row r="43" spans="1:22" x14ac:dyDescent="0.25">
      <c r="A43" s="10"/>
      <c r="B43" s="8"/>
      <c r="C43" s="1"/>
      <c r="D43" s="1"/>
      <c r="E43" s="1"/>
      <c r="F43" s="1"/>
      <c r="G43" s="1"/>
      <c r="H43" s="1"/>
      <c r="I43" s="1"/>
      <c r="J43" s="1"/>
      <c r="K43" s="1"/>
      <c r="L43" s="1"/>
      <c r="M43" s="1"/>
      <c r="N43" s="1"/>
      <c r="O43" s="1"/>
      <c r="P43" s="1"/>
      <c r="Q43" s="9"/>
      <c r="R43" s="11"/>
    </row>
    <row r="44" spans="1:22" x14ac:dyDescent="0.25">
      <c r="A44" s="10"/>
      <c r="B44" s="8"/>
      <c r="C44" s="1"/>
      <c r="D44" s="1"/>
      <c r="E44" s="1"/>
      <c r="F44" s="1"/>
      <c r="G44" s="1"/>
      <c r="H44" s="1"/>
      <c r="I44" s="1"/>
      <c r="J44" s="21"/>
      <c r="K44" s="21"/>
      <c r="L44" s="21"/>
      <c r="M44" s="21"/>
      <c r="N44" s="21"/>
      <c r="O44" s="21"/>
      <c r="P44" s="21"/>
      <c r="Q44" s="22"/>
      <c r="R44" s="11"/>
    </row>
    <row r="45" spans="1:22" s="186" customFormat="1" ht="22.5" customHeight="1" x14ac:dyDescent="0.25">
      <c r="A45" s="10"/>
      <c r="B45" s="355"/>
      <c r="C45" s="356"/>
      <c r="D45" s="356"/>
      <c r="E45" s="79"/>
      <c r="F45" s="363"/>
      <c r="G45" s="363"/>
      <c r="H45" s="363"/>
      <c r="I45" s="364"/>
      <c r="J45" s="289" t="s">
        <v>142</v>
      </c>
      <c r="K45" s="289"/>
      <c r="L45" s="289"/>
      <c r="M45" s="289"/>
      <c r="N45" s="289"/>
      <c r="O45" s="289"/>
      <c r="P45" s="289"/>
      <c r="Q45" s="290"/>
      <c r="R45" s="11"/>
    </row>
    <row r="46" spans="1:22" s="186" customFormat="1" ht="22.5" customHeight="1" x14ac:dyDescent="0.25">
      <c r="A46" s="10"/>
      <c r="B46" s="365" t="s">
        <v>167</v>
      </c>
      <c r="C46" s="366"/>
      <c r="D46" s="366"/>
      <c r="E46" s="134" t="s">
        <v>20</v>
      </c>
      <c r="F46" s="367" t="s">
        <v>190</v>
      </c>
      <c r="G46" s="367"/>
      <c r="H46" s="367"/>
      <c r="I46" s="368"/>
      <c r="J46" s="54"/>
      <c r="K46" s="54"/>
      <c r="L46" s="134"/>
      <c r="M46" s="134"/>
      <c r="N46" s="134"/>
      <c r="O46" s="134"/>
      <c r="P46" s="134"/>
      <c r="Q46" s="135"/>
      <c r="R46" s="11"/>
    </row>
    <row r="47" spans="1:22" s="186" customFormat="1" ht="22.5" customHeight="1" x14ac:dyDescent="0.25">
      <c r="A47" s="10"/>
      <c r="B47" s="351" t="s">
        <v>179</v>
      </c>
      <c r="C47" s="352"/>
      <c r="D47" s="352"/>
      <c r="E47" s="134" t="s">
        <v>20</v>
      </c>
      <c r="F47" s="353" t="str">
        <f>'KAPAK SAYFASI'!D53</f>
        <v>05.08.2026</v>
      </c>
      <c r="G47" s="352"/>
      <c r="H47" s="352"/>
      <c r="I47" s="354"/>
      <c r="J47" s="54"/>
      <c r="K47" s="54"/>
      <c r="L47" s="134"/>
      <c r="M47" s="134"/>
      <c r="N47" s="134"/>
      <c r="O47" s="134"/>
      <c r="P47" s="134"/>
      <c r="Q47" s="135"/>
      <c r="R47" s="11"/>
    </row>
    <row r="48" spans="1:22" s="186" customFormat="1" ht="22.5" customHeight="1" x14ac:dyDescent="0.25">
      <c r="A48" s="10"/>
      <c r="B48" s="233"/>
      <c r="C48" s="234"/>
      <c r="D48" s="234"/>
      <c r="E48" s="234"/>
      <c r="F48" s="234"/>
      <c r="G48" s="234"/>
      <c r="H48" s="234"/>
      <c r="I48" s="235"/>
      <c r="J48" s="139"/>
      <c r="K48" s="139"/>
      <c r="L48" s="139"/>
      <c r="M48" s="139"/>
      <c r="N48" s="139"/>
      <c r="O48" s="139"/>
      <c r="P48" s="139"/>
      <c r="Q48" s="136"/>
      <c r="R48" s="11"/>
    </row>
    <row r="49" spans="1:18" ht="15.75" thickBot="1" x14ac:dyDescent="0.3">
      <c r="A49" s="15"/>
      <c r="B49" s="16"/>
      <c r="C49" s="16"/>
      <c r="D49" s="16"/>
      <c r="E49" s="16"/>
      <c r="F49" s="16"/>
      <c r="G49" s="16"/>
      <c r="H49" s="16"/>
      <c r="I49" s="16"/>
      <c r="J49" s="16"/>
      <c r="K49" s="16"/>
      <c r="L49" s="16"/>
      <c r="M49" s="16"/>
      <c r="N49" s="16"/>
      <c r="O49" s="16"/>
      <c r="P49" s="16"/>
      <c r="Q49" s="16"/>
      <c r="R49" s="17"/>
    </row>
  </sheetData>
  <mergeCells count="79">
    <mergeCell ref="B47:D47"/>
    <mergeCell ref="F47:I47"/>
    <mergeCell ref="G2:H2"/>
    <mergeCell ref="J2:Q2"/>
    <mergeCell ref="G3:H3"/>
    <mergeCell ref="J3:Q3"/>
    <mergeCell ref="B13:Q13"/>
    <mergeCell ref="B5:Q5"/>
    <mergeCell ref="B9:I9"/>
    <mergeCell ref="J9:Q9"/>
    <mergeCell ref="B11:C11"/>
    <mergeCell ref="D11:G11"/>
    <mergeCell ref="H11:I11"/>
    <mergeCell ref="J11:L11"/>
    <mergeCell ref="M11:N11"/>
    <mergeCell ref="O11:Q11"/>
    <mergeCell ref="O7:Q7"/>
    <mergeCell ref="B15:I15"/>
    <mergeCell ref="B17:E17"/>
    <mergeCell ref="F17:I17"/>
    <mergeCell ref="J17:M17"/>
    <mergeCell ref="N17:Q17"/>
    <mergeCell ref="J15:M15"/>
    <mergeCell ref="B7:C7"/>
    <mergeCell ref="D7:F7"/>
    <mergeCell ref="G7:H7"/>
    <mergeCell ref="I7:K7"/>
    <mergeCell ref="L7:N7"/>
    <mergeCell ref="B18:E18"/>
    <mergeCell ref="F18:I18"/>
    <mergeCell ref="J18:M18"/>
    <mergeCell ref="N18:Q18"/>
    <mergeCell ref="B19:E19"/>
    <mergeCell ref="F19:I19"/>
    <mergeCell ref="J19:M19"/>
    <mergeCell ref="N19:Q19"/>
    <mergeCell ref="B20:E20"/>
    <mergeCell ref="F20:G20"/>
    <mergeCell ref="J20:M20"/>
    <mergeCell ref="N20:Q20"/>
    <mergeCell ref="B21:E21"/>
    <mergeCell ref="F21:I21"/>
    <mergeCell ref="J21:M21"/>
    <mergeCell ref="N21:Q21"/>
    <mergeCell ref="O23:P23"/>
    <mergeCell ref="C24:D24"/>
    <mergeCell ref="E24:F24"/>
    <mergeCell ref="G24:H24"/>
    <mergeCell ref="I24:J24"/>
    <mergeCell ref="K24:L24"/>
    <mergeCell ref="M24:N24"/>
    <mergeCell ref="O24:P24"/>
    <mergeCell ref="C23:D23"/>
    <mergeCell ref="E23:F23"/>
    <mergeCell ref="G23:H23"/>
    <mergeCell ref="I23:J23"/>
    <mergeCell ref="K23:L23"/>
    <mergeCell ref="M23:N23"/>
    <mergeCell ref="B39:C39"/>
    <mergeCell ref="D39:Q42"/>
    <mergeCell ref="O25:P25"/>
    <mergeCell ref="C26:D26"/>
    <mergeCell ref="E26:F26"/>
    <mergeCell ref="G26:H26"/>
    <mergeCell ref="I26:J26"/>
    <mergeCell ref="K26:L26"/>
    <mergeCell ref="M26:N26"/>
    <mergeCell ref="O26:P26"/>
    <mergeCell ref="C25:D25"/>
    <mergeCell ref="E25:F25"/>
    <mergeCell ref="G25:H25"/>
    <mergeCell ref="I25:J25"/>
    <mergeCell ref="K25:L25"/>
    <mergeCell ref="M25:N25"/>
    <mergeCell ref="J45:Q45"/>
    <mergeCell ref="B45:D45"/>
    <mergeCell ref="F45:I45"/>
    <mergeCell ref="B46:D46"/>
    <mergeCell ref="F46:I46"/>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4" right="0.23622047244094488" top="0.3543307086614173" bottom="0.3543307086614173" header="0" footer="0"/>
  <pageSetup paperSize="9" scale="9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9">
    <pageSetUpPr fitToPage="1"/>
  </sheetPr>
  <dimension ref="A1:AL58"/>
  <sheetViews>
    <sheetView topLeftCell="A18" zoomScale="85" zoomScaleNormal="85" workbookViewId="0">
      <selection activeCell="J10" sqref="J10"/>
    </sheetView>
  </sheetViews>
  <sheetFormatPr defaultRowHeight="15" x14ac:dyDescent="0.25"/>
  <cols>
    <col min="1" max="1" width="3.5703125" customWidth="1"/>
    <col min="2" max="2" width="6.7109375" customWidth="1"/>
    <col min="3" max="3" width="5.42578125" customWidth="1"/>
    <col min="4" max="4" width="6.7109375" customWidth="1"/>
    <col min="5" max="5" width="5.42578125" customWidth="1"/>
    <col min="6" max="6" width="6.7109375" customWidth="1"/>
    <col min="7" max="7" width="5.42578125" customWidth="1"/>
    <col min="8" max="8" width="6.5703125" customWidth="1"/>
    <col min="9" max="9" width="5.42578125" customWidth="1"/>
    <col min="10" max="10" width="7.5703125" customWidth="1"/>
    <col min="11" max="11" width="5.7109375" customWidth="1"/>
    <col min="12" max="12" width="7.5703125" customWidth="1"/>
    <col min="13" max="15" width="5.7109375" customWidth="1"/>
    <col min="16" max="17" width="6.5703125" customWidth="1"/>
    <col min="18" max="18" width="3.5703125" customWidth="1"/>
    <col min="21" max="21" width="12.5703125" customWidth="1"/>
    <col min="22" max="22" width="12.85546875" customWidth="1"/>
  </cols>
  <sheetData>
    <row r="1" spans="1:27" x14ac:dyDescent="0.25">
      <c r="A1" s="12"/>
      <c r="B1" s="13"/>
      <c r="C1" s="13"/>
      <c r="D1" s="13"/>
      <c r="E1" s="13"/>
      <c r="F1" s="13"/>
      <c r="G1" s="13"/>
      <c r="H1" s="13"/>
      <c r="I1" s="13"/>
      <c r="J1" s="13"/>
      <c r="K1" s="13"/>
      <c r="L1" s="13"/>
      <c r="M1" s="13"/>
      <c r="N1" s="13"/>
      <c r="O1" s="13"/>
      <c r="P1" s="13"/>
      <c r="Q1" s="13"/>
      <c r="R1" s="14"/>
    </row>
    <row r="2" spans="1:27" ht="29.25" customHeight="1" x14ac:dyDescent="0.25">
      <c r="A2" s="10"/>
      <c r="B2" s="426"/>
      <c r="C2" s="427"/>
      <c r="D2" s="427"/>
      <c r="E2" s="427"/>
      <c r="F2" s="428"/>
      <c r="G2" s="298" t="s">
        <v>18</v>
      </c>
      <c r="H2" s="299"/>
      <c r="I2" s="142" t="s">
        <v>20</v>
      </c>
      <c r="J2" s="393" t="str">
        <f>'ANA SAYFA'!K2</f>
        <v>OK AMBALAJ</v>
      </c>
      <c r="K2" s="393"/>
      <c r="L2" s="393"/>
      <c r="M2" s="393"/>
      <c r="N2" s="393"/>
      <c r="O2" s="393"/>
      <c r="P2" s="393"/>
      <c r="Q2" s="394"/>
      <c r="R2" s="11"/>
    </row>
    <row r="3" spans="1:27" ht="29.25" customHeight="1" x14ac:dyDescent="0.25">
      <c r="A3" s="10"/>
      <c r="B3" s="429"/>
      <c r="C3" s="430"/>
      <c r="D3" s="430"/>
      <c r="E3" s="430"/>
      <c r="F3" s="431"/>
      <c r="G3" s="391" t="s">
        <v>19</v>
      </c>
      <c r="H3" s="392"/>
      <c r="I3" s="141" t="s">
        <v>20</v>
      </c>
      <c r="J3" s="395" t="str">
        <f>'ANA SAYFA'!K5</f>
        <v>TR-1</v>
      </c>
      <c r="K3" s="395"/>
      <c r="L3" s="395"/>
      <c r="M3" s="395"/>
      <c r="N3" s="395"/>
      <c r="O3" s="395"/>
      <c r="P3" s="395"/>
      <c r="Q3" s="396"/>
      <c r="R3" s="11"/>
    </row>
    <row r="4" spans="1:27" x14ac:dyDescent="0.25">
      <c r="A4" s="10"/>
      <c r="B4" s="3"/>
      <c r="C4" s="4"/>
      <c r="D4" s="4"/>
      <c r="E4" s="4"/>
      <c r="F4" s="4"/>
      <c r="G4" s="4"/>
      <c r="H4" s="4"/>
      <c r="I4" s="4"/>
      <c r="J4" s="4"/>
      <c r="K4" s="4"/>
      <c r="L4" s="4"/>
      <c r="M4" s="4"/>
      <c r="N4" s="4"/>
      <c r="O4" s="4"/>
      <c r="P4" s="4"/>
      <c r="Q4" s="5"/>
      <c r="R4" s="11"/>
    </row>
    <row r="5" spans="1:27" ht="18.75" x14ac:dyDescent="0.25">
      <c r="A5" s="10"/>
      <c r="B5" s="288" t="s">
        <v>159</v>
      </c>
      <c r="C5" s="289"/>
      <c r="D5" s="289"/>
      <c r="E5" s="289"/>
      <c r="F5" s="289"/>
      <c r="G5" s="289"/>
      <c r="H5" s="289"/>
      <c r="I5" s="289"/>
      <c r="J5" s="289"/>
      <c r="K5" s="289"/>
      <c r="L5" s="289"/>
      <c r="M5" s="289"/>
      <c r="N5" s="289"/>
      <c r="O5" s="289"/>
      <c r="P5" s="289"/>
      <c r="Q5" s="290"/>
      <c r="R5" s="11"/>
    </row>
    <row r="6" spans="1:27" x14ac:dyDescent="0.25">
      <c r="A6" s="10"/>
      <c r="B6" s="3"/>
      <c r="C6" s="4"/>
      <c r="D6" s="4"/>
      <c r="E6" s="4"/>
      <c r="F6" s="4"/>
      <c r="G6" s="4"/>
      <c r="H6" s="4"/>
      <c r="I6" s="4"/>
      <c r="J6" s="4"/>
      <c r="K6" s="4"/>
      <c r="L6" s="4"/>
      <c r="M6" s="4"/>
      <c r="N6" s="4"/>
      <c r="O6" s="4"/>
      <c r="P6" s="4"/>
      <c r="Q6" s="5"/>
      <c r="R6" s="11"/>
    </row>
    <row r="7" spans="1:27" x14ac:dyDescent="0.25">
      <c r="A7" s="10"/>
      <c r="B7" s="374" t="s">
        <v>0</v>
      </c>
      <c r="C7" s="374"/>
      <c r="D7" s="374" t="str">
        <f>'OG SARGI MEVCUT KADEME'!D7:F7</f>
        <v>ASTOR</v>
      </c>
      <c r="E7" s="374"/>
      <c r="F7" s="374"/>
      <c r="G7" s="418" t="s">
        <v>1</v>
      </c>
      <c r="H7" s="418"/>
      <c r="I7" s="418" t="str">
        <f>'OG SARGI MEVCUT KADEME'!I7:K7</f>
        <v>2017</v>
      </c>
      <c r="J7" s="374"/>
      <c r="K7" s="374"/>
      <c r="L7" s="374" t="s">
        <v>17</v>
      </c>
      <c r="M7" s="374"/>
      <c r="N7" s="374"/>
      <c r="O7" s="418" t="str">
        <f>'OG SARGI MEVCUT KADEME'!O7:Q7</f>
        <v>27-07840</v>
      </c>
      <c r="P7" s="374"/>
      <c r="Q7" s="374"/>
      <c r="R7" s="11"/>
    </row>
    <row r="8" spans="1:27" x14ac:dyDescent="0.25">
      <c r="A8" s="10"/>
      <c r="B8" s="3"/>
      <c r="C8" s="4"/>
      <c r="D8" s="4"/>
      <c r="E8" s="4"/>
      <c r="F8" s="4"/>
      <c r="G8" s="4"/>
      <c r="H8" s="4"/>
      <c r="I8" s="4"/>
      <c r="J8" s="4"/>
      <c r="K8" s="4"/>
      <c r="L8" s="4"/>
      <c r="M8" s="4"/>
      <c r="N8" s="4"/>
      <c r="O8" s="4"/>
      <c r="P8" s="4"/>
      <c r="Q8" s="5"/>
      <c r="R8" s="11"/>
      <c r="Y8" t="s">
        <v>133</v>
      </c>
      <c r="Z8" t="s">
        <v>134</v>
      </c>
      <c r="AA8" t="s">
        <v>135</v>
      </c>
    </row>
    <row r="9" spans="1:27" ht="18.75" x14ac:dyDescent="0.25">
      <c r="A9" s="10"/>
      <c r="B9" s="402" t="s">
        <v>2</v>
      </c>
      <c r="C9" s="403"/>
      <c r="D9" s="403"/>
      <c r="E9" s="403"/>
      <c r="F9" s="403"/>
      <c r="G9" s="403"/>
      <c r="H9" s="403"/>
      <c r="I9" s="403"/>
      <c r="J9" s="404" t="str">
        <f>'KAPAK SAYFASI'!D54</f>
        <v>05.08.2026</v>
      </c>
      <c r="K9" s="404"/>
      <c r="L9" s="404"/>
      <c r="M9" s="404"/>
      <c r="N9" s="404"/>
      <c r="O9" s="404"/>
      <c r="P9" s="404"/>
      <c r="Q9" s="405"/>
      <c r="R9" s="11"/>
      <c r="X9" t="s">
        <v>137</v>
      </c>
      <c r="Y9">
        <f>V15</f>
        <v>1.1000000000000001</v>
      </c>
      <c r="Z9">
        <f>V20</f>
        <v>0.2</v>
      </c>
      <c r="AA9">
        <f>V25</f>
        <v>1.1000000000000001</v>
      </c>
    </row>
    <row r="10" spans="1:27" x14ac:dyDescent="0.25">
      <c r="A10" s="10"/>
      <c r="B10" s="3"/>
      <c r="C10" s="4"/>
      <c r="D10" s="4"/>
      <c r="E10" s="4"/>
      <c r="F10" s="4"/>
      <c r="G10" s="4"/>
      <c r="H10" s="4"/>
      <c r="I10" s="4"/>
      <c r="J10" s="4"/>
      <c r="K10" s="4"/>
      <c r="L10" s="4"/>
      <c r="M10" s="4"/>
      <c r="N10" s="4"/>
      <c r="O10" s="4"/>
      <c r="P10" s="4"/>
      <c r="Q10" s="5"/>
      <c r="R10" s="11"/>
      <c r="X10">
        <v>30</v>
      </c>
      <c r="Y10" s="131">
        <f>H18</f>
        <v>108.108</v>
      </c>
      <c r="Z10" s="131">
        <f>H23</f>
        <v>74.646000000000001</v>
      </c>
      <c r="AA10" s="131">
        <f>H28</f>
        <v>114.44399999999999</v>
      </c>
    </row>
    <row r="11" spans="1:27" x14ac:dyDescent="0.25">
      <c r="A11" s="10"/>
      <c r="B11" s="421" t="s">
        <v>3</v>
      </c>
      <c r="C11" s="421"/>
      <c r="D11" s="422" t="str">
        <f>'OG SARGI MEVCUT KADEME'!D11</f>
        <v>Hilmi GÜL</v>
      </c>
      <c r="E11" s="422"/>
      <c r="F11" s="422"/>
      <c r="G11" s="422"/>
      <c r="H11" s="421" t="s">
        <v>4</v>
      </c>
      <c r="I11" s="421"/>
      <c r="J11" s="408" t="s">
        <v>60</v>
      </c>
      <c r="K11" s="409"/>
      <c r="L11" s="410"/>
      <c r="M11" s="374" t="s">
        <v>6</v>
      </c>
      <c r="N11" s="374"/>
      <c r="O11" s="397">
        <v>16060016</v>
      </c>
      <c r="P11" s="401"/>
      <c r="Q11" s="398"/>
      <c r="R11" s="11"/>
      <c r="X11">
        <v>45</v>
      </c>
      <c r="Y11" s="131">
        <f>J18</f>
        <v>119.39399999999999</v>
      </c>
      <c r="Z11" s="131">
        <f>J23</f>
        <v>87.911999999999992</v>
      </c>
      <c r="AA11" s="131">
        <f>J28</f>
        <v>125.33399999999999</v>
      </c>
    </row>
    <row r="12" spans="1:27" x14ac:dyDescent="0.25">
      <c r="A12" s="10"/>
      <c r="B12" s="3"/>
      <c r="C12" s="4"/>
      <c r="D12" s="4"/>
      <c r="E12" s="4"/>
      <c r="F12" s="4"/>
      <c r="G12" s="4"/>
      <c r="H12" s="4"/>
      <c r="I12" s="4"/>
      <c r="J12" s="4"/>
      <c r="K12" s="4"/>
      <c r="L12" s="4"/>
      <c r="M12" s="4"/>
      <c r="N12" s="4"/>
      <c r="O12" s="4"/>
      <c r="P12" s="4"/>
      <c r="Q12" s="5"/>
      <c r="R12" s="11"/>
      <c r="X12">
        <v>60</v>
      </c>
      <c r="Y12" s="131">
        <f>L18</f>
        <v>128.10599999999999</v>
      </c>
      <c r="Z12" s="131">
        <f>L23</f>
        <v>96.623999999999995</v>
      </c>
      <c r="AA12" s="131">
        <f>L28</f>
        <v>136.22399999999999</v>
      </c>
    </row>
    <row r="13" spans="1:27" ht="18.75" x14ac:dyDescent="0.25">
      <c r="A13" s="10"/>
      <c r="B13" s="380" t="s">
        <v>8</v>
      </c>
      <c r="C13" s="381"/>
      <c r="D13" s="381"/>
      <c r="E13" s="381"/>
      <c r="F13" s="381"/>
      <c r="G13" s="381"/>
      <c r="H13" s="381"/>
      <c r="I13" s="381"/>
      <c r="J13" s="381"/>
      <c r="K13" s="381"/>
      <c r="L13" s="381"/>
      <c r="M13" s="381"/>
      <c r="N13" s="443" t="s">
        <v>144</v>
      </c>
      <c r="O13" s="444"/>
      <c r="P13" s="145">
        <f>'ANA SAYFA'!G27</f>
        <v>30</v>
      </c>
      <c r="Q13" s="146" t="s">
        <v>128</v>
      </c>
      <c r="R13" s="11"/>
    </row>
    <row r="14" spans="1:27" x14ac:dyDescent="0.25">
      <c r="A14" s="10"/>
      <c r="B14" s="3"/>
      <c r="C14" s="4"/>
      <c r="D14" s="4"/>
      <c r="E14" s="4"/>
      <c r="F14" s="4"/>
      <c r="G14" s="4"/>
      <c r="H14" s="4"/>
      <c r="I14" s="4"/>
      <c r="J14" s="4"/>
      <c r="K14" s="4"/>
      <c r="L14" s="4"/>
      <c r="M14" s="4"/>
      <c r="N14" s="4"/>
      <c r="O14" s="4"/>
      <c r="P14" s="4"/>
      <c r="Q14" s="5"/>
      <c r="R14" s="11"/>
    </row>
    <row r="15" spans="1:27" ht="18.75" x14ac:dyDescent="0.25">
      <c r="A15" s="10"/>
      <c r="B15" s="288" t="s">
        <v>40</v>
      </c>
      <c r="C15" s="289"/>
      <c r="D15" s="289"/>
      <c r="E15" s="289"/>
      <c r="F15" s="289"/>
      <c r="G15" s="289"/>
      <c r="H15" s="289"/>
      <c r="I15" s="289"/>
      <c r="J15" s="289"/>
      <c r="K15" s="289"/>
      <c r="L15" s="289"/>
      <c r="M15" s="289"/>
      <c r="N15" s="289"/>
      <c r="O15" s="289"/>
      <c r="P15" s="289"/>
      <c r="Q15" s="290"/>
      <c r="R15" s="11"/>
      <c r="U15" t="s">
        <v>133</v>
      </c>
      <c r="V15">
        <v>1.1000000000000001</v>
      </c>
    </row>
    <row r="16" spans="1:27" x14ac:dyDescent="0.25">
      <c r="A16" s="10"/>
      <c r="B16" s="345" t="s">
        <v>143</v>
      </c>
      <c r="C16" s="346"/>
      <c r="D16" s="346"/>
      <c r="E16" s="346"/>
      <c r="F16" s="346"/>
      <c r="G16" s="442"/>
      <c r="H16" s="346" t="s">
        <v>156</v>
      </c>
      <c r="I16" s="346"/>
      <c r="J16" s="346"/>
      <c r="K16" s="346"/>
      <c r="L16" s="346"/>
      <c r="M16" s="442"/>
      <c r="N16" s="4"/>
      <c r="O16" s="4"/>
      <c r="P16" s="4"/>
      <c r="Q16" s="5"/>
      <c r="R16" s="11"/>
      <c r="V16" s="244" t="s">
        <v>39</v>
      </c>
      <c r="W16" s="244"/>
    </row>
    <row r="17" spans="1:38" x14ac:dyDescent="0.25">
      <c r="A17" s="10"/>
      <c r="B17" s="440" t="s">
        <v>33</v>
      </c>
      <c r="C17" s="440"/>
      <c r="D17" s="440" t="s">
        <v>34</v>
      </c>
      <c r="E17" s="440"/>
      <c r="F17" s="440" t="s">
        <v>35</v>
      </c>
      <c r="G17" s="441"/>
      <c r="H17" s="347" t="s">
        <v>33</v>
      </c>
      <c r="I17" s="440"/>
      <c r="J17" s="440" t="s">
        <v>34</v>
      </c>
      <c r="K17" s="440"/>
      <c r="L17" s="440" t="s">
        <v>35</v>
      </c>
      <c r="M17" s="441"/>
      <c r="N17" s="347" t="s">
        <v>36</v>
      </c>
      <c r="O17" s="440"/>
      <c r="P17" s="440" t="s">
        <v>37</v>
      </c>
      <c r="Q17" s="440"/>
      <c r="R17" s="11"/>
    </row>
    <row r="18" spans="1:38" x14ac:dyDescent="0.25">
      <c r="A18" s="10"/>
      <c r="B18" s="126">
        <f>'ANA SAYFA'!F66</f>
        <v>54.6</v>
      </c>
      <c r="C18" s="31" t="s">
        <v>38</v>
      </c>
      <c r="D18" s="126">
        <f>'ANA SAYFA'!I66</f>
        <v>60.3</v>
      </c>
      <c r="E18" s="31" t="s">
        <v>38</v>
      </c>
      <c r="F18" s="126">
        <f>'ANA SAYFA'!L66</f>
        <v>64.7</v>
      </c>
      <c r="G18" s="174" t="s">
        <v>38</v>
      </c>
      <c r="H18" s="173">
        <f>B18*V38</f>
        <v>108.108</v>
      </c>
      <c r="I18" s="31" t="s">
        <v>38</v>
      </c>
      <c r="J18" s="126">
        <f>D18*V38</f>
        <v>119.39399999999999</v>
      </c>
      <c r="K18" s="31" t="s">
        <v>38</v>
      </c>
      <c r="L18" s="126">
        <f>F18*V38</f>
        <v>128.10599999999999</v>
      </c>
      <c r="M18" s="174" t="s">
        <v>38</v>
      </c>
      <c r="N18" s="373">
        <f>L18/H18</f>
        <v>1.184981684981685</v>
      </c>
      <c r="O18" s="370"/>
      <c r="P18" s="425" t="str">
        <f>IF(L18&lt;V15,V18,V16)</f>
        <v>UYGUN</v>
      </c>
      <c r="Q18" s="425"/>
      <c r="R18" s="11"/>
      <c r="V18" s="244" t="s">
        <v>120</v>
      </c>
      <c r="W18" s="244"/>
    </row>
    <row r="19" spans="1:38" x14ac:dyDescent="0.25">
      <c r="A19" s="10"/>
      <c r="B19" s="3"/>
      <c r="C19" s="4"/>
      <c r="D19" s="4"/>
      <c r="E19" s="4"/>
      <c r="F19" s="4"/>
      <c r="G19" s="4"/>
      <c r="H19" s="4"/>
      <c r="I19" s="4"/>
      <c r="J19" s="4"/>
      <c r="K19" s="4"/>
      <c r="L19" s="4"/>
      <c r="M19" s="4"/>
      <c r="N19" s="4"/>
      <c r="O19" s="4"/>
      <c r="P19" s="4"/>
      <c r="Q19" s="5"/>
      <c r="R19" s="11"/>
    </row>
    <row r="20" spans="1:38" ht="18.75" x14ac:dyDescent="0.25">
      <c r="A20" s="10"/>
      <c r="B20" s="288" t="s">
        <v>32</v>
      </c>
      <c r="C20" s="289"/>
      <c r="D20" s="289"/>
      <c r="E20" s="289"/>
      <c r="F20" s="289"/>
      <c r="G20" s="289"/>
      <c r="H20" s="289"/>
      <c r="I20" s="289"/>
      <c r="J20" s="289"/>
      <c r="K20" s="289"/>
      <c r="L20" s="289"/>
      <c r="M20" s="289"/>
      <c r="N20" s="289"/>
      <c r="O20" s="289"/>
      <c r="P20" s="289"/>
      <c r="Q20" s="290"/>
      <c r="R20" s="11"/>
      <c r="U20" s="140" t="s">
        <v>134</v>
      </c>
      <c r="V20" s="140">
        <v>0.2</v>
      </c>
      <c r="W20" s="140"/>
    </row>
    <row r="21" spans="1:38" x14ac:dyDescent="0.25">
      <c r="A21" s="10"/>
      <c r="B21" s="345" t="s">
        <v>143</v>
      </c>
      <c r="C21" s="346"/>
      <c r="D21" s="346"/>
      <c r="E21" s="346"/>
      <c r="F21" s="346"/>
      <c r="G21" s="442"/>
      <c r="H21" s="346" t="s">
        <v>156</v>
      </c>
      <c r="I21" s="346"/>
      <c r="J21" s="346"/>
      <c r="K21" s="346"/>
      <c r="L21" s="346"/>
      <c r="M21" s="442"/>
      <c r="N21" s="4"/>
      <c r="O21" s="4"/>
      <c r="P21" s="4"/>
      <c r="Q21" s="5"/>
      <c r="R21" s="11"/>
      <c r="U21" s="140"/>
      <c r="V21" s="244" t="s">
        <v>39</v>
      </c>
      <c r="W21" s="244"/>
    </row>
    <row r="22" spans="1:38" x14ac:dyDescent="0.25">
      <c r="A22" s="10"/>
      <c r="B22" s="440" t="s">
        <v>33</v>
      </c>
      <c r="C22" s="440"/>
      <c r="D22" s="440" t="s">
        <v>34</v>
      </c>
      <c r="E22" s="440"/>
      <c r="F22" s="440" t="s">
        <v>35</v>
      </c>
      <c r="G22" s="441"/>
      <c r="H22" s="347" t="s">
        <v>33</v>
      </c>
      <c r="I22" s="440"/>
      <c r="J22" s="440" t="s">
        <v>34</v>
      </c>
      <c r="K22" s="440"/>
      <c r="L22" s="440" t="s">
        <v>35</v>
      </c>
      <c r="M22" s="441"/>
      <c r="N22" s="347" t="s">
        <v>36</v>
      </c>
      <c r="O22" s="440"/>
      <c r="P22" s="440" t="s">
        <v>37</v>
      </c>
      <c r="Q22" s="440"/>
      <c r="R22" s="11"/>
      <c r="U22" s="140"/>
      <c r="V22" s="140"/>
      <c r="W22" s="140"/>
    </row>
    <row r="23" spans="1:38" x14ac:dyDescent="0.25">
      <c r="A23" s="10"/>
      <c r="B23" s="126">
        <f>'ANA SAYFA'!F68</f>
        <v>37.700000000000003</v>
      </c>
      <c r="C23" s="31" t="s">
        <v>38</v>
      </c>
      <c r="D23" s="126">
        <f>'ANA SAYFA'!I68</f>
        <v>44.4</v>
      </c>
      <c r="E23" s="31" t="s">
        <v>38</v>
      </c>
      <c r="F23" s="126">
        <f>'ANA SAYFA'!L68</f>
        <v>48.8</v>
      </c>
      <c r="G23" s="174" t="s">
        <v>38</v>
      </c>
      <c r="H23" s="173">
        <f>B23*V38</f>
        <v>74.646000000000001</v>
      </c>
      <c r="I23" s="31" t="s">
        <v>38</v>
      </c>
      <c r="J23" s="126">
        <f>D23*V38</f>
        <v>87.911999999999992</v>
      </c>
      <c r="K23" s="31" t="s">
        <v>38</v>
      </c>
      <c r="L23" s="126">
        <f>F23*V38</f>
        <v>96.623999999999995</v>
      </c>
      <c r="M23" s="174" t="s">
        <v>38</v>
      </c>
      <c r="N23" s="373">
        <f>L23/H23</f>
        <v>1.2944297082228116</v>
      </c>
      <c r="O23" s="370"/>
      <c r="P23" s="425" t="str">
        <f>IF(L23&lt;V20,V23,V21)</f>
        <v>UYGUN</v>
      </c>
      <c r="Q23" s="425"/>
      <c r="R23" s="11"/>
      <c r="U23" s="140"/>
      <c r="V23" s="244" t="s">
        <v>120</v>
      </c>
      <c r="W23" s="244"/>
    </row>
    <row r="24" spans="1:38" x14ac:dyDescent="0.25">
      <c r="A24" s="10"/>
      <c r="B24" s="6"/>
      <c r="C24" s="423"/>
      <c r="D24" s="423"/>
      <c r="E24" s="423"/>
      <c r="F24" s="423"/>
      <c r="G24" s="424"/>
      <c r="H24" s="424"/>
      <c r="I24" s="423"/>
      <c r="J24" s="423"/>
      <c r="K24" s="424"/>
      <c r="L24" s="424"/>
      <c r="M24" s="424"/>
      <c r="N24" s="424"/>
      <c r="O24" s="424"/>
      <c r="P24" s="424"/>
      <c r="Q24" s="7"/>
      <c r="R24" s="11"/>
      <c r="Y24" s="359" t="s">
        <v>175</v>
      </c>
      <c r="Z24" s="359"/>
      <c r="AA24" s="359"/>
      <c r="AB24" s="359"/>
      <c r="AC24" s="359"/>
      <c r="AD24" s="359"/>
      <c r="AE24" s="359"/>
      <c r="AF24" s="359"/>
      <c r="AG24" s="359"/>
      <c r="AH24" s="359"/>
      <c r="AI24" s="359"/>
      <c r="AJ24" s="359"/>
      <c r="AK24" s="359"/>
      <c r="AL24" s="360"/>
    </row>
    <row r="25" spans="1:38" ht="18.75" x14ac:dyDescent="0.25">
      <c r="A25" s="10"/>
      <c r="B25" s="288" t="s">
        <v>41</v>
      </c>
      <c r="C25" s="289"/>
      <c r="D25" s="289"/>
      <c r="E25" s="289"/>
      <c r="F25" s="289"/>
      <c r="G25" s="289"/>
      <c r="H25" s="289"/>
      <c r="I25" s="289"/>
      <c r="J25" s="289"/>
      <c r="K25" s="289"/>
      <c r="L25" s="289"/>
      <c r="M25" s="289"/>
      <c r="N25" s="289"/>
      <c r="O25" s="289"/>
      <c r="P25" s="289"/>
      <c r="Q25" s="290"/>
      <c r="R25" s="11"/>
      <c r="U25" s="140" t="s">
        <v>135</v>
      </c>
      <c r="V25" s="140">
        <v>1.1000000000000001</v>
      </c>
      <c r="W25" s="140"/>
      <c r="Y25" s="361"/>
      <c r="Z25" s="361"/>
      <c r="AA25" s="361"/>
      <c r="AB25" s="361"/>
      <c r="AC25" s="361"/>
      <c r="AD25" s="361"/>
      <c r="AE25" s="361"/>
      <c r="AF25" s="361"/>
      <c r="AG25" s="361"/>
      <c r="AH25" s="361"/>
      <c r="AI25" s="361"/>
      <c r="AJ25" s="361"/>
      <c r="AK25" s="361"/>
      <c r="AL25" s="362"/>
    </row>
    <row r="26" spans="1:38" x14ac:dyDescent="0.25">
      <c r="A26" s="10"/>
      <c r="B26" s="345" t="s">
        <v>143</v>
      </c>
      <c r="C26" s="346"/>
      <c r="D26" s="346"/>
      <c r="E26" s="346"/>
      <c r="F26" s="346"/>
      <c r="G26" s="442"/>
      <c r="H26" s="346" t="s">
        <v>156</v>
      </c>
      <c r="I26" s="346"/>
      <c r="J26" s="346"/>
      <c r="K26" s="346"/>
      <c r="L26" s="346"/>
      <c r="M26" s="442"/>
      <c r="N26" s="4"/>
      <c r="O26" s="4"/>
      <c r="P26" s="4"/>
      <c r="Q26" s="5"/>
      <c r="R26" s="11"/>
      <c r="U26" s="140"/>
      <c r="V26" s="244" t="s">
        <v>39</v>
      </c>
      <c r="W26" s="244"/>
      <c r="Y26" s="361"/>
      <c r="Z26" s="361"/>
      <c r="AA26" s="361"/>
      <c r="AB26" s="361"/>
      <c r="AC26" s="361"/>
      <c r="AD26" s="361"/>
      <c r="AE26" s="361"/>
      <c r="AF26" s="361"/>
      <c r="AG26" s="361"/>
      <c r="AH26" s="361"/>
      <c r="AI26" s="361"/>
      <c r="AJ26" s="361"/>
      <c r="AK26" s="361"/>
      <c r="AL26" s="362"/>
    </row>
    <row r="27" spans="1:38" x14ac:dyDescent="0.25">
      <c r="A27" s="10"/>
      <c r="B27" s="440" t="s">
        <v>33</v>
      </c>
      <c r="C27" s="440"/>
      <c r="D27" s="440" t="s">
        <v>34</v>
      </c>
      <c r="E27" s="440"/>
      <c r="F27" s="440" t="s">
        <v>35</v>
      </c>
      <c r="G27" s="441"/>
      <c r="H27" s="347" t="s">
        <v>33</v>
      </c>
      <c r="I27" s="440"/>
      <c r="J27" s="440" t="s">
        <v>34</v>
      </c>
      <c r="K27" s="440"/>
      <c r="L27" s="440" t="s">
        <v>35</v>
      </c>
      <c r="M27" s="441"/>
      <c r="N27" s="347" t="s">
        <v>36</v>
      </c>
      <c r="O27" s="440"/>
      <c r="P27" s="440" t="s">
        <v>37</v>
      </c>
      <c r="Q27" s="440"/>
      <c r="R27" s="11"/>
      <c r="U27" s="140"/>
      <c r="V27" s="140"/>
      <c r="W27" s="140"/>
      <c r="Y27" s="361"/>
      <c r="Z27" s="361"/>
      <c r="AA27" s="361"/>
      <c r="AB27" s="361"/>
      <c r="AC27" s="361"/>
      <c r="AD27" s="361"/>
      <c r="AE27" s="361"/>
      <c r="AF27" s="361"/>
      <c r="AG27" s="361"/>
      <c r="AH27" s="361"/>
      <c r="AI27" s="361"/>
      <c r="AJ27" s="361"/>
      <c r="AK27" s="361"/>
      <c r="AL27" s="362"/>
    </row>
    <row r="28" spans="1:38" x14ac:dyDescent="0.25">
      <c r="A28" s="10"/>
      <c r="B28" s="126">
        <f>'ANA SAYFA'!F70</f>
        <v>57.8</v>
      </c>
      <c r="C28" s="31" t="s">
        <v>38</v>
      </c>
      <c r="D28" s="126">
        <f>'ANA SAYFA'!I70</f>
        <v>63.3</v>
      </c>
      <c r="E28" s="31" t="s">
        <v>38</v>
      </c>
      <c r="F28" s="126">
        <f>'ANA SAYFA'!L70</f>
        <v>68.8</v>
      </c>
      <c r="G28" s="174" t="s">
        <v>38</v>
      </c>
      <c r="H28" s="173">
        <f>B28*V38</f>
        <v>114.44399999999999</v>
      </c>
      <c r="I28" s="31" t="s">
        <v>38</v>
      </c>
      <c r="J28" s="126">
        <f>D28*V38</f>
        <v>125.33399999999999</v>
      </c>
      <c r="K28" s="31" t="s">
        <v>38</v>
      </c>
      <c r="L28" s="126">
        <f>F28*V38</f>
        <v>136.22399999999999</v>
      </c>
      <c r="M28" s="174" t="s">
        <v>38</v>
      </c>
      <c r="N28" s="373">
        <f>L28/H28</f>
        <v>1.1903114186851211</v>
      </c>
      <c r="O28" s="370"/>
      <c r="P28" s="425" t="str">
        <f>IF(L28&lt;V25,V28,V26)</f>
        <v>UYGUN</v>
      </c>
      <c r="Q28" s="425"/>
      <c r="R28" s="11"/>
      <c r="U28" s="140"/>
      <c r="V28" s="244" t="s">
        <v>120</v>
      </c>
      <c r="W28" s="244"/>
      <c r="Y28" s="361"/>
      <c r="Z28" s="361"/>
      <c r="AA28" s="361"/>
      <c r="AB28" s="361"/>
      <c r="AC28" s="361"/>
      <c r="AD28" s="361"/>
      <c r="AE28" s="361"/>
      <c r="AF28" s="361"/>
      <c r="AG28" s="361"/>
      <c r="AH28" s="361"/>
      <c r="AI28" s="361"/>
      <c r="AJ28" s="361"/>
      <c r="AK28" s="361"/>
      <c r="AL28" s="362"/>
    </row>
    <row r="29" spans="1:38" ht="7.5" customHeight="1" x14ac:dyDescent="0.25">
      <c r="A29" s="10"/>
      <c r="B29" s="3"/>
      <c r="C29" s="4"/>
      <c r="D29" s="4"/>
      <c r="E29" s="4"/>
      <c r="F29" s="4"/>
      <c r="G29" s="4"/>
      <c r="H29" s="4"/>
      <c r="I29" s="4"/>
      <c r="J29" s="4"/>
      <c r="K29" s="4"/>
      <c r="L29" s="4"/>
      <c r="M29" s="4"/>
      <c r="N29" s="4"/>
      <c r="O29" s="4"/>
      <c r="P29" s="4"/>
      <c r="Q29" s="5"/>
      <c r="R29" s="11"/>
    </row>
    <row r="30" spans="1:38" s="140" customFormat="1" ht="7.5" customHeight="1" x14ac:dyDescent="0.25">
      <c r="A30" s="10"/>
      <c r="B30" s="3"/>
      <c r="C30" s="4"/>
      <c r="D30" s="4"/>
      <c r="E30" s="4"/>
      <c r="F30" s="4"/>
      <c r="G30" s="4"/>
      <c r="H30" s="4"/>
      <c r="I30" s="4"/>
      <c r="J30" s="4"/>
      <c r="K30" s="4"/>
      <c r="L30" s="4"/>
      <c r="M30" s="4"/>
      <c r="N30" s="4"/>
      <c r="O30" s="4"/>
      <c r="P30" s="4"/>
      <c r="Q30" s="5"/>
      <c r="R30" s="11"/>
    </row>
    <row r="31" spans="1:38" x14ac:dyDescent="0.25">
      <c r="A31" s="10"/>
      <c r="B31" s="24"/>
      <c r="C31" s="25"/>
      <c r="D31" s="25"/>
      <c r="E31" s="25"/>
      <c r="F31" s="4"/>
      <c r="G31" s="4"/>
      <c r="H31" s="4"/>
      <c r="I31" s="4"/>
      <c r="J31" s="4"/>
      <c r="K31" s="4"/>
      <c r="L31" s="4"/>
      <c r="M31" s="4"/>
      <c r="N31" s="4"/>
      <c r="O31" s="4"/>
      <c r="P31" s="4"/>
      <c r="Q31" s="5"/>
      <c r="R31" s="11"/>
    </row>
    <row r="32" spans="1:38" x14ac:dyDescent="0.25">
      <c r="A32" s="10"/>
      <c r="B32" s="24"/>
      <c r="C32" s="25"/>
      <c r="D32" s="25"/>
      <c r="E32" s="25"/>
      <c r="F32" s="4"/>
      <c r="G32" s="4"/>
      <c r="H32" s="4"/>
      <c r="I32" s="4"/>
      <c r="J32" s="4"/>
      <c r="K32" s="4"/>
      <c r="L32" s="4"/>
      <c r="M32" s="4"/>
      <c r="N32" s="4"/>
      <c r="O32" s="4"/>
      <c r="P32" s="4"/>
      <c r="Q32" s="5"/>
      <c r="R32" s="11"/>
      <c r="Y32" s="359" t="s">
        <v>136</v>
      </c>
      <c r="Z32" s="359"/>
      <c r="AA32" s="359"/>
      <c r="AB32" s="359"/>
      <c r="AC32" s="359"/>
      <c r="AD32" s="359"/>
      <c r="AE32" s="359"/>
      <c r="AF32" s="359"/>
      <c r="AG32" s="359"/>
      <c r="AH32" s="359"/>
      <c r="AI32" s="359"/>
      <c r="AJ32" s="359"/>
      <c r="AK32" s="359"/>
      <c r="AL32" s="360"/>
    </row>
    <row r="33" spans="1:38" x14ac:dyDescent="0.25">
      <c r="A33" s="10"/>
      <c r="B33" s="3"/>
      <c r="C33" s="4"/>
      <c r="D33" s="4"/>
      <c r="E33" s="4"/>
      <c r="F33" s="4"/>
      <c r="G33" s="4"/>
      <c r="H33" s="4"/>
      <c r="I33" s="4"/>
      <c r="J33" s="4"/>
      <c r="K33" s="4"/>
      <c r="L33" s="4"/>
      <c r="M33" s="4"/>
      <c r="N33" s="4"/>
      <c r="O33" s="4"/>
      <c r="P33" s="4"/>
      <c r="Q33" s="5"/>
      <c r="R33" s="11"/>
      <c r="Y33" s="361"/>
      <c r="Z33" s="361"/>
      <c r="AA33" s="361"/>
      <c r="AB33" s="361"/>
      <c r="AC33" s="361"/>
      <c r="AD33" s="361"/>
      <c r="AE33" s="361"/>
      <c r="AF33" s="361"/>
      <c r="AG33" s="361"/>
      <c r="AH33" s="361"/>
      <c r="AI33" s="361"/>
      <c r="AJ33" s="361"/>
      <c r="AK33" s="361"/>
      <c r="AL33" s="362"/>
    </row>
    <row r="34" spans="1:38" x14ac:dyDescent="0.25">
      <c r="A34" s="10"/>
      <c r="B34" s="3"/>
      <c r="C34" s="4"/>
      <c r="D34" s="4"/>
      <c r="E34" s="4"/>
      <c r="F34" s="4"/>
      <c r="G34" s="4"/>
      <c r="H34" s="4"/>
      <c r="I34" s="4"/>
      <c r="J34" s="4"/>
      <c r="K34" s="4"/>
      <c r="L34" s="4"/>
      <c r="M34" s="4"/>
      <c r="N34" s="4"/>
      <c r="O34" s="4"/>
      <c r="P34" s="4"/>
      <c r="Q34" s="5"/>
      <c r="R34" s="11"/>
      <c r="Y34" s="361"/>
      <c r="Z34" s="361"/>
      <c r="AA34" s="361"/>
      <c r="AB34" s="361"/>
      <c r="AC34" s="361"/>
      <c r="AD34" s="361"/>
      <c r="AE34" s="361"/>
      <c r="AF34" s="361"/>
      <c r="AG34" s="361"/>
      <c r="AH34" s="361"/>
      <c r="AI34" s="361"/>
      <c r="AJ34" s="361"/>
      <c r="AK34" s="361"/>
      <c r="AL34" s="362"/>
    </row>
    <row r="35" spans="1:38" x14ac:dyDescent="0.25">
      <c r="A35" s="10"/>
      <c r="B35" s="3"/>
      <c r="C35" s="4"/>
      <c r="D35" s="4"/>
      <c r="E35" s="4"/>
      <c r="F35" s="23"/>
      <c r="G35" s="4"/>
      <c r="H35" s="4"/>
      <c r="I35" s="4"/>
      <c r="J35" s="4"/>
      <c r="K35" s="4"/>
      <c r="L35" s="4"/>
      <c r="M35" s="4"/>
      <c r="N35" s="4"/>
      <c r="O35" s="4"/>
      <c r="P35" s="4"/>
      <c r="Q35" s="5"/>
      <c r="R35" s="11"/>
      <c r="Y35" s="361"/>
      <c r="Z35" s="361"/>
      <c r="AA35" s="361"/>
      <c r="AB35" s="361"/>
      <c r="AC35" s="361"/>
      <c r="AD35" s="361"/>
      <c r="AE35" s="361"/>
      <c r="AF35" s="361"/>
      <c r="AG35" s="361"/>
      <c r="AH35" s="361"/>
      <c r="AI35" s="361"/>
      <c r="AJ35" s="361"/>
      <c r="AK35" s="361"/>
      <c r="AL35" s="362"/>
    </row>
    <row r="36" spans="1:38" x14ac:dyDescent="0.25">
      <c r="A36" s="10"/>
      <c r="B36" s="3"/>
      <c r="C36" s="4"/>
      <c r="D36" s="4"/>
      <c r="E36" s="4"/>
      <c r="F36" s="4"/>
      <c r="G36" s="4"/>
      <c r="H36" s="4"/>
      <c r="I36" s="4"/>
      <c r="J36" s="4"/>
      <c r="K36" s="4"/>
      <c r="L36" s="4"/>
      <c r="M36" s="4"/>
      <c r="N36" s="4"/>
      <c r="O36" s="4"/>
      <c r="P36" s="4"/>
      <c r="Q36" s="5"/>
      <c r="R36" s="11"/>
      <c r="Y36" s="361"/>
      <c r="Z36" s="361"/>
      <c r="AA36" s="361"/>
      <c r="AB36" s="361"/>
      <c r="AC36" s="361"/>
      <c r="AD36" s="361"/>
      <c r="AE36" s="361"/>
      <c r="AF36" s="361"/>
      <c r="AG36" s="361"/>
      <c r="AH36" s="361"/>
      <c r="AI36" s="361"/>
      <c r="AJ36" s="361"/>
      <c r="AK36" s="361"/>
      <c r="AL36" s="362"/>
    </row>
    <row r="37" spans="1:38" x14ac:dyDescent="0.25">
      <c r="A37" s="10"/>
      <c r="B37" s="3"/>
      <c r="C37" s="4"/>
      <c r="D37" s="4"/>
      <c r="E37" s="4"/>
      <c r="F37" s="4"/>
      <c r="G37" s="4"/>
      <c r="H37" s="4"/>
      <c r="I37" s="4"/>
      <c r="J37" s="4"/>
      <c r="K37" s="4"/>
      <c r="L37" s="4"/>
      <c r="M37" s="4"/>
      <c r="N37" s="4"/>
      <c r="O37" s="4"/>
      <c r="P37" s="4"/>
      <c r="Q37" s="5"/>
      <c r="R37" s="11"/>
    </row>
    <row r="38" spans="1:38" x14ac:dyDescent="0.25">
      <c r="A38" s="10"/>
      <c r="B38" s="6"/>
      <c r="C38" s="27"/>
      <c r="D38" s="27"/>
      <c r="E38" s="4"/>
      <c r="F38" s="4"/>
      <c r="G38" s="4"/>
      <c r="H38" s="4"/>
      <c r="I38" s="4"/>
      <c r="J38" s="4"/>
      <c r="K38" s="4"/>
      <c r="L38" s="4"/>
      <c r="M38" s="4"/>
      <c r="N38" s="4"/>
      <c r="O38" s="4"/>
      <c r="P38" s="4"/>
      <c r="Q38" s="7"/>
      <c r="R38" s="11"/>
      <c r="U38" t="s">
        <v>145</v>
      </c>
      <c r="V38">
        <f>IF(P13&gt;40,X43,X42)</f>
        <v>1.98</v>
      </c>
    </row>
    <row r="39" spans="1:38" s="119" customFormat="1" x14ac:dyDescent="0.25">
      <c r="A39" s="10"/>
      <c r="B39" s="118"/>
      <c r="C39" s="27"/>
      <c r="D39" s="27"/>
      <c r="E39" s="4"/>
      <c r="F39" s="4"/>
      <c r="G39" s="4"/>
      <c r="H39" s="4"/>
      <c r="I39" s="4"/>
      <c r="J39" s="4"/>
      <c r="K39" s="4"/>
      <c r="L39" s="4"/>
      <c r="M39" s="4"/>
      <c r="N39" s="4"/>
      <c r="O39" s="4"/>
      <c r="P39" s="4"/>
      <c r="Q39" s="117"/>
      <c r="R39" s="11"/>
      <c r="T39" s="171"/>
      <c r="U39" s="171"/>
      <c r="V39" s="171"/>
      <c r="W39" s="171"/>
      <c r="X39" s="171"/>
      <c r="Y39" s="171"/>
    </row>
    <row r="40" spans="1:38" x14ac:dyDescent="0.25">
      <c r="A40" s="10"/>
      <c r="B40" s="6"/>
      <c r="C40" s="23"/>
      <c r="D40" s="23"/>
      <c r="E40" s="23"/>
      <c r="F40" s="23"/>
      <c r="G40" s="23"/>
      <c r="H40" s="23"/>
      <c r="I40" s="23"/>
      <c r="J40" s="23"/>
      <c r="K40" s="23"/>
      <c r="L40" s="23"/>
      <c r="M40" s="23"/>
      <c r="N40" s="23"/>
      <c r="O40" s="23"/>
      <c r="P40" s="23"/>
      <c r="Q40" s="7"/>
      <c r="R40" s="11"/>
      <c r="T40" s="171"/>
      <c r="U40" s="171"/>
      <c r="V40" s="171"/>
      <c r="W40" s="171"/>
      <c r="X40" s="171"/>
      <c r="Y40" s="171"/>
    </row>
    <row r="41" spans="1:38" ht="15.75" x14ac:dyDescent="0.25">
      <c r="A41" s="10"/>
      <c r="B41" s="432" t="s">
        <v>31</v>
      </c>
      <c r="C41" s="432"/>
      <c r="D41" s="359" t="str">
        <f>IF(L18&lt;V15,Y32,Y24)</f>
        <v>Yapılan ölçümlerde trafonun izolasyon direnç değerleri uygun bulunmuştur.</v>
      </c>
      <c r="E41" s="359"/>
      <c r="F41" s="359"/>
      <c r="G41" s="359"/>
      <c r="H41" s="359"/>
      <c r="I41" s="359"/>
      <c r="J41" s="359"/>
      <c r="K41" s="359"/>
      <c r="L41" s="359"/>
      <c r="M41" s="359"/>
      <c r="N41" s="359"/>
      <c r="O41" s="359"/>
      <c r="P41" s="359"/>
      <c r="Q41" s="360"/>
      <c r="R41" s="11"/>
      <c r="T41" s="171"/>
      <c r="U41" s="171"/>
      <c r="V41" s="1"/>
      <c r="W41" s="171"/>
      <c r="X41" s="171"/>
      <c r="Y41" s="171"/>
    </row>
    <row r="42" spans="1:38" x14ac:dyDescent="0.25">
      <c r="A42" s="10"/>
      <c r="B42" s="6"/>
      <c r="C42" s="23"/>
      <c r="D42" s="361"/>
      <c r="E42" s="361"/>
      <c r="F42" s="361"/>
      <c r="G42" s="361"/>
      <c r="H42" s="361"/>
      <c r="I42" s="361"/>
      <c r="J42" s="361"/>
      <c r="K42" s="361"/>
      <c r="L42" s="361"/>
      <c r="M42" s="361"/>
      <c r="N42" s="361"/>
      <c r="O42" s="361"/>
      <c r="P42" s="361"/>
      <c r="Q42" s="362"/>
      <c r="R42" s="11"/>
      <c r="T42" s="171"/>
      <c r="U42" s="171" t="s">
        <v>126</v>
      </c>
      <c r="V42" s="171" t="s">
        <v>127</v>
      </c>
      <c r="W42" s="171"/>
      <c r="X42" s="171">
        <f>IF(P13=0,V43, IF(P13=5,V44, IF(P13=10,V45,
IF(P13=15,V46,
IF(P13=20,V47,
IF(P13=25,V48,
IF(P13=30,V49,
IF(P13=35,V50, IF(P13=40,V51, )))))))))</f>
        <v>1.98</v>
      </c>
      <c r="Y42" s="171"/>
    </row>
    <row r="43" spans="1:38" x14ac:dyDescent="0.25">
      <c r="A43" s="10"/>
      <c r="B43" s="3"/>
      <c r="C43" s="4"/>
      <c r="D43" s="361"/>
      <c r="E43" s="361"/>
      <c r="F43" s="361"/>
      <c r="G43" s="361"/>
      <c r="H43" s="361"/>
      <c r="I43" s="361"/>
      <c r="J43" s="361"/>
      <c r="K43" s="361"/>
      <c r="L43" s="361"/>
      <c r="M43" s="361"/>
      <c r="N43" s="361"/>
      <c r="O43" s="361"/>
      <c r="P43" s="361"/>
      <c r="Q43" s="362"/>
      <c r="R43" s="11"/>
      <c r="T43" s="171"/>
      <c r="U43" s="192">
        <v>0</v>
      </c>
      <c r="V43" s="192">
        <v>0.25</v>
      </c>
      <c r="W43" s="171"/>
      <c r="X43" s="171">
        <f>IF(P13=45,V52, IF(P13=50,V53, IF(P13=55,V54,
IF(P13=60,V55,
IF(P13=65,V56,
IF(P13=70,V57,
IF(P13=75,V58,
)))))))</f>
        <v>0</v>
      </c>
      <c r="Y43" s="171"/>
    </row>
    <row r="44" spans="1:38" s="101" customFormat="1" x14ac:dyDescent="0.25">
      <c r="A44" s="10"/>
      <c r="B44" s="3"/>
      <c r="C44" s="4"/>
      <c r="D44" s="361"/>
      <c r="E44" s="361"/>
      <c r="F44" s="361"/>
      <c r="G44" s="361"/>
      <c r="H44" s="361"/>
      <c r="I44" s="361"/>
      <c r="J44" s="361"/>
      <c r="K44" s="361"/>
      <c r="L44" s="361"/>
      <c r="M44" s="361"/>
      <c r="N44" s="361"/>
      <c r="O44" s="361"/>
      <c r="P44" s="361"/>
      <c r="Q44" s="362"/>
      <c r="R44" s="11"/>
      <c r="T44" s="171"/>
      <c r="U44" s="192">
        <v>5</v>
      </c>
      <c r="V44" s="192">
        <v>0.36</v>
      </c>
      <c r="W44" s="171"/>
      <c r="X44" s="171"/>
      <c r="Y44" s="171"/>
    </row>
    <row r="45" spans="1:38" x14ac:dyDescent="0.25">
      <c r="A45" s="10"/>
      <c r="B45" s="42"/>
      <c r="C45" s="43"/>
      <c r="D45" s="433"/>
      <c r="E45" s="433"/>
      <c r="F45" s="433"/>
      <c r="G45" s="433"/>
      <c r="H45" s="433"/>
      <c r="I45" s="433"/>
      <c r="J45" s="433"/>
      <c r="K45" s="433"/>
      <c r="L45" s="433"/>
      <c r="M45" s="433"/>
      <c r="N45" s="433"/>
      <c r="O45" s="433"/>
      <c r="P45" s="433"/>
      <c r="Q45" s="434"/>
      <c r="R45" s="11"/>
      <c r="T45" s="171"/>
      <c r="U45" s="192">
        <v>10</v>
      </c>
      <c r="V45" s="192">
        <v>0.5</v>
      </c>
      <c r="W45" s="171"/>
      <c r="X45" s="171"/>
      <c r="Y45" s="171"/>
    </row>
    <row r="46" spans="1:38" x14ac:dyDescent="0.25">
      <c r="A46" s="10"/>
      <c r="B46" s="435" t="s">
        <v>146</v>
      </c>
      <c r="C46" s="436"/>
      <c r="D46" s="436"/>
      <c r="E46" s="436"/>
      <c r="F46" s="436"/>
      <c r="G46" s="436"/>
      <c r="H46" s="436"/>
      <c r="I46" s="436"/>
      <c r="J46" s="436"/>
      <c r="K46" s="436"/>
      <c r="L46" s="436"/>
      <c r="M46" s="436"/>
      <c r="N46" s="436"/>
      <c r="O46" s="436"/>
      <c r="P46" s="436"/>
      <c r="Q46" s="437"/>
      <c r="R46" s="11"/>
      <c r="S46" s="10"/>
      <c r="T46" s="123"/>
      <c r="U46" s="123">
        <v>15</v>
      </c>
      <c r="V46" s="123">
        <v>0.74</v>
      </c>
      <c r="W46" s="123"/>
      <c r="X46" s="123"/>
      <c r="Y46" s="123"/>
      <c r="Z46" s="123"/>
      <c r="AA46" s="123"/>
      <c r="AB46" s="123"/>
      <c r="AC46" s="32"/>
      <c r="AD46" s="123"/>
      <c r="AE46" s="123"/>
      <c r="AF46" s="123"/>
      <c r="AG46" s="123"/>
      <c r="AH46" s="123"/>
    </row>
    <row r="47" spans="1:38" x14ac:dyDescent="0.25">
      <c r="A47" s="10"/>
      <c r="B47" s="435"/>
      <c r="C47" s="436"/>
      <c r="D47" s="436"/>
      <c r="E47" s="436"/>
      <c r="F47" s="436"/>
      <c r="G47" s="436"/>
      <c r="H47" s="436"/>
      <c r="I47" s="436"/>
      <c r="J47" s="436"/>
      <c r="K47" s="436"/>
      <c r="L47" s="436"/>
      <c r="M47" s="436"/>
      <c r="N47" s="436"/>
      <c r="O47" s="436"/>
      <c r="P47" s="436"/>
      <c r="Q47" s="437"/>
      <c r="R47" s="11"/>
      <c r="S47" s="10"/>
      <c r="T47" s="123"/>
      <c r="U47" s="172">
        <v>20</v>
      </c>
      <c r="V47" s="172">
        <v>1</v>
      </c>
      <c r="W47" s="123"/>
      <c r="X47" s="123"/>
      <c r="Y47" s="123"/>
      <c r="Z47" s="123"/>
      <c r="AA47" s="1"/>
      <c r="AB47" s="1"/>
      <c r="AC47" s="1"/>
      <c r="AD47" s="1"/>
      <c r="AE47" s="1"/>
      <c r="AF47" s="1"/>
      <c r="AG47" s="1"/>
      <c r="AH47" s="1"/>
    </row>
    <row r="48" spans="1:38" s="122" customFormat="1" x14ac:dyDescent="0.25">
      <c r="A48" s="10"/>
      <c r="B48" s="435"/>
      <c r="C48" s="436"/>
      <c r="D48" s="436"/>
      <c r="E48" s="436"/>
      <c r="F48" s="436"/>
      <c r="G48" s="436"/>
      <c r="H48" s="436"/>
      <c r="I48" s="436"/>
      <c r="J48" s="436"/>
      <c r="K48" s="436"/>
      <c r="L48" s="436"/>
      <c r="M48" s="436"/>
      <c r="N48" s="436"/>
      <c r="O48" s="436"/>
      <c r="P48" s="436"/>
      <c r="Q48" s="437"/>
      <c r="R48" s="11"/>
      <c r="T48" s="171"/>
      <c r="U48" s="172">
        <v>25</v>
      </c>
      <c r="V48" s="172">
        <v>1.4</v>
      </c>
      <c r="W48" s="171"/>
      <c r="X48" s="171"/>
      <c r="Y48" s="171"/>
      <c r="AH48" s="1"/>
    </row>
    <row r="49" spans="1:25" s="122" customFormat="1" x14ac:dyDescent="0.25">
      <c r="A49" s="10"/>
      <c r="B49" s="435"/>
      <c r="C49" s="436"/>
      <c r="D49" s="436"/>
      <c r="E49" s="436"/>
      <c r="F49" s="436"/>
      <c r="G49" s="436"/>
      <c r="H49" s="436"/>
      <c r="I49" s="436"/>
      <c r="J49" s="438"/>
      <c r="K49" s="438"/>
      <c r="L49" s="438"/>
      <c r="M49" s="438"/>
      <c r="N49" s="438"/>
      <c r="O49" s="438"/>
      <c r="P49" s="438"/>
      <c r="Q49" s="439"/>
      <c r="R49" s="11"/>
      <c r="T49" s="171"/>
      <c r="U49" s="172">
        <v>30</v>
      </c>
      <c r="V49" s="172">
        <v>1.98</v>
      </c>
      <c r="W49" s="171"/>
      <c r="X49" s="171"/>
      <c r="Y49" s="171"/>
    </row>
    <row r="50" spans="1:25" s="208" customFormat="1" ht="22.5" customHeight="1" x14ac:dyDescent="0.25">
      <c r="A50" s="10"/>
      <c r="B50" s="355"/>
      <c r="C50" s="356"/>
      <c r="D50" s="356"/>
      <c r="E50" s="79"/>
      <c r="F50" s="363"/>
      <c r="G50" s="363"/>
      <c r="H50" s="363"/>
      <c r="I50" s="364"/>
      <c r="J50" s="288" t="s">
        <v>142</v>
      </c>
      <c r="K50" s="289"/>
      <c r="L50" s="289"/>
      <c r="M50" s="289"/>
      <c r="N50" s="289"/>
      <c r="O50" s="289"/>
      <c r="P50" s="289"/>
      <c r="Q50" s="290"/>
      <c r="R50" s="11"/>
      <c r="U50" s="172">
        <v>35</v>
      </c>
      <c r="V50" s="172">
        <v>2.8</v>
      </c>
    </row>
    <row r="51" spans="1:25" s="208" customFormat="1" ht="22.5" customHeight="1" x14ac:dyDescent="0.25">
      <c r="A51" s="10"/>
      <c r="B51" s="365" t="s">
        <v>167</v>
      </c>
      <c r="C51" s="366"/>
      <c r="D51" s="366"/>
      <c r="E51" s="134" t="s">
        <v>20</v>
      </c>
      <c r="F51" s="367" t="s">
        <v>190</v>
      </c>
      <c r="G51" s="367"/>
      <c r="H51" s="367"/>
      <c r="I51" s="368"/>
      <c r="J51" s="54"/>
      <c r="K51" s="54"/>
      <c r="L51" s="134"/>
      <c r="M51" s="134"/>
      <c r="N51" s="134"/>
      <c r="O51" s="134"/>
      <c r="P51" s="134"/>
      <c r="Q51" s="135"/>
      <c r="R51" s="11"/>
      <c r="U51" s="172">
        <v>40</v>
      </c>
      <c r="V51" s="172">
        <v>3.95</v>
      </c>
    </row>
    <row r="52" spans="1:25" s="208" customFormat="1" ht="22.5" customHeight="1" x14ac:dyDescent="0.25">
      <c r="A52" s="10"/>
      <c r="B52" s="351" t="s">
        <v>179</v>
      </c>
      <c r="C52" s="352"/>
      <c r="D52" s="352"/>
      <c r="E52" s="134" t="s">
        <v>20</v>
      </c>
      <c r="F52" s="353" t="str">
        <f>'ANA SAYFA'!F79</f>
        <v>05.08.2026</v>
      </c>
      <c r="G52" s="352"/>
      <c r="H52" s="352"/>
      <c r="I52" s="354"/>
      <c r="J52" s="54"/>
      <c r="K52" s="54"/>
      <c r="L52" s="134"/>
      <c r="M52" s="134"/>
      <c r="N52" s="134"/>
      <c r="O52" s="134"/>
      <c r="P52" s="134"/>
      <c r="Q52" s="135"/>
      <c r="R52" s="11"/>
      <c r="U52" s="172">
        <v>45</v>
      </c>
      <c r="V52" s="172">
        <v>5.6</v>
      </c>
    </row>
    <row r="53" spans="1:25" s="208" customFormat="1" ht="22.5" customHeight="1" x14ac:dyDescent="0.25">
      <c r="A53" s="10"/>
      <c r="B53" s="233"/>
      <c r="C53" s="234"/>
      <c r="D53" s="234"/>
      <c r="E53" s="234"/>
      <c r="F53" s="234"/>
      <c r="G53" s="234"/>
      <c r="H53" s="234"/>
      <c r="I53" s="235"/>
      <c r="J53" s="139"/>
      <c r="K53" s="139"/>
      <c r="L53" s="139"/>
      <c r="M53" s="139"/>
      <c r="N53" s="139"/>
      <c r="O53" s="139"/>
      <c r="P53" s="139"/>
      <c r="Q53" s="136"/>
      <c r="R53" s="11"/>
      <c r="U53" s="172">
        <v>50</v>
      </c>
      <c r="V53" s="172">
        <v>7.85</v>
      </c>
    </row>
    <row r="54" spans="1:25" ht="15.75" thickBot="1" x14ac:dyDescent="0.3">
      <c r="A54" s="15"/>
      <c r="B54" s="16"/>
      <c r="C54" s="16"/>
      <c r="D54" s="16"/>
      <c r="E54" s="16"/>
      <c r="F54" s="16"/>
      <c r="G54" s="16"/>
      <c r="H54" s="16"/>
      <c r="I54" s="16"/>
      <c r="J54" s="16"/>
      <c r="K54" s="16"/>
      <c r="L54" s="16"/>
      <c r="M54" s="16"/>
      <c r="N54" s="16"/>
      <c r="O54" s="16"/>
      <c r="P54" s="16"/>
      <c r="Q54" s="16"/>
      <c r="R54" s="17"/>
      <c r="U54" s="172">
        <v>55</v>
      </c>
      <c r="V54" s="172">
        <v>11.2</v>
      </c>
    </row>
    <row r="55" spans="1:25" x14ac:dyDescent="0.25">
      <c r="U55" s="172">
        <v>60</v>
      </c>
      <c r="V55" s="172">
        <v>15.85</v>
      </c>
    </row>
    <row r="56" spans="1:25" x14ac:dyDescent="0.25">
      <c r="U56" s="172">
        <v>65</v>
      </c>
      <c r="V56" s="172">
        <v>22.4</v>
      </c>
    </row>
    <row r="57" spans="1:25" x14ac:dyDescent="0.25">
      <c r="U57" s="172">
        <v>70</v>
      </c>
      <c r="V57" s="172">
        <v>31.75</v>
      </c>
    </row>
    <row r="58" spans="1:25" x14ac:dyDescent="0.25">
      <c r="U58" s="172">
        <v>75</v>
      </c>
      <c r="V58" s="172">
        <v>44.7</v>
      </c>
    </row>
  </sheetData>
  <mergeCells count="86">
    <mergeCell ref="J50:Q50"/>
    <mergeCell ref="B50:D50"/>
    <mergeCell ref="F50:I50"/>
    <mergeCell ref="B51:D51"/>
    <mergeCell ref="F51:I51"/>
    <mergeCell ref="C24:D24"/>
    <mergeCell ref="B52:D52"/>
    <mergeCell ref="F52:I52"/>
    <mergeCell ref="B13:M13"/>
    <mergeCell ref="N13:O13"/>
    <mergeCell ref="B26:G26"/>
    <mergeCell ref="H26:M26"/>
    <mergeCell ref="H27:I27"/>
    <mergeCell ref="J27:K27"/>
    <mergeCell ref="L27:M27"/>
    <mergeCell ref="D22:E22"/>
    <mergeCell ref="F22:G22"/>
    <mergeCell ref="H22:I22"/>
    <mergeCell ref="J22:K22"/>
    <mergeCell ref="L22:M22"/>
    <mergeCell ref="B21:G21"/>
    <mergeCell ref="P17:Q17"/>
    <mergeCell ref="B15:Q15"/>
    <mergeCell ref="B17:C17"/>
    <mergeCell ref="V21:W21"/>
    <mergeCell ref="V23:W23"/>
    <mergeCell ref="N18:O18"/>
    <mergeCell ref="P18:Q18"/>
    <mergeCell ref="D17:E17"/>
    <mergeCell ref="F17:G17"/>
    <mergeCell ref="N17:O17"/>
    <mergeCell ref="H17:I17"/>
    <mergeCell ref="J17:K17"/>
    <mergeCell ref="L17:M17"/>
    <mergeCell ref="H21:M21"/>
    <mergeCell ref="V18:W18"/>
    <mergeCell ref="N22:O22"/>
    <mergeCell ref="P22:Q22"/>
    <mergeCell ref="N23:O23"/>
    <mergeCell ref="P23:Q23"/>
    <mergeCell ref="B20:Q20"/>
    <mergeCell ref="B22:C22"/>
    <mergeCell ref="G2:H2"/>
    <mergeCell ref="J2:Q2"/>
    <mergeCell ref="G3:H3"/>
    <mergeCell ref="J3:Q3"/>
    <mergeCell ref="V16:W16"/>
    <mergeCell ref="B16:G16"/>
    <mergeCell ref="H16:M16"/>
    <mergeCell ref="B41:C41"/>
    <mergeCell ref="D41:Q45"/>
    <mergeCell ref="B46:Q49"/>
    <mergeCell ref="B25:Q25"/>
    <mergeCell ref="B27:C27"/>
    <mergeCell ref="D27:E27"/>
    <mergeCell ref="F27:G27"/>
    <mergeCell ref="N27:O27"/>
    <mergeCell ref="P27:Q27"/>
    <mergeCell ref="B2:F3"/>
    <mergeCell ref="B5:Q5"/>
    <mergeCell ref="B9:I9"/>
    <mergeCell ref="J9:Q9"/>
    <mergeCell ref="B11:C11"/>
    <mergeCell ref="D11:G11"/>
    <mergeCell ref="H11:I11"/>
    <mergeCell ref="J11:L11"/>
    <mergeCell ref="M11:N11"/>
    <mergeCell ref="O11:Q11"/>
    <mergeCell ref="B7:C7"/>
    <mergeCell ref="D7:F7"/>
    <mergeCell ref="G7:H7"/>
    <mergeCell ref="I7:K7"/>
    <mergeCell ref="L7:N7"/>
    <mergeCell ref="O7:Q7"/>
    <mergeCell ref="Y24:AL28"/>
    <mergeCell ref="Y32:AL36"/>
    <mergeCell ref="E24:F24"/>
    <mergeCell ref="G24:H24"/>
    <mergeCell ref="I24:J24"/>
    <mergeCell ref="N28:O28"/>
    <mergeCell ref="M24:N24"/>
    <mergeCell ref="O24:P24"/>
    <mergeCell ref="K24:L24"/>
    <mergeCell ref="P28:Q28"/>
    <mergeCell ref="V28:W28"/>
    <mergeCell ref="V26:W26"/>
  </mergeCells>
  <conditionalFormatting sqref="P18:Q18">
    <cfRule type="expression" dxfId="2" priority="19">
      <formula>$L$18&lt;$V$15</formula>
    </cfRule>
  </conditionalFormatting>
  <conditionalFormatting sqref="P23:Q23">
    <cfRule type="expression" dxfId="1" priority="2">
      <formula>$L$23&lt;$V$20</formula>
    </cfRule>
  </conditionalFormatting>
  <conditionalFormatting sqref="P28:Q28">
    <cfRule type="expression" dxfId="0" priority="1">
      <formula>$L$28&lt;$V$25</formula>
    </cfRule>
  </conditionalFormatting>
  <pageMargins left="0.55118110236220474" right="0.23622047244094488" top="0.3543307086614173" bottom="0.3543307086614173" header="0" footer="0"/>
  <pageSetup paperSize="9" scale="8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4"/>
  <sheetViews>
    <sheetView topLeftCell="A13" zoomScale="85" zoomScaleNormal="85" workbookViewId="0">
      <selection activeCell="J10" sqref="J10"/>
    </sheetView>
  </sheetViews>
  <sheetFormatPr defaultRowHeight="15" x14ac:dyDescent="0.25"/>
  <cols>
    <col min="1" max="1" width="3.5703125" customWidth="1"/>
    <col min="2" max="5" width="5.42578125" customWidth="1"/>
    <col min="6" max="6" width="6.5703125" customWidth="1"/>
    <col min="7" max="10" width="5.42578125" customWidth="1"/>
    <col min="11" max="17" width="6" customWidth="1"/>
    <col min="18" max="18" width="3.5703125" customWidth="1"/>
    <col min="19" max="19" width="10.5703125" customWidth="1"/>
    <col min="20" max="20" width="12.28515625" customWidth="1"/>
    <col min="21" max="21" width="9.7109375" customWidth="1"/>
    <col min="22" max="22" width="9" customWidth="1"/>
    <col min="23" max="23" width="11.7109375" customWidth="1"/>
    <col min="24" max="25" width="11" customWidth="1"/>
  </cols>
  <sheetData>
    <row r="1" spans="1:28" x14ac:dyDescent="0.25">
      <c r="A1" s="12"/>
      <c r="B1" s="13"/>
      <c r="C1" s="13"/>
      <c r="D1" s="13"/>
      <c r="E1" s="13"/>
      <c r="F1" s="13"/>
      <c r="G1" s="13"/>
      <c r="H1" s="13"/>
      <c r="I1" s="13"/>
      <c r="J1" s="13"/>
      <c r="K1" s="13"/>
      <c r="L1" s="13"/>
      <c r="M1" s="13"/>
      <c r="N1" s="13"/>
      <c r="O1" s="13"/>
      <c r="P1" s="13"/>
      <c r="Q1" s="13"/>
      <c r="R1" s="14"/>
    </row>
    <row r="2" spans="1:28" ht="29.25" customHeight="1" x14ac:dyDescent="0.25">
      <c r="A2" s="10"/>
      <c r="B2" s="426"/>
      <c r="C2" s="427"/>
      <c r="D2" s="427"/>
      <c r="E2" s="427"/>
      <c r="F2" s="428"/>
      <c r="G2" s="298" t="s">
        <v>18</v>
      </c>
      <c r="H2" s="299"/>
      <c r="I2" s="142" t="s">
        <v>20</v>
      </c>
      <c r="J2" s="393" t="str">
        <f>'ANA SAYFA'!K2</f>
        <v>OK AMBALAJ</v>
      </c>
      <c r="K2" s="393"/>
      <c r="L2" s="393"/>
      <c r="M2" s="393"/>
      <c r="N2" s="393"/>
      <c r="O2" s="393"/>
      <c r="P2" s="393"/>
      <c r="Q2" s="394"/>
      <c r="R2" s="11"/>
    </row>
    <row r="3" spans="1:28" ht="29.25" customHeight="1" x14ac:dyDescent="0.25">
      <c r="A3" s="10"/>
      <c r="B3" s="429"/>
      <c r="C3" s="430"/>
      <c r="D3" s="430"/>
      <c r="E3" s="430"/>
      <c r="F3" s="431"/>
      <c r="G3" s="391" t="s">
        <v>19</v>
      </c>
      <c r="H3" s="392"/>
      <c r="I3" s="141" t="s">
        <v>20</v>
      </c>
      <c r="J3" s="395" t="str">
        <f>'ANA SAYFA'!K5</f>
        <v>TR-1</v>
      </c>
      <c r="K3" s="395"/>
      <c r="L3" s="395"/>
      <c r="M3" s="395"/>
      <c r="N3" s="395"/>
      <c r="O3" s="395"/>
      <c r="P3" s="395"/>
      <c r="Q3" s="396"/>
      <c r="R3" s="11"/>
    </row>
    <row r="4" spans="1:28" x14ac:dyDescent="0.25">
      <c r="A4" s="10"/>
      <c r="B4" s="3"/>
      <c r="C4" s="4"/>
      <c r="D4" s="4"/>
      <c r="E4" s="4"/>
      <c r="F4" s="4"/>
      <c r="G4" s="4"/>
      <c r="H4" s="4"/>
      <c r="I4" s="4"/>
      <c r="J4" s="4"/>
      <c r="K4" s="4"/>
      <c r="L4" s="4"/>
      <c r="M4" s="4"/>
      <c r="N4" s="4"/>
      <c r="O4" s="4"/>
      <c r="P4" s="4"/>
      <c r="Q4" s="5"/>
      <c r="R4" s="11"/>
    </row>
    <row r="5" spans="1:28" ht="18.75" x14ac:dyDescent="0.25">
      <c r="A5" s="10"/>
      <c r="B5" s="288" t="s">
        <v>160</v>
      </c>
      <c r="C5" s="289"/>
      <c r="D5" s="289"/>
      <c r="E5" s="289"/>
      <c r="F5" s="289"/>
      <c r="G5" s="289"/>
      <c r="H5" s="289"/>
      <c r="I5" s="289"/>
      <c r="J5" s="289"/>
      <c r="K5" s="289"/>
      <c r="L5" s="289"/>
      <c r="M5" s="289"/>
      <c r="N5" s="289"/>
      <c r="O5" s="289"/>
      <c r="P5" s="289"/>
      <c r="Q5" s="290"/>
      <c r="R5" s="11"/>
    </row>
    <row r="6" spans="1:28" x14ac:dyDescent="0.25">
      <c r="A6" s="10"/>
      <c r="B6" s="3"/>
      <c r="C6" s="4"/>
      <c r="D6" s="4"/>
      <c r="E6" s="4"/>
      <c r="F6" s="4"/>
      <c r="G6" s="4"/>
      <c r="H6" s="4"/>
      <c r="I6" s="4"/>
      <c r="J6" s="4"/>
      <c r="K6" s="4"/>
      <c r="L6" s="4"/>
      <c r="M6" s="4"/>
      <c r="N6" s="4"/>
      <c r="O6" s="4"/>
      <c r="P6" s="4"/>
      <c r="Q6" s="5"/>
      <c r="R6" s="11"/>
    </row>
    <row r="7" spans="1:28" x14ac:dyDescent="0.25">
      <c r="A7" s="10"/>
      <c r="B7" s="374" t="s">
        <v>0</v>
      </c>
      <c r="C7" s="374"/>
      <c r="D7" s="374" t="str">
        <f>'OG SARGI MEVCUT KADEME'!D7:F7</f>
        <v>ASTOR</v>
      </c>
      <c r="E7" s="374"/>
      <c r="F7" s="374"/>
      <c r="G7" s="418" t="s">
        <v>1</v>
      </c>
      <c r="H7" s="418"/>
      <c r="I7" s="418" t="str">
        <f>'OG SARGI MEVCUT KADEME'!I7:K7</f>
        <v>2017</v>
      </c>
      <c r="J7" s="374"/>
      <c r="K7" s="374"/>
      <c r="L7" s="374" t="s">
        <v>17</v>
      </c>
      <c r="M7" s="374"/>
      <c r="N7" s="374"/>
      <c r="O7" s="418" t="str">
        <f>'OG SARGI MEVCUT KADEME'!O7:Q7</f>
        <v>27-07840</v>
      </c>
      <c r="P7" s="374"/>
      <c r="Q7" s="374"/>
      <c r="R7" s="11"/>
    </row>
    <row r="8" spans="1:28" x14ac:dyDescent="0.25">
      <c r="A8" s="10"/>
      <c r="B8" s="3"/>
      <c r="C8" s="4"/>
      <c r="D8" s="4"/>
      <c r="E8" s="4"/>
      <c r="F8" s="4"/>
      <c r="G8" s="4"/>
      <c r="H8" s="4"/>
      <c r="I8" s="4"/>
      <c r="J8" s="4"/>
      <c r="K8" s="4"/>
      <c r="L8" s="4"/>
      <c r="M8" s="4"/>
      <c r="N8" s="4"/>
      <c r="O8" s="4"/>
      <c r="P8" s="4"/>
      <c r="Q8" s="5"/>
      <c r="R8" s="11"/>
    </row>
    <row r="9" spans="1:28" ht="18.75" x14ac:dyDescent="0.25">
      <c r="A9" s="10"/>
      <c r="B9" s="402" t="s">
        <v>2</v>
      </c>
      <c r="C9" s="403"/>
      <c r="D9" s="403"/>
      <c r="E9" s="403"/>
      <c r="F9" s="403"/>
      <c r="G9" s="403"/>
      <c r="H9" s="403"/>
      <c r="I9" s="403"/>
      <c r="J9" s="404" t="str">
        <f>'KAPAK SAYFASI'!D54</f>
        <v>05.08.2026</v>
      </c>
      <c r="K9" s="404"/>
      <c r="L9" s="404"/>
      <c r="M9" s="404"/>
      <c r="N9" s="404"/>
      <c r="O9" s="404"/>
      <c r="P9" s="404"/>
      <c r="Q9" s="405"/>
      <c r="R9" s="11"/>
    </row>
    <row r="10" spans="1:28" x14ac:dyDescent="0.25">
      <c r="A10" s="10"/>
      <c r="B10" s="3"/>
      <c r="C10" s="4"/>
      <c r="D10" s="4"/>
      <c r="E10" s="4"/>
      <c r="F10" s="4"/>
      <c r="G10" s="4"/>
      <c r="H10" s="4"/>
      <c r="I10" s="4"/>
      <c r="J10" s="4"/>
      <c r="K10" s="4"/>
      <c r="L10" s="4"/>
      <c r="M10" s="4"/>
      <c r="N10" s="4"/>
      <c r="O10" s="4"/>
      <c r="P10" s="4"/>
      <c r="Q10" s="5"/>
      <c r="R10" s="11"/>
    </row>
    <row r="11" spans="1:28" x14ac:dyDescent="0.25">
      <c r="A11" s="10"/>
      <c r="B11" s="421" t="s">
        <v>3</v>
      </c>
      <c r="C11" s="421"/>
      <c r="D11" s="422" t="str">
        <f>'OG SARGI MEVCUT KADEME'!D11</f>
        <v>Hilmi GÜL</v>
      </c>
      <c r="E11" s="422"/>
      <c r="F11" s="422"/>
      <c r="G11" s="422"/>
      <c r="H11" s="421" t="s">
        <v>4</v>
      </c>
      <c r="I11" s="421"/>
      <c r="J11" s="374" t="s">
        <v>5</v>
      </c>
      <c r="K11" s="374"/>
      <c r="L11" s="374"/>
      <c r="M11" s="374" t="s">
        <v>6</v>
      </c>
      <c r="N11" s="374"/>
      <c r="O11" s="397" t="s">
        <v>7</v>
      </c>
      <c r="P11" s="401"/>
      <c r="Q11" s="398"/>
      <c r="R11" s="11"/>
    </row>
    <row r="12" spans="1:28" x14ac:dyDescent="0.25">
      <c r="A12" s="10"/>
      <c r="B12" s="3"/>
      <c r="C12" s="4"/>
      <c r="D12" s="4"/>
      <c r="E12" s="4"/>
      <c r="F12" s="4"/>
      <c r="G12" s="4"/>
      <c r="H12" s="4"/>
      <c r="I12" s="4"/>
      <c r="J12" s="4"/>
      <c r="K12" s="4"/>
      <c r="L12" s="4"/>
      <c r="M12" s="4"/>
      <c r="N12" s="4"/>
      <c r="O12" s="4"/>
      <c r="P12" s="4"/>
      <c r="Q12" s="5"/>
      <c r="R12" s="11"/>
    </row>
    <row r="13" spans="1:28" ht="18.75" x14ac:dyDescent="0.25">
      <c r="A13" s="10"/>
      <c r="B13" s="420" t="s">
        <v>8</v>
      </c>
      <c r="C13" s="420"/>
      <c r="D13" s="420"/>
      <c r="E13" s="420"/>
      <c r="F13" s="420"/>
      <c r="G13" s="420"/>
      <c r="H13" s="420"/>
      <c r="I13" s="420"/>
      <c r="J13" s="420"/>
      <c r="K13" s="420"/>
      <c r="L13" s="420"/>
      <c r="M13" s="420"/>
      <c r="N13" s="420"/>
      <c r="O13" s="420"/>
      <c r="P13" s="420"/>
      <c r="Q13" s="420"/>
      <c r="R13" s="11"/>
      <c r="AB13" t="s">
        <v>59</v>
      </c>
    </row>
    <row r="14" spans="1:28" x14ac:dyDescent="0.25">
      <c r="A14" s="10"/>
      <c r="B14" s="3"/>
      <c r="C14" s="4"/>
      <c r="D14" s="4"/>
      <c r="E14" s="4"/>
      <c r="F14" s="4"/>
      <c r="G14" s="4"/>
      <c r="H14" s="4"/>
      <c r="I14" s="4"/>
      <c r="J14" s="4"/>
      <c r="K14" s="4"/>
      <c r="L14" s="4"/>
      <c r="M14" s="4"/>
      <c r="N14" s="4"/>
      <c r="O14" s="4"/>
      <c r="P14" s="4"/>
      <c r="Q14" s="5"/>
      <c r="R14" s="11"/>
    </row>
    <row r="15" spans="1:28" ht="18.75" x14ac:dyDescent="0.25">
      <c r="A15" s="10"/>
      <c r="B15" s="380" t="s">
        <v>42</v>
      </c>
      <c r="C15" s="381"/>
      <c r="D15" s="381"/>
      <c r="E15" s="381"/>
      <c r="F15" s="381"/>
      <c r="G15" s="381"/>
      <c r="H15" s="381"/>
      <c r="I15" s="381"/>
      <c r="J15" s="128" t="s">
        <v>131</v>
      </c>
      <c r="K15" s="128">
        <f>'ANA SAYFA'!S11</f>
        <v>5</v>
      </c>
      <c r="L15" s="128"/>
      <c r="M15" s="128"/>
      <c r="N15" s="381" t="s">
        <v>43</v>
      </c>
      <c r="O15" s="381"/>
      <c r="P15" s="381"/>
      <c r="Q15" s="382"/>
      <c r="R15" s="11"/>
      <c r="T15">
        <f>'ANA SAYFA'!R59</f>
        <v>230.9494</v>
      </c>
      <c r="U15" s="144" t="s">
        <v>21</v>
      </c>
      <c r="V15" s="34">
        <f>O26</f>
        <v>0.12761030608697105</v>
      </c>
      <c r="X15" s="34"/>
    </row>
    <row r="16" spans="1:28" x14ac:dyDescent="0.25">
      <c r="A16" s="10"/>
      <c r="B16" s="3"/>
      <c r="C16" s="4"/>
      <c r="D16" s="4"/>
      <c r="E16" s="4"/>
      <c r="F16" s="4"/>
      <c r="G16" s="4"/>
      <c r="H16" s="4"/>
      <c r="I16" s="4"/>
      <c r="J16" s="4"/>
      <c r="K16" s="4"/>
      <c r="L16" s="4"/>
      <c r="M16" s="4"/>
      <c r="N16" s="4"/>
      <c r="O16" s="4"/>
      <c r="P16" s="4"/>
      <c r="Q16" s="5"/>
      <c r="R16" s="11"/>
      <c r="U16" s="144" t="s">
        <v>22</v>
      </c>
      <c r="V16" s="34">
        <f>O27</f>
        <v>0.12627146898551539</v>
      </c>
    </row>
    <row r="17" spans="1:29" x14ac:dyDescent="0.25">
      <c r="A17" s="10"/>
      <c r="B17" s="384" t="s">
        <v>13</v>
      </c>
      <c r="C17" s="385"/>
      <c r="D17" s="385"/>
      <c r="E17" s="385"/>
      <c r="F17" s="318"/>
      <c r="G17" s="318"/>
      <c r="H17" s="318"/>
      <c r="I17" s="318"/>
      <c r="J17" s="385" t="s">
        <v>44</v>
      </c>
      <c r="K17" s="385"/>
      <c r="L17" s="385"/>
      <c r="M17" s="385"/>
      <c r="N17" s="318"/>
      <c r="O17" s="318"/>
      <c r="P17" s="318"/>
      <c r="Q17" s="319"/>
      <c r="R17" s="11"/>
      <c r="U17" s="144" t="s">
        <v>23</v>
      </c>
      <c r="V17" s="34">
        <f>O28</f>
        <v>0.14099867710145164</v>
      </c>
      <c r="X17" s="35"/>
    </row>
    <row r="18" spans="1:29" x14ac:dyDescent="0.25">
      <c r="A18" s="10"/>
      <c r="B18" s="377" t="s">
        <v>48</v>
      </c>
      <c r="C18" s="318"/>
      <c r="D18" s="318"/>
      <c r="E18" s="318"/>
      <c r="F18" s="463">
        <f>'ANA SAYFA'!O59</f>
        <v>34500</v>
      </c>
      <c r="G18" s="463"/>
      <c r="H18" s="4" t="s">
        <v>56</v>
      </c>
      <c r="I18" s="4"/>
      <c r="J18" s="318" t="s">
        <v>45</v>
      </c>
      <c r="K18" s="318"/>
      <c r="L18" s="318"/>
      <c r="M18" s="318"/>
      <c r="N18" s="464" t="s">
        <v>129</v>
      </c>
      <c r="O18" s="464"/>
      <c r="P18" s="464"/>
      <c r="Q18" s="465"/>
      <c r="R18" s="11"/>
      <c r="U18" t="s">
        <v>138</v>
      </c>
      <c r="V18">
        <v>0.5</v>
      </c>
    </row>
    <row r="19" spans="1:29" ht="15.75" x14ac:dyDescent="0.25">
      <c r="A19" s="10"/>
      <c r="B19" s="377" t="s">
        <v>49</v>
      </c>
      <c r="C19" s="318"/>
      <c r="D19" s="318"/>
      <c r="E19" s="318"/>
      <c r="F19" s="461">
        <v>231</v>
      </c>
      <c r="G19" s="461"/>
      <c r="H19" s="4" t="s">
        <v>56</v>
      </c>
      <c r="I19" s="4"/>
      <c r="J19" s="318" t="s">
        <v>46</v>
      </c>
      <c r="K19" s="318"/>
      <c r="L19" s="318"/>
      <c r="M19" s="318"/>
      <c r="N19" s="318" t="s">
        <v>47</v>
      </c>
      <c r="O19" s="318"/>
      <c r="P19" s="318"/>
      <c r="Q19" s="319"/>
      <c r="R19" s="11"/>
      <c r="V19" s="105"/>
      <c r="W19" s="102">
        <v>0.5</v>
      </c>
      <c r="X19" s="102">
        <v>-0.5</v>
      </c>
      <c r="Y19" s="102"/>
      <c r="Z19" s="102"/>
      <c r="AA19" s="102"/>
      <c r="AB19" s="102"/>
      <c r="AC19" s="102"/>
    </row>
    <row r="20" spans="1:29" ht="15.75" x14ac:dyDescent="0.25">
      <c r="A20" s="10"/>
      <c r="B20" s="377" t="s">
        <v>50</v>
      </c>
      <c r="C20" s="318"/>
      <c r="D20" s="318"/>
      <c r="E20" s="318"/>
      <c r="F20" s="462">
        <f>F18/T15</f>
        <v>149.38337142248474</v>
      </c>
      <c r="G20" s="462"/>
      <c r="H20" s="4"/>
      <c r="I20" s="4"/>
      <c r="J20" s="318"/>
      <c r="K20" s="318"/>
      <c r="L20" s="318"/>
      <c r="M20" s="318"/>
      <c r="N20" s="318"/>
      <c r="O20" s="318"/>
      <c r="P20" s="318"/>
      <c r="Q20" s="319"/>
      <c r="R20" s="11"/>
      <c r="V20" s="105"/>
      <c r="W20" s="102"/>
      <c r="X20" s="102"/>
      <c r="Y20" s="102"/>
      <c r="Z20" s="102"/>
      <c r="AA20" s="102"/>
      <c r="AB20" s="102"/>
      <c r="AC20" s="102"/>
    </row>
    <row r="21" spans="1:29" ht="15.75" x14ac:dyDescent="0.25">
      <c r="A21" s="10"/>
      <c r="B21" s="377"/>
      <c r="C21" s="318"/>
      <c r="D21" s="318"/>
      <c r="E21" s="318"/>
      <c r="F21" s="318"/>
      <c r="G21" s="318"/>
      <c r="H21" s="318"/>
      <c r="I21" s="318"/>
      <c r="J21" s="318"/>
      <c r="K21" s="318"/>
      <c r="L21" s="318"/>
      <c r="M21" s="318"/>
      <c r="N21" s="318"/>
      <c r="O21" s="318"/>
      <c r="P21" s="318"/>
      <c r="Q21" s="319"/>
      <c r="R21" s="11"/>
      <c r="V21" s="105"/>
      <c r="W21" s="102"/>
      <c r="X21" s="102"/>
      <c r="Y21" s="102"/>
      <c r="Z21" s="102"/>
      <c r="AA21" s="102"/>
      <c r="AB21" s="102"/>
      <c r="AC21" s="102"/>
    </row>
    <row r="22" spans="1:29" ht="18.75" x14ac:dyDescent="0.25">
      <c r="A22" s="10"/>
      <c r="B22" s="458" t="s">
        <v>8</v>
      </c>
      <c r="C22" s="459"/>
      <c r="D22" s="459"/>
      <c r="E22" s="459"/>
      <c r="F22" s="459"/>
      <c r="G22" s="459"/>
      <c r="H22" s="459"/>
      <c r="I22" s="459"/>
      <c r="J22" s="459"/>
      <c r="K22" s="459"/>
      <c r="L22" s="459"/>
      <c r="M22" s="459"/>
      <c r="N22" s="459"/>
      <c r="O22" s="459"/>
      <c r="P22" s="459"/>
      <c r="Q22" s="460"/>
      <c r="R22" s="11"/>
      <c r="V22" s="105"/>
      <c r="W22" s="102"/>
      <c r="X22" s="102"/>
      <c r="Y22" s="102"/>
      <c r="Z22" s="102"/>
      <c r="AA22" s="102"/>
      <c r="AB22" s="102"/>
      <c r="AC22" s="102"/>
    </row>
    <row r="23" spans="1:29" x14ac:dyDescent="0.25">
      <c r="A23" s="33"/>
      <c r="Q23" s="9"/>
      <c r="R23" s="11"/>
      <c r="V23" s="105"/>
      <c r="W23" s="1"/>
      <c r="X23" s="1"/>
      <c r="Y23" s="1"/>
      <c r="Z23" s="1"/>
      <c r="AA23" s="1"/>
      <c r="AB23" s="1"/>
      <c r="AC23" s="1"/>
    </row>
    <row r="24" spans="1:29" ht="15.75" x14ac:dyDescent="0.25">
      <c r="A24" s="10"/>
      <c r="B24" s="18"/>
      <c r="C24" s="19"/>
      <c r="D24" s="19"/>
      <c r="E24" s="19"/>
      <c r="F24" s="19"/>
      <c r="G24" s="19"/>
      <c r="H24" s="19"/>
      <c r="I24" s="19"/>
      <c r="J24" s="19"/>
      <c r="K24" s="19"/>
      <c r="L24" s="19"/>
      <c r="M24" s="19"/>
      <c r="N24" s="19"/>
      <c r="O24" s="19"/>
      <c r="P24" s="19"/>
      <c r="Q24" s="20"/>
      <c r="R24" s="11"/>
      <c r="V24" s="105"/>
      <c r="W24" s="102"/>
      <c r="X24" s="102"/>
      <c r="Y24" s="102"/>
      <c r="Z24" s="102"/>
      <c r="AA24" s="102"/>
      <c r="AB24" s="102"/>
      <c r="AC24" s="102"/>
    </row>
    <row r="25" spans="1:29" x14ac:dyDescent="0.25">
      <c r="A25" s="10"/>
      <c r="B25" s="37"/>
      <c r="C25" s="345" t="s">
        <v>51</v>
      </c>
      <c r="D25" s="347"/>
      <c r="E25" s="451" t="s">
        <v>57</v>
      </c>
      <c r="F25" s="452"/>
      <c r="G25" s="451" t="s">
        <v>58</v>
      </c>
      <c r="H25" s="452"/>
      <c r="I25" s="451" t="s">
        <v>52</v>
      </c>
      <c r="J25" s="452"/>
      <c r="K25" s="457" t="s">
        <v>55</v>
      </c>
      <c r="L25" s="452"/>
      <c r="M25" s="451" t="s">
        <v>53</v>
      </c>
      <c r="N25" s="452"/>
      <c r="O25" s="451" t="s">
        <v>54</v>
      </c>
      <c r="P25" s="466"/>
      <c r="Q25" s="452"/>
      <c r="R25" s="11"/>
      <c r="V25" s="446" t="s">
        <v>169</v>
      </c>
      <c r="W25" s="446"/>
      <c r="X25" s="446"/>
      <c r="Y25" s="446"/>
      <c r="Z25" s="446"/>
      <c r="AA25" s="446"/>
      <c r="AB25" s="446"/>
      <c r="AC25" s="446"/>
    </row>
    <row r="26" spans="1:29" ht="15.75" x14ac:dyDescent="0.25">
      <c r="A26" s="10"/>
      <c r="B26" s="37" t="s">
        <v>21</v>
      </c>
      <c r="C26" s="445">
        <v>500</v>
      </c>
      <c r="D26" s="445"/>
      <c r="E26" s="370">
        <v>500</v>
      </c>
      <c r="F26" s="370"/>
      <c r="G26" s="456">
        <f>I26/M26</f>
        <v>1.0028480885715431E-2</v>
      </c>
      <c r="H26" s="456"/>
      <c r="I26" s="370">
        <v>1.5</v>
      </c>
      <c r="J26" s="370"/>
      <c r="K26" s="370" t="s">
        <v>61</v>
      </c>
      <c r="L26" s="370"/>
      <c r="M26" s="449">
        <f>'ANA SAYFA'!AF57</f>
        <v>149.57400000000001</v>
      </c>
      <c r="N26" s="450"/>
      <c r="O26" s="453">
        <f>(M26-F20)/F20*100</f>
        <v>0.12761030608697105</v>
      </c>
      <c r="P26" s="454"/>
      <c r="Q26" s="455"/>
      <c r="R26" s="11"/>
      <c r="V26" s="105"/>
      <c r="W26" s="102"/>
      <c r="X26" s="102"/>
      <c r="Y26" s="102"/>
      <c r="Z26" s="102"/>
      <c r="AA26" s="102"/>
      <c r="AB26" s="102"/>
      <c r="AC26" s="102"/>
    </row>
    <row r="27" spans="1:29" ht="15.75" x14ac:dyDescent="0.25">
      <c r="A27" s="10"/>
      <c r="B27" s="37" t="s">
        <v>22</v>
      </c>
      <c r="C27" s="445">
        <v>500</v>
      </c>
      <c r="D27" s="445"/>
      <c r="E27" s="370">
        <v>500</v>
      </c>
      <c r="F27" s="370"/>
      <c r="G27" s="456">
        <f>I27/M27</f>
        <v>1.0028614981413633E-2</v>
      </c>
      <c r="H27" s="456"/>
      <c r="I27" s="370">
        <v>1.5</v>
      </c>
      <c r="J27" s="370"/>
      <c r="K27" s="370" t="s">
        <v>61</v>
      </c>
      <c r="L27" s="370"/>
      <c r="M27" s="449">
        <f>'ANA SAYFA'!AI57</f>
        <v>149.572</v>
      </c>
      <c r="N27" s="450"/>
      <c r="O27" s="453">
        <f>(M27-F20)/F20*100</f>
        <v>0.12627146898551539</v>
      </c>
      <c r="P27" s="454"/>
      <c r="Q27" s="455"/>
      <c r="R27" s="11"/>
      <c r="V27" s="446" t="s">
        <v>121</v>
      </c>
      <c r="W27" s="446"/>
      <c r="X27" s="446"/>
      <c r="Y27" s="446"/>
      <c r="Z27" s="446"/>
      <c r="AA27" s="446"/>
      <c r="AB27" s="446"/>
      <c r="AC27" s="446"/>
    </row>
    <row r="28" spans="1:29" ht="15.75" x14ac:dyDescent="0.25">
      <c r="A28" s="10"/>
      <c r="B28" s="37" t="s">
        <v>23</v>
      </c>
      <c r="C28" s="445">
        <v>500</v>
      </c>
      <c r="D28" s="445"/>
      <c r="E28" s="370">
        <v>500</v>
      </c>
      <c r="F28" s="370"/>
      <c r="G28" s="456">
        <f>I28/M28</f>
        <v>1.002714012594088E-2</v>
      </c>
      <c r="H28" s="456"/>
      <c r="I28" s="370">
        <v>1.5</v>
      </c>
      <c r="J28" s="370"/>
      <c r="K28" s="370" t="s">
        <v>61</v>
      </c>
      <c r="L28" s="370"/>
      <c r="M28" s="449">
        <f>'ANA SAYFA'!AL57</f>
        <v>149.59399999999999</v>
      </c>
      <c r="N28" s="450"/>
      <c r="O28" s="453">
        <f>(M28-F20)/F20*100</f>
        <v>0.14099867710145164</v>
      </c>
      <c r="P28" s="454"/>
      <c r="Q28" s="455"/>
      <c r="R28" s="11"/>
      <c r="V28" s="105"/>
      <c r="W28" s="1"/>
      <c r="X28" s="1"/>
      <c r="Y28" s="1"/>
      <c r="Z28" s="1"/>
      <c r="AA28" s="1"/>
      <c r="AB28" s="1"/>
      <c r="AC28" s="1"/>
    </row>
    <row r="29" spans="1:29" x14ac:dyDescent="0.25">
      <c r="A29" s="33"/>
      <c r="Q29" s="9"/>
      <c r="R29" s="11"/>
      <c r="V29" s="446" t="s">
        <v>170</v>
      </c>
      <c r="W29" s="446"/>
      <c r="X29" s="446"/>
      <c r="Y29" s="446"/>
      <c r="Z29" s="446"/>
      <c r="AA29" s="446"/>
      <c r="AB29" s="446"/>
      <c r="AC29" s="446"/>
    </row>
    <row r="30" spans="1:29" ht="15.75" x14ac:dyDescent="0.25">
      <c r="A30" s="33"/>
      <c r="Q30" s="9"/>
      <c r="R30" s="11"/>
      <c r="V30" s="105"/>
      <c r="W30" s="102"/>
      <c r="X30" s="102"/>
      <c r="Y30" s="102"/>
      <c r="Z30" s="102"/>
      <c r="AA30" s="102"/>
      <c r="AB30" s="102"/>
      <c r="AC30" s="102"/>
    </row>
    <row r="31" spans="1:29" x14ac:dyDescent="0.25">
      <c r="A31" s="33"/>
      <c r="Q31" s="9"/>
      <c r="R31" s="11"/>
      <c r="V31" s="446" t="s">
        <v>122</v>
      </c>
      <c r="W31" s="446"/>
      <c r="X31" s="446"/>
      <c r="Y31" s="446"/>
      <c r="Z31" s="446"/>
      <c r="AA31" s="446"/>
      <c r="AB31" s="446"/>
      <c r="AC31" s="446"/>
    </row>
    <row r="32" spans="1:29" ht="15.75" x14ac:dyDescent="0.25">
      <c r="A32" s="10"/>
      <c r="B32" s="3"/>
      <c r="C32" s="4"/>
      <c r="D32" s="4"/>
      <c r="E32" s="4"/>
      <c r="F32" s="4"/>
      <c r="G32" s="4"/>
      <c r="H32" s="4"/>
      <c r="I32" s="4"/>
      <c r="J32" s="4"/>
      <c r="K32" s="4"/>
      <c r="L32" s="4"/>
      <c r="M32" s="4"/>
      <c r="N32" s="4"/>
      <c r="O32" s="4"/>
      <c r="P32" s="4"/>
      <c r="Q32" s="5"/>
      <c r="R32" s="11"/>
      <c r="V32" s="105"/>
      <c r="W32" s="102"/>
      <c r="X32" s="102"/>
      <c r="Y32" s="102"/>
      <c r="Z32" s="102"/>
      <c r="AA32" s="102"/>
      <c r="AB32" s="102"/>
      <c r="AC32" s="102"/>
    </row>
    <row r="33" spans="1:29" s="106" customFormat="1" ht="15.75" x14ac:dyDescent="0.25">
      <c r="A33" s="10"/>
      <c r="B33" s="3"/>
      <c r="C33" s="4"/>
      <c r="D33" s="4"/>
      <c r="E33" s="4"/>
      <c r="F33" s="4"/>
      <c r="G33" s="4"/>
      <c r="H33" s="4"/>
      <c r="I33" s="4"/>
      <c r="J33" s="4"/>
      <c r="K33" s="4"/>
      <c r="L33" s="4"/>
      <c r="M33" s="4"/>
      <c r="N33" s="4"/>
      <c r="O33" s="4"/>
      <c r="P33" s="4"/>
      <c r="Q33" s="5"/>
      <c r="R33" s="11"/>
      <c r="W33" s="102"/>
      <c r="X33" s="102"/>
      <c r="Y33" s="102"/>
      <c r="Z33" s="102"/>
      <c r="AA33" s="102"/>
      <c r="AB33" s="102"/>
      <c r="AC33" s="102"/>
    </row>
    <row r="34" spans="1:29" x14ac:dyDescent="0.25">
      <c r="A34" s="10"/>
      <c r="B34" s="3"/>
      <c r="C34" s="4"/>
      <c r="D34" s="4"/>
      <c r="E34" s="4"/>
      <c r="F34" s="4"/>
      <c r="G34" s="4"/>
      <c r="H34" s="4"/>
      <c r="I34" s="4"/>
      <c r="J34" s="4"/>
      <c r="K34" s="4"/>
      <c r="L34" s="4"/>
      <c r="M34" s="4"/>
      <c r="N34" s="4"/>
      <c r="O34" s="4"/>
      <c r="P34" s="4"/>
      <c r="Q34" s="5"/>
      <c r="R34" s="11"/>
      <c r="V34" s="446" t="s">
        <v>171</v>
      </c>
      <c r="W34" s="446"/>
      <c r="X34" s="446"/>
      <c r="Y34" s="446"/>
      <c r="Z34" s="446"/>
      <c r="AA34" s="446"/>
      <c r="AB34" s="446"/>
      <c r="AC34" s="446"/>
    </row>
    <row r="35" spans="1:29" x14ac:dyDescent="0.25">
      <c r="A35" s="10"/>
      <c r="B35" s="3"/>
      <c r="C35" s="4"/>
      <c r="D35" s="4"/>
      <c r="E35" s="4"/>
      <c r="F35" s="23"/>
      <c r="G35" s="4"/>
      <c r="H35" s="4"/>
      <c r="I35" s="4"/>
      <c r="J35" s="4"/>
      <c r="K35" s="4"/>
      <c r="L35" s="4"/>
      <c r="M35" s="4"/>
      <c r="N35" s="4"/>
      <c r="O35" s="4"/>
      <c r="P35" s="4"/>
      <c r="Q35" s="5"/>
      <c r="R35" s="11"/>
      <c r="V35" s="105"/>
      <c r="W35" s="105"/>
      <c r="X35" s="105"/>
      <c r="Y35" s="105"/>
      <c r="Z35" s="105"/>
      <c r="AA35" s="105"/>
      <c r="AB35" s="105"/>
      <c r="AC35" s="105"/>
    </row>
    <row r="36" spans="1:29" x14ac:dyDescent="0.25">
      <c r="A36" s="10"/>
      <c r="B36" s="3"/>
      <c r="C36" s="4"/>
      <c r="D36" s="4"/>
      <c r="E36" s="4"/>
      <c r="F36" s="4"/>
      <c r="G36" s="4"/>
      <c r="H36" s="4"/>
      <c r="I36" s="4"/>
      <c r="J36" s="4"/>
      <c r="K36" s="4"/>
      <c r="L36" s="4"/>
      <c r="M36" s="4"/>
      <c r="N36" s="4"/>
      <c r="O36" s="4"/>
      <c r="P36" s="4"/>
      <c r="Q36" s="5"/>
      <c r="R36" s="11"/>
      <c r="V36" s="446" t="s">
        <v>123</v>
      </c>
      <c r="W36" s="446"/>
      <c r="X36" s="446"/>
      <c r="Y36" s="446"/>
      <c r="Z36" s="446"/>
      <c r="AA36" s="446"/>
      <c r="AB36" s="446"/>
      <c r="AC36" s="446"/>
    </row>
    <row r="37" spans="1:29" x14ac:dyDescent="0.25">
      <c r="A37" s="10"/>
      <c r="B37" s="3"/>
      <c r="C37" s="4"/>
      <c r="D37" s="4"/>
      <c r="E37" s="4"/>
      <c r="F37" s="4"/>
      <c r="G37" s="4"/>
      <c r="H37" s="4"/>
      <c r="I37" s="4"/>
      <c r="J37" s="4"/>
      <c r="K37" s="4"/>
      <c r="L37" s="4"/>
      <c r="M37" s="4"/>
      <c r="N37" s="4"/>
      <c r="O37" s="4"/>
      <c r="P37" s="4"/>
      <c r="Q37" s="5"/>
      <c r="R37" s="11"/>
    </row>
    <row r="38" spans="1:29" s="114" customFormat="1" x14ac:dyDescent="0.25">
      <c r="A38" s="10"/>
      <c r="B38" s="3"/>
      <c r="C38" s="4"/>
      <c r="D38" s="4"/>
      <c r="E38" s="4"/>
      <c r="F38" s="4"/>
      <c r="G38" s="4"/>
      <c r="H38" s="4"/>
      <c r="I38" s="4"/>
      <c r="J38" s="4"/>
      <c r="K38" s="4"/>
      <c r="L38" s="4"/>
      <c r="M38" s="4"/>
      <c r="N38" s="4"/>
      <c r="O38" s="4"/>
      <c r="P38" s="4"/>
      <c r="Q38" s="5"/>
      <c r="R38" s="11"/>
    </row>
    <row r="39" spans="1:29" s="125" customFormat="1" x14ac:dyDescent="0.25">
      <c r="A39" s="10"/>
      <c r="B39" s="3"/>
      <c r="C39" s="4"/>
      <c r="D39" s="4"/>
      <c r="E39" s="4"/>
      <c r="F39" s="4"/>
      <c r="G39" s="4"/>
      <c r="H39" s="4"/>
      <c r="I39" s="4"/>
      <c r="J39" s="4"/>
      <c r="K39" s="4"/>
      <c r="L39" s="4"/>
      <c r="M39" s="4"/>
      <c r="N39" s="4"/>
      <c r="O39" s="4"/>
      <c r="P39" s="4"/>
      <c r="Q39" s="5"/>
      <c r="R39" s="11"/>
    </row>
    <row r="40" spans="1:29" s="125" customFormat="1" x14ac:dyDescent="0.25">
      <c r="A40" s="10"/>
      <c r="B40" s="3"/>
      <c r="C40" s="4"/>
      <c r="D40" s="4"/>
      <c r="E40" s="4"/>
      <c r="F40" s="4"/>
      <c r="G40" s="4"/>
      <c r="H40" s="4"/>
      <c r="I40" s="4"/>
      <c r="J40" s="4"/>
      <c r="K40" s="4"/>
      <c r="L40" s="4"/>
      <c r="M40" s="4"/>
      <c r="N40" s="4"/>
      <c r="O40" s="4"/>
      <c r="P40" s="4"/>
      <c r="Q40" s="5"/>
      <c r="R40" s="11"/>
    </row>
    <row r="41" spans="1:29" s="114" customFormat="1" x14ac:dyDescent="0.25">
      <c r="A41" s="10"/>
      <c r="B41" s="3"/>
      <c r="C41" s="4"/>
      <c r="D41" s="4"/>
      <c r="E41" s="4"/>
      <c r="F41" s="4"/>
      <c r="G41" s="4"/>
      <c r="H41" s="4"/>
      <c r="I41" s="4"/>
      <c r="J41" s="4"/>
      <c r="K41" s="4"/>
      <c r="L41" s="4"/>
      <c r="M41" s="4"/>
      <c r="N41" s="4"/>
      <c r="O41" s="4"/>
      <c r="P41" s="4"/>
      <c r="Q41" s="5"/>
      <c r="R41" s="11"/>
    </row>
    <row r="42" spans="1:29" x14ac:dyDescent="0.25">
      <c r="A42" s="10"/>
      <c r="B42" s="36"/>
      <c r="C42" s="27"/>
      <c r="D42" s="27"/>
      <c r="E42" s="4"/>
      <c r="F42" s="4"/>
      <c r="G42" s="4"/>
      <c r="H42" s="4"/>
      <c r="I42" s="4"/>
      <c r="J42" s="4"/>
      <c r="K42" s="4"/>
      <c r="L42" s="4"/>
      <c r="M42" s="4"/>
      <c r="N42" s="4"/>
      <c r="O42" s="4"/>
      <c r="P42" s="4"/>
      <c r="Q42" s="7"/>
      <c r="R42" s="11"/>
    </row>
    <row r="43" spans="1:29" x14ac:dyDescent="0.25">
      <c r="A43" s="10"/>
      <c r="B43" s="36"/>
      <c r="C43" s="23"/>
      <c r="D43" s="23"/>
      <c r="E43" s="23"/>
      <c r="F43" s="23"/>
      <c r="G43" s="23"/>
      <c r="H43" s="23"/>
      <c r="I43" s="23"/>
      <c r="J43" s="23"/>
      <c r="K43" s="23"/>
      <c r="L43" s="23"/>
      <c r="M43" s="23"/>
      <c r="N43" s="23"/>
      <c r="O43" s="23"/>
      <c r="P43" s="23"/>
      <c r="Q43" s="7"/>
      <c r="R43" s="11"/>
    </row>
    <row r="44" spans="1:29" ht="15.75" customHeight="1" x14ac:dyDescent="0.25">
      <c r="A44" s="10"/>
      <c r="B44" s="357" t="s">
        <v>31</v>
      </c>
      <c r="C44" s="358"/>
      <c r="D44" s="296" t="str">
        <f>IF(OR(O26&gt;W19,O26&lt;X19),V27,V25)</f>
        <v>( A ) Fazına ait çevirme oranı hata yüzdesi uygundur.</v>
      </c>
      <c r="E44" s="296"/>
      <c r="F44" s="296"/>
      <c r="G44" s="296"/>
      <c r="H44" s="296"/>
      <c r="I44" s="296"/>
      <c r="J44" s="296"/>
      <c r="K44" s="296"/>
      <c r="L44" s="296"/>
      <c r="M44" s="296"/>
      <c r="N44" s="296"/>
      <c r="O44" s="296"/>
      <c r="P44" s="296"/>
      <c r="Q44" s="297"/>
      <c r="R44" s="11"/>
    </row>
    <row r="45" spans="1:29" ht="4.5" customHeight="1" x14ac:dyDescent="0.25">
      <c r="A45" s="10"/>
      <c r="B45" s="104"/>
      <c r="C45" s="23"/>
      <c r="D45" s="102"/>
      <c r="E45" s="102"/>
      <c r="F45" s="102"/>
      <c r="G45" s="102"/>
      <c r="H45" s="102"/>
      <c r="I45" s="102"/>
      <c r="J45" s="102"/>
      <c r="K45" s="102"/>
      <c r="L45" s="102"/>
      <c r="M45" s="102"/>
      <c r="N45" s="102"/>
      <c r="O45" s="102"/>
      <c r="P45" s="102"/>
      <c r="Q45" s="103"/>
      <c r="R45" s="11"/>
    </row>
    <row r="46" spans="1:29" ht="15" customHeight="1" x14ac:dyDescent="0.25">
      <c r="A46" s="10"/>
      <c r="B46" s="3"/>
      <c r="C46" s="4"/>
      <c r="D46" s="294" t="str">
        <f>IF(OR(O27&gt;W19,O27&lt;X19),V31,V29)</f>
        <v>( B ) Fazına ait çevirme oranı hata yüzdesi uygundur.</v>
      </c>
      <c r="E46" s="294"/>
      <c r="F46" s="294"/>
      <c r="G46" s="294"/>
      <c r="H46" s="294"/>
      <c r="I46" s="294"/>
      <c r="J46" s="294"/>
      <c r="K46" s="294"/>
      <c r="L46" s="294"/>
      <c r="M46" s="294"/>
      <c r="N46" s="294"/>
      <c r="O46" s="294"/>
      <c r="P46" s="294"/>
      <c r="Q46" s="295"/>
      <c r="R46" s="11"/>
    </row>
    <row r="47" spans="1:29" ht="4.5" customHeight="1" x14ac:dyDescent="0.25">
      <c r="A47" s="10"/>
      <c r="B47" s="3"/>
      <c r="C47" s="4"/>
      <c r="D47" s="102"/>
      <c r="E47" s="102"/>
      <c r="F47" s="102"/>
      <c r="G47" s="102"/>
      <c r="H47" s="102"/>
      <c r="I47" s="102"/>
      <c r="J47" s="102"/>
      <c r="K47" s="102"/>
      <c r="L47" s="102"/>
      <c r="M47" s="102"/>
      <c r="N47" s="102"/>
      <c r="O47" s="102"/>
      <c r="P47" s="102"/>
      <c r="Q47" s="103"/>
      <c r="R47" s="11"/>
    </row>
    <row r="48" spans="1:29" ht="15.75" x14ac:dyDescent="0.25">
      <c r="A48" s="10"/>
      <c r="B48" s="8"/>
      <c r="C48" s="1"/>
      <c r="D48" s="447" t="str">
        <f>IF(OR(O28&gt;W19,O28&lt;X19),V36,V34)</f>
        <v>( C ) Fazına ait çevirme oranı hata yüzdesi uygundur.</v>
      </c>
      <c r="E48" s="447"/>
      <c r="F48" s="447"/>
      <c r="G48" s="447"/>
      <c r="H48" s="447"/>
      <c r="I48" s="447"/>
      <c r="J48" s="447"/>
      <c r="K48" s="447"/>
      <c r="L48" s="447"/>
      <c r="M48" s="447"/>
      <c r="N48" s="447"/>
      <c r="O48" s="447"/>
      <c r="P48" s="447"/>
      <c r="Q48" s="448"/>
      <c r="R48" s="11"/>
    </row>
    <row r="49" spans="1:18" x14ac:dyDescent="0.25">
      <c r="A49" s="10"/>
      <c r="B49" s="8"/>
      <c r="C49" s="1"/>
      <c r="D49" s="1"/>
      <c r="E49" s="1"/>
      <c r="F49" s="1"/>
      <c r="G49" s="1"/>
      <c r="H49" s="1"/>
      <c r="I49" s="1"/>
      <c r="J49" s="21"/>
      <c r="K49" s="21"/>
      <c r="L49" s="21"/>
      <c r="M49" s="21"/>
      <c r="N49" s="21"/>
      <c r="O49" s="21"/>
      <c r="P49" s="21"/>
      <c r="Q49" s="22"/>
      <c r="R49" s="11"/>
    </row>
    <row r="50" spans="1:18" s="186" customFormat="1" ht="22.5" customHeight="1" x14ac:dyDescent="0.25">
      <c r="A50" s="10"/>
      <c r="B50" s="355"/>
      <c r="C50" s="356"/>
      <c r="D50" s="356"/>
      <c r="E50" s="79"/>
      <c r="F50" s="363"/>
      <c r="G50" s="363"/>
      <c r="H50" s="363"/>
      <c r="I50" s="364"/>
      <c r="J50" s="289" t="s">
        <v>142</v>
      </c>
      <c r="K50" s="289"/>
      <c r="L50" s="289"/>
      <c r="M50" s="289"/>
      <c r="N50" s="289"/>
      <c r="O50" s="289"/>
      <c r="P50" s="289"/>
      <c r="Q50" s="290"/>
      <c r="R50" s="11"/>
    </row>
    <row r="51" spans="1:18" s="186" customFormat="1" ht="22.5" customHeight="1" x14ac:dyDescent="0.25">
      <c r="A51" s="10"/>
      <c r="B51" s="365" t="s">
        <v>167</v>
      </c>
      <c r="C51" s="366"/>
      <c r="D51" s="366"/>
      <c r="E51" s="134" t="s">
        <v>20</v>
      </c>
      <c r="F51" s="367" t="s">
        <v>190</v>
      </c>
      <c r="G51" s="367"/>
      <c r="H51" s="367"/>
      <c r="I51" s="368"/>
      <c r="J51" s="54"/>
      <c r="K51" s="54"/>
      <c r="L51" s="134"/>
      <c r="M51" s="134"/>
      <c r="N51" s="134"/>
      <c r="O51" s="134"/>
      <c r="P51" s="134"/>
      <c r="Q51" s="135"/>
      <c r="R51" s="11"/>
    </row>
    <row r="52" spans="1:18" s="186" customFormat="1" ht="22.5" customHeight="1" x14ac:dyDescent="0.25">
      <c r="A52" s="10"/>
      <c r="B52" s="351" t="s">
        <v>179</v>
      </c>
      <c r="C52" s="352"/>
      <c r="D52" s="352"/>
      <c r="E52" s="134" t="s">
        <v>20</v>
      </c>
      <c r="F52" s="353" t="str">
        <f>'ANA SAYFA'!F79</f>
        <v>05.08.2026</v>
      </c>
      <c r="G52" s="352"/>
      <c r="H52" s="352"/>
      <c r="I52" s="354"/>
      <c r="J52" s="134"/>
      <c r="K52" s="54"/>
      <c r="L52" s="134"/>
      <c r="M52" s="134"/>
      <c r="N52" s="134"/>
      <c r="O52" s="134"/>
      <c r="P52" s="134"/>
      <c r="Q52" s="135"/>
      <c r="R52" s="11"/>
    </row>
    <row r="53" spans="1:18" s="186" customFormat="1" ht="22.5" customHeight="1" x14ac:dyDescent="0.25">
      <c r="A53" s="10"/>
      <c r="B53" s="233"/>
      <c r="C53" s="234"/>
      <c r="D53" s="234"/>
      <c r="E53" s="234"/>
      <c r="F53" s="234"/>
      <c r="G53" s="234"/>
      <c r="H53" s="234"/>
      <c r="I53" s="235"/>
      <c r="J53" s="139"/>
      <c r="K53" s="139"/>
      <c r="L53" s="139"/>
      <c r="M53" s="139"/>
      <c r="N53" s="139"/>
      <c r="O53" s="139"/>
      <c r="P53" s="139"/>
      <c r="Q53" s="136"/>
      <c r="R53" s="11"/>
    </row>
    <row r="54" spans="1:18" ht="15.75" thickBot="1" x14ac:dyDescent="0.3">
      <c r="A54" s="15"/>
      <c r="B54" s="16"/>
      <c r="C54" s="16"/>
      <c r="D54" s="16"/>
      <c r="E54" s="16"/>
      <c r="F54" s="16"/>
      <c r="G54" s="16"/>
      <c r="H54" s="16"/>
      <c r="I54" s="16"/>
      <c r="J54" s="16"/>
      <c r="K54" s="16"/>
      <c r="L54" s="16"/>
      <c r="M54" s="16"/>
      <c r="N54" s="16"/>
      <c r="O54" s="16"/>
      <c r="P54" s="16"/>
      <c r="Q54" s="16"/>
      <c r="R54" s="17"/>
    </row>
  </sheetData>
  <mergeCells count="89">
    <mergeCell ref="B52:D52"/>
    <mergeCell ref="F52:I52"/>
    <mergeCell ref="G2:H2"/>
    <mergeCell ref="J2:Q2"/>
    <mergeCell ref="G3:H3"/>
    <mergeCell ref="J3:Q3"/>
    <mergeCell ref="O28:Q28"/>
    <mergeCell ref="O25:Q25"/>
    <mergeCell ref="B9:I9"/>
    <mergeCell ref="J9:Q9"/>
    <mergeCell ref="B2:F3"/>
    <mergeCell ref="O7:Q7"/>
    <mergeCell ref="B7:C7"/>
    <mergeCell ref="D7:F7"/>
    <mergeCell ref="G7:H7"/>
    <mergeCell ref="I7:K7"/>
    <mergeCell ref="L7:N7"/>
    <mergeCell ref="B5:Q5"/>
    <mergeCell ref="O11:Q11"/>
    <mergeCell ref="B13:Q13"/>
    <mergeCell ref="B15:I15"/>
    <mergeCell ref="N15:Q15"/>
    <mergeCell ref="B11:C11"/>
    <mergeCell ref="D11:G11"/>
    <mergeCell ref="H11:I11"/>
    <mergeCell ref="J11:L11"/>
    <mergeCell ref="M11:N11"/>
    <mergeCell ref="B17:E17"/>
    <mergeCell ref="F17:I17"/>
    <mergeCell ref="J17:M17"/>
    <mergeCell ref="N17:Q17"/>
    <mergeCell ref="B18:E18"/>
    <mergeCell ref="F18:G18"/>
    <mergeCell ref="J18:M18"/>
    <mergeCell ref="N18:Q18"/>
    <mergeCell ref="B19:E19"/>
    <mergeCell ref="F19:G19"/>
    <mergeCell ref="J19:M19"/>
    <mergeCell ref="N19:Q19"/>
    <mergeCell ref="B20:E20"/>
    <mergeCell ref="F20:G20"/>
    <mergeCell ref="J20:M20"/>
    <mergeCell ref="N20:Q20"/>
    <mergeCell ref="B21:E21"/>
    <mergeCell ref="F21:I21"/>
    <mergeCell ref="J21:M21"/>
    <mergeCell ref="N21:Q21"/>
    <mergeCell ref="B22:Q22"/>
    <mergeCell ref="B50:D50"/>
    <mergeCell ref="F50:I50"/>
    <mergeCell ref="B51:D51"/>
    <mergeCell ref="F51:I51"/>
    <mergeCell ref="E26:F26"/>
    <mergeCell ref="G26:H26"/>
    <mergeCell ref="I26:J26"/>
    <mergeCell ref="J50:Q50"/>
    <mergeCell ref="G28:H28"/>
    <mergeCell ref="I28:J28"/>
    <mergeCell ref="M26:N26"/>
    <mergeCell ref="E27:F27"/>
    <mergeCell ref="G27:H27"/>
    <mergeCell ref="I27:J27"/>
    <mergeCell ref="K27:L27"/>
    <mergeCell ref="M27:N27"/>
    <mergeCell ref="K26:L26"/>
    <mergeCell ref="K28:L28"/>
    <mergeCell ref="M25:N25"/>
    <mergeCell ref="C27:D27"/>
    <mergeCell ref="O26:Q26"/>
    <mergeCell ref="O27:Q27"/>
    <mergeCell ref="C28:D28"/>
    <mergeCell ref="E28:F28"/>
    <mergeCell ref="C25:D25"/>
    <mergeCell ref="E25:F25"/>
    <mergeCell ref="G25:H25"/>
    <mergeCell ref="I25:J25"/>
    <mergeCell ref="K25:L25"/>
    <mergeCell ref="V25:AC25"/>
    <mergeCell ref="V27:AC27"/>
    <mergeCell ref="V29:AC29"/>
    <mergeCell ref="V31:AC31"/>
    <mergeCell ref="V34:AC34"/>
    <mergeCell ref="C26:D26"/>
    <mergeCell ref="V36:AC36"/>
    <mergeCell ref="D44:Q44"/>
    <mergeCell ref="D46:Q46"/>
    <mergeCell ref="D48:Q48"/>
    <mergeCell ref="M28:N28"/>
    <mergeCell ref="B44:C44"/>
  </mergeCells>
  <conditionalFormatting sqref="M26:N28">
    <cfRule type="colorScale" priority="1">
      <colorScale>
        <cfvo type="num" val="$F$20-($F$20*0.008)"/>
        <cfvo type="num" val="$F$20"/>
        <cfvo type="num" val="$F$20+($F$20*0.008)"/>
        <color rgb="FFFF4B4B"/>
        <color rgb="FF00B050"/>
        <color rgb="FFFF4B4B"/>
      </colorScale>
    </cfRule>
  </conditionalFormatting>
  <pageMargins left="0.55118110236220474" right="0.23622047244094488" top="0.3543307086614173" bottom="0.3543307086614173" header="0" footer="0"/>
  <pageSetup paperSize="9" scale="9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6"/>
  <sheetViews>
    <sheetView tabSelected="1" topLeftCell="A6" workbookViewId="0">
      <selection activeCell="T18" sqref="T18"/>
    </sheetView>
  </sheetViews>
  <sheetFormatPr defaultRowHeight="15" x14ac:dyDescent="0.25"/>
  <cols>
    <col min="1" max="1" width="2.85546875" style="194" customWidth="1"/>
    <col min="2" max="16" width="5.42578125" style="194" customWidth="1"/>
    <col min="17" max="17" width="6.42578125" style="194" customWidth="1"/>
    <col min="18" max="18" width="2.85546875" style="194" customWidth="1"/>
    <col min="19" max="16384" width="9.140625" style="194"/>
  </cols>
  <sheetData>
    <row r="1" spans="1:20" ht="11.25" customHeight="1" x14ac:dyDescent="0.25">
      <c r="A1" s="12"/>
      <c r="B1" s="13"/>
      <c r="C1" s="13"/>
      <c r="D1" s="13"/>
      <c r="E1" s="13"/>
      <c r="F1" s="13"/>
      <c r="G1" s="13"/>
      <c r="H1" s="13"/>
      <c r="I1" s="13"/>
      <c r="J1" s="13"/>
      <c r="K1" s="13"/>
      <c r="L1" s="13"/>
      <c r="M1" s="13"/>
      <c r="N1" s="13"/>
      <c r="O1" s="13"/>
      <c r="P1" s="13"/>
      <c r="Q1" s="13"/>
      <c r="R1" s="14"/>
    </row>
    <row r="2" spans="1:20" ht="29.25" customHeight="1" x14ac:dyDescent="0.25">
      <c r="A2" s="10"/>
      <c r="B2" s="46"/>
      <c r="C2" s="47"/>
      <c r="D2" s="47"/>
      <c r="E2" s="47"/>
      <c r="F2" s="48"/>
      <c r="G2" s="298" t="s">
        <v>18</v>
      </c>
      <c r="H2" s="299"/>
      <c r="I2" s="151" t="s">
        <v>20</v>
      </c>
      <c r="J2" s="467" t="str">
        <f>'KAPAK SAYFASI'!D9</f>
        <v>OK AMBALAJ</v>
      </c>
      <c r="K2" s="467"/>
      <c r="L2" s="467"/>
      <c r="M2" s="467"/>
      <c r="N2" s="467"/>
      <c r="O2" s="467"/>
      <c r="P2" s="467"/>
      <c r="Q2" s="468"/>
      <c r="R2" s="11"/>
    </row>
    <row r="3" spans="1:20" ht="29.25" customHeight="1" x14ac:dyDescent="0.25">
      <c r="A3" s="10"/>
      <c r="B3" s="49"/>
      <c r="C3" s="50"/>
      <c r="D3" s="50"/>
      <c r="E3" s="50"/>
      <c r="F3" s="51"/>
      <c r="G3" s="391" t="s">
        <v>19</v>
      </c>
      <c r="H3" s="392"/>
      <c r="I3" s="193" t="s">
        <v>20</v>
      </c>
      <c r="J3" s="395" t="str">
        <f>'KAPAK SAYFASI'!D11</f>
        <v>KAYAPA/BURSA</v>
      </c>
      <c r="K3" s="395"/>
      <c r="L3" s="395"/>
      <c r="M3" s="395"/>
      <c r="N3" s="395"/>
      <c r="O3" s="395"/>
      <c r="P3" s="395"/>
      <c r="Q3" s="396"/>
      <c r="R3" s="11"/>
    </row>
    <row r="4" spans="1:20" ht="10.5" customHeight="1" x14ac:dyDescent="0.25">
      <c r="A4" s="10"/>
      <c r="B4" s="39"/>
      <c r="C4" s="40"/>
      <c r="D4" s="40"/>
      <c r="E4" s="40"/>
      <c r="F4" s="40"/>
      <c r="G4" s="40"/>
      <c r="H4" s="40"/>
      <c r="I4" s="40"/>
      <c r="J4" s="40"/>
      <c r="K4" s="40"/>
      <c r="L4" s="40"/>
      <c r="M4" s="40"/>
      <c r="N4" s="40"/>
      <c r="O4" s="40"/>
      <c r="P4" s="40"/>
      <c r="Q4" s="41"/>
      <c r="R4" s="11"/>
    </row>
    <row r="5" spans="1:20" ht="18.75" x14ac:dyDescent="0.25">
      <c r="A5" s="10"/>
      <c r="B5" s="469"/>
      <c r="C5" s="470"/>
      <c r="D5" s="470"/>
      <c r="E5" s="471"/>
      <c r="F5" s="471"/>
      <c r="G5" s="471"/>
      <c r="H5" s="471"/>
      <c r="I5" s="471"/>
      <c r="J5" s="471"/>
      <c r="K5" s="471"/>
      <c r="L5" s="472"/>
      <c r="M5" s="472"/>
      <c r="N5" s="472"/>
      <c r="O5" s="473"/>
      <c r="P5" s="473"/>
      <c r="Q5" s="195"/>
      <c r="R5" s="11"/>
    </row>
    <row r="6" spans="1:20" ht="6.75" customHeight="1" x14ac:dyDescent="0.25">
      <c r="A6" s="10"/>
      <c r="B6" s="196"/>
      <c r="C6" s="197"/>
      <c r="D6" s="197"/>
      <c r="E6" s="197"/>
      <c r="F6" s="197"/>
      <c r="G6" s="197"/>
      <c r="H6" s="197"/>
      <c r="I6" s="197"/>
      <c r="J6" s="197"/>
      <c r="K6" s="197"/>
      <c r="L6" s="197"/>
      <c r="M6" s="197"/>
      <c r="N6" s="197"/>
      <c r="O6" s="197"/>
      <c r="P6" s="197"/>
      <c r="Q6" s="198"/>
      <c r="R6" s="11"/>
    </row>
    <row r="7" spans="1:20" ht="15" customHeight="1" x14ac:dyDescent="0.25">
      <c r="A7" s="10"/>
      <c r="B7" s="204"/>
      <c r="C7" s="205"/>
      <c r="D7" s="205"/>
      <c r="E7" s="205"/>
      <c r="F7" s="205"/>
      <c r="G7" s="205"/>
      <c r="H7" s="205"/>
      <c r="I7" s="205"/>
      <c r="J7" s="205"/>
      <c r="K7" s="205"/>
      <c r="L7" s="205"/>
      <c r="M7" s="205"/>
      <c r="N7" s="205"/>
      <c r="O7" s="205"/>
      <c r="P7" s="205"/>
      <c r="Q7" s="206"/>
      <c r="R7" s="11"/>
    </row>
    <row r="8" spans="1:20" x14ac:dyDescent="0.25">
      <c r="A8" s="10"/>
      <c r="B8" s="478" t="s">
        <v>174</v>
      </c>
      <c r="C8" s="479"/>
      <c r="D8" s="479"/>
      <c r="E8" s="479"/>
      <c r="F8" s="479"/>
      <c r="G8" s="479"/>
      <c r="H8" s="479"/>
      <c r="I8" s="479"/>
      <c r="J8" s="479"/>
      <c r="K8" s="479"/>
      <c r="L8" s="479"/>
      <c r="M8" s="479"/>
      <c r="N8" s="479"/>
      <c r="O8" s="479"/>
      <c r="P8" s="479"/>
      <c r="Q8" s="480"/>
      <c r="R8" s="11"/>
    </row>
    <row r="9" spans="1:20" ht="6.75" customHeight="1" x14ac:dyDescent="0.25">
      <c r="A9" s="10"/>
      <c r="B9" s="478"/>
      <c r="C9" s="479"/>
      <c r="D9" s="479"/>
      <c r="E9" s="479"/>
      <c r="F9" s="479"/>
      <c r="G9" s="479"/>
      <c r="H9" s="479"/>
      <c r="I9" s="479"/>
      <c r="J9" s="479"/>
      <c r="K9" s="479"/>
      <c r="L9" s="479"/>
      <c r="M9" s="479"/>
      <c r="N9" s="479"/>
      <c r="O9" s="479"/>
      <c r="P9" s="479"/>
      <c r="Q9" s="480"/>
      <c r="R9" s="11"/>
    </row>
    <row r="10" spans="1:20" ht="18.75" customHeight="1" x14ac:dyDescent="0.25">
      <c r="A10" s="10"/>
      <c r="B10" s="474" t="s">
        <v>205</v>
      </c>
      <c r="C10" s="475"/>
      <c r="D10" s="475"/>
      <c r="E10" s="475"/>
      <c r="F10" s="475"/>
      <c r="G10" s="475"/>
      <c r="H10" s="475"/>
      <c r="I10" s="475"/>
      <c r="J10" s="475"/>
      <c r="K10" s="475"/>
      <c r="L10" s="475"/>
      <c r="M10" s="475"/>
      <c r="N10" s="475"/>
      <c r="O10" s="475"/>
      <c r="P10" s="475"/>
      <c r="Q10" s="476"/>
      <c r="R10" s="11"/>
    </row>
    <row r="11" spans="1:20" ht="6.75" hidden="1" customHeight="1" x14ac:dyDescent="0.25">
      <c r="A11" s="10"/>
      <c r="B11" s="477"/>
      <c r="C11" s="475"/>
      <c r="D11" s="475"/>
      <c r="E11" s="475"/>
      <c r="F11" s="475"/>
      <c r="G11" s="475"/>
      <c r="H11" s="475"/>
      <c r="I11" s="475"/>
      <c r="J11" s="475"/>
      <c r="K11" s="475"/>
      <c r="L11" s="475"/>
      <c r="M11" s="475"/>
      <c r="N11" s="475"/>
      <c r="O11" s="475"/>
      <c r="P11" s="475"/>
      <c r="Q11" s="476"/>
      <c r="R11" s="11"/>
      <c r="T11" s="194">
        <v>30</v>
      </c>
    </row>
    <row r="12" spans="1:20" ht="18.75" customHeight="1" x14ac:dyDescent="0.25">
      <c r="A12" s="10"/>
      <c r="B12" s="477"/>
      <c r="C12" s="475"/>
      <c r="D12" s="475"/>
      <c r="E12" s="475"/>
      <c r="F12" s="475"/>
      <c r="G12" s="475"/>
      <c r="H12" s="475"/>
      <c r="I12" s="475"/>
      <c r="J12" s="475"/>
      <c r="K12" s="475"/>
      <c r="L12" s="475"/>
      <c r="M12" s="475"/>
      <c r="N12" s="475"/>
      <c r="O12" s="475"/>
      <c r="P12" s="475"/>
      <c r="Q12" s="476"/>
      <c r="R12" s="11"/>
    </row>
    <row r="13" spans="1:20" ht="7.5" customHeight="1" x14ac:dyDescent="0.25">
      <c r="A13" s="10"/>
      <c r="B13" s="477"/>
      <c r="C13" s="475"/>
      <c r="D13" s="475"/>
      <c r="E13" s="475"/>
      <c r="F13" s="475"/>
      <c r="G13" s="475"/>
      <c r="H13" s="475"/>
      <c r="I13" s="475"/>
      <c r="J13" s="475"/>
      <c r="K13" s="475"/>
      <c r="L13" s="475"/>
      <c r="M13" s="475"/>
      <c r="N13" s="475"/>
      <c r="O13" s="475"/>
      <c r="P13" s="475"/>
      <c r="Q13" s="476"/>
      <c r="R13" s="11"/>
    </row>
    <row r="14" spans="1:20" ht="18.75" customHeight="1" x14ac:dyDescent="0.25">
      <c r="A14" s="10"/>
      <c r="B14" s="477"/>
      <c r="C14" s="475"/>
      <c r="D14" s="475"/>
      <c r="E14" s="475"/>
      <c r="F14" s="475"/>
      <c r="G14" s="475"/>
      <c r="H14" s="475"/>
      <c r="I14" s="475"/>
      <c r="J14" s="475"/>
      <c r="K14" s="475"/>
      <c r="L14" s="475"/>
      <c r="M14" s="475"/>
      <c r="N14" s="475"/>
      <c r="O14" s="475"/>
      <c r="P14" s="475"/>
      <c r="Q14" s="476"/>
      <c r="R14" s="11"/>
    </row>
    <row r="15" spans="1:20" ht="9.75" customHeight="1" x14ac:dyDescent="0.25">
      <c r="A15" s="10"/>
      <c r="B15" s="477"/>
      <c r="C15" s="475"/>
      <c r="D15" s="475"/>
      <c r="E15" s="475"/>
      <c r="F15" s="475"/>
      <c r="G15" s="475"/>
      <c r="H15" s="475"/>
      <c r="I15" s="475"/>
      <c r="J15" s="475"/>
      <c r="K15" s="475"/>
      <c r="L15" s="475"/>
      <c r="M15" s="475"/>
      <c r="N15" s="475"/>
      <c r="O15" s="475"/>
      <c r="P15" s="475"/>
      <c r="Q15" s="476"/>
      <c r="R15" s="11"/>
    </row>
    <row r="16" spans="1:20" ht="16.5" customHeight="1" x14ac:dyDescent="0.25">
      <c r="A16" s="10"/>
      <c r="B16" s="477"/>
      <c r="C16" s="475"/>
      <c r="D16" s="475"/>
      <c r="E16" s="475"/>
      <c r="F16" s="475"/>
      <c r="G16" s="475"/>
      <c r="H16" s="475"/>
      <c r="I16" s="475"/>
      <c r="J16" s="475"/>
      <c r="K16" s="475"/>
      <c r="L16" s="475"/>
      <c r="M16" s="475"/>
      <c r="N16" s="475"/>
      <c r="O16" s="475"/>
      <c r="P16" s="475"/>
      <c r="Q16" s="476"/>
      <c r="R16" s="11"/>
    </row>
    <row r="17" spans="1:23" s="1" customFormat="1" ht="9.75" customHeight="1" x14ac:dyDescent="0.25">
      <c r="A17" s="10"/>
      <c r="B17" s="477"/>
      <c r="C17" s="475"/>
      <c r="D17" s="475"/>
      <c r="E17" s="475"/>
      <c r="F17" s="475"/>
      <c r="G17" s="475"/>
      <c r="H17" s="475"/>
      <c r="I17" s="475"/>
      <c r="J17" s="475"/>
      <c r="K17" s="475"/>
      <c r="L17" s="475"/>
      <c r="M17" s="475"/>
      <c r="N17" s="475"/>
      <c r="O17" s="475"/>
      <c r="P17" s="475"/>
      <c r="Q17" s="476"/>
      <c r="R17" s="11"/>
    </row>
    <row r="18" spans="1:23" ht="16.5" customHeight="1" x14ac:dyDescent="0.25">
      <c r="A18" s="10"/>
      <c r="B18" s="477"/>
      <c r="C18" s="475"/>
      <c r="D18" s="475"/>
      <c r="E18" s="475"/>
      <c r="F18" s="475"/>
      <c r="G18" s="475"/>
      <c r="H18" s="475"/>
      <c r="I18" s="475"/>
      <c r="J18" s="475"/>
      <c r="K18" s="475"/>
      <c r="L18" s="475"/>
      <c r="M18" s="475"/>
      <c r="N18" s="475"/>
      <c r="O18" s="475"/>
      <c r="P18" s="475"/>
      <c r="Q18" s="476"/>
      <c r="R18" s="11"/>
      <c r="U18" s="130"/>
    </row>
    <row r="19" spans="1:23" s="1" customFormat="1" ht="9.75" customHeight="1" x14ac:dyDescent="0.25">
      <c r="A19" s="10"/>
      <c r="B19" s="477"/>
      <c r="C19" s="475"/>
      <c r="D19" s="475"/>
      <c r="E19" s="475"/>
      <c r="F19" s="475"/>
      <c r="G19" s="475"/>
      <c r="H19" s="475"/>
      <c r="I19" s="475"/>
      <c r="J19" s="475"/>
      <c r="K19" s="475"/>
      <c r="L19" s="475"/>
      <c r="M19" s="475"/>
      <c r="N19" s="475"/>
      <c r="O19" s="475"/>
      <c r="P19" s="475"/>
      <c r="Q19" s="476"/>
      <c r="R19" s="11"/>
      <c r="U19" s="130"/>
    </row>
    <row r="20" spans="1:23" ht="16.5" customHeight="1" x14ac:dyDescent="0.25">
      <c r="A20" s="10"/>
      <c r="B20" s="477"/>
      <c r="C20" s="475"/>
      <c r="D20" s="475"/>
      <c r="E20" s="475"/>
      <c r="F20" s="475"/>
      <c r="G20" s="475"/>
      <c r="H20" s="475"/>
      <c r="I20" s="475"/>
      <c r="J20" s="475"/>
      <c r="K20" s="475"/>
      <c r="L20" s="475"/>
      <c r="M20" s="475"/>
      <c r="N20" s="475"/>
      <c r="O20" s="475"/>
      <c r="P20" s="475"/>
      <c r="Q20" s="476"/>
      <c r="R20" s="11"/>
      <c r="U20" s="130"/>
      <c r="W20" s="131">
        <v>30</v>
      </c>
    </row>
    <row r="21" spans="1:23" s="1" customFormat="1" ht="9.75" customHeight="1" x14ac:dyDescent="0.25">
      <c r="A21" s="10"/>
      <c r="B21" s="477"/>
      <c r="C21" s="475"/>
      <c r="D21" s="475"/>
      <c r="E21" s="475"/>
      <c r="F21" s="475"/>
      <c r="G21" s="475"/>
      <c r="H21" s="475"/>
      <c r="I21" s="475"/>
      <c r="J21" s="475"/>
      <c r="K21" s="475"/>
      <c r="L21" s="475"/>
      <c r="M21" s="475"/>
      <c r="N21" s="475"/>
      <c r="O21" s="475"/>
      <c r="P21" s="475"/>
      <c r="Q21" s="476"/>
      <c r="R21" s="11"/>
    </row>
    <row r="22" spans="1:23" ht="16.5" customHeight="1" x14ac:dyDescent="0.25">
      <c r="A22" s="10"/>
      <c r="B22" s="477"/>
      <c r="C22" s="475"/>
      <c r="D22" s="475"/>
      <c r="E22" s="475"/>
      <c r="F22" s="475"/>
      <c r="G22" s="475"/>
      <c r="H22" s="475"/>
      <c r="I22" s="475"/>
      <c r="J22" s="475"/>
      <c r="K22" s="475"/>
      <c r="L22" s="475"/>
      <c r="M22" s="475"/>
      <c r="N22" s="475"/>
      <c r="O22" s="475"/>
      <c r="P22" s="475"/>
      <c r="Q22" s="476"/>
      <c r="R22" s="11"/>
    </row>
    <row r="23" spans="1:23" s="1" customFormat="1" ht="9.75" customHeight="1" x14ac:dyDescent="0.25">
      <c r="A23" s="10"/>
      <c r="B23" s="477"/>
      <c r="C23" s="475"/>
      <c r="D23" s="475"/>
      <c r="E23" s="475"/>
      <c r="F23" s="475"/>
      <c r="G23" s="475"/>
      <c r="H23" s="475"/>
      <c r="I23" s="475"/>
      <c r="J23" s="475"/>
      <c r="K23" s="475"/>
      <c r="L23" s="475"/>
      <c r="M23" s="475"/>
      <c r="N23" s="475"/>
      <c r="O23" s="475"/>
      <c r="P23" s="475"/>
      <c r="Q23" s="476"/>
      <c r="R23" s="11"/>
    </row>
    <row r="24" spans="1:23" ht="16.5" customHeight="1" x14ac:dyDescent="0.25">
      <c r="A24" s="10"/>
      <c r="B24" s="477"/>
      <c r="C24" s="475"/>
      <c r="D24" s="475"/>
      <c r="E24" s="475"/>
      <c r="F24" s="475"/>
      <c r="G24" s="475"/>
      <c r="H24" s="475"/>
      <c r="I24" s="475"/>
      <c r="J24" s="475"/>
      <c r="K24" s="475"/>
      <c r="L24" s="475"/>
      <c r="M24" s="475"/>
      <c r="N24" s="475"/>
      <c r="O24" s="475"/>
      <c r="P24" s="475"/>
      <c r="Q24" s="476"/>
      <c r="R24" s="11"/>
    </row>
    <row r="25" spans="1:23" s="1" customFormat="1" ht="9.75" customHeight="1" x14ac:dyDescent="0.25">
      <c r="A25" s="10"/>
      <c r="B25" s="477"/>
      <c r="C25" s="475"/>
      <c r="D25" s="475"/>
      <c r="E25" s="475"/>
      <c r="F25" s="475"/>
      <c r="G25" s="475"/>
      <c r="H25" s="475"/>
      <c r="I25" s="475"/>
      <c r="J25" s="475"/>
      <c r="K25" s="475"/>
      <c r="L25" s="475"/>
      <c r="M25" s="475"/>
      <c r="N25" s="475"/>
      <c r="O25" s="475"/>
      <c r="P25" s="475"/>
      <c r="Q25" s="476"/>
      <c r="R25" s="11"/>
    </row>
    <row r="26" spans="1:23" ht="16.5" customHeight="1" x14ac:dyDescent="0.25">
      <c r="A26" s="10"/>
      <c r="B26" s="477"/>
      <c r="C26" s="475"/>
      <c r="D26" s="475"/>
      <c r="E26" s="475"/>
      <c r="F26" s="475"/>
      <c r="G26" s="475"/>
      <c r="H26" s="475"/>
      <c r="I26" s="475"/>
      <c r="J26" s="475"/>
      <c r="K26" s="475"/>
      <c r="L26" s="475"/>
      <c r="M26" s="475"/>
      <c r="N26" s="475"/>
      <c r="O26" s="475"/>
      <c r="P26" s="475"/>
      <c r="Q26" s="476"/>
      <c r="R26" s="11"/>
    </row>
    <row r="27" spans="1:23" s="1" customFormat="1" ht="9.75" customHeight="1" x14ac:dyDescent="0.25">
      <c r="A27" s="10"/>
      <c r="B27" s="477"/>
      <c r="C27" s="475"/>
      <c r="D27" s="475"/>
      <c r="E27" s="475"/>
      <c r="F27" s="475"/>
      <c r="G27" s="475"/>
      <c r="H27" s="475"/>
      <c r="I27" s="475"/>
      <c r="J27" s="475"/>
      <c r="K27" s="475"/>
      <c r="L27" s="475"/>
      <c r="M27" s="475"/>
      <c r="N27" s="475"/>
      <c r="O27" s="475"/>
      <c r="P27" s="475"/>
      <c r="Q27" s="476"/>
      <c r="R27" s="11"/>
    </row>
    <row r="28" spans="1:23" ht="16.5" customHeight="1" x14ac:dyDescent="0.25">
      <c r="A28" s="10"/>
      <c r="B28" s="477"/>
      <c r="C28" s="475"/>
      <c r="D28" s="475"/>
      <c r="E28" s="475"/>
      <c r="F28" s="475"/>
      <c r="G28" s="475"/>
      <c r="H28" s="475"/>
      <c r="I28" s="475"/>
      <c r="J28" s="475"/>
      <c r="K28" s="475"/>
      <c r="L28" s="475"/>
      <c r="M28" s="475"/>
      <c r="N28" s="475"/>
      <c r="O28" s="475"/>
      <c r="P28" s="475"/>
      <c r="Q28" s="476"/>
      <c r="R28" s="11"/>
    </row>
    <row r="29" spans="1:23" x14ac:dyDescent="0.25">
      <c r="A29" s="10"/>
      <c r="B29" s="477"/>
      <c r="C29" s="475"/>
      <c r="D29" s="475"/>
      <c r="E29" s="475"/>
      <c r="F29" s="475"/>
      <c r="G29" s="475"/>
      <c r="H29" s="475"/>
      <c r="I29" s="475"/>
      <c r="J29" s="475"/>
      <c r="K29" s="475"/>
      <c r="L29" s="475"/>
      <c r="M29" s="475"/>
      <c r="N29" s="475"/>
      <c r="O29" s="475"/>
      <c r="P29" s="475"/>
      <c r="Q29" s="476"/>
      <c r="R29" s="11"/>
    </row>
    <row r="30" spans="1:23" x14ac:dyDescent="0.25">
      <c r="A30" s="10"/>
      <c r="B30" s="477"/>
      <c r="C30" s="475"/>
      <c r="D30" s="475"/>
      <c r="E30" s="475"/>
      <c r="F30" s="475"/>
      <c r="G30" s="475"/>
      <c r="H30" s="475"/>
      <c r="I30" s="475"/>
      <c r="J30" s="475"/>
      <c r="K30" s="475"/>
      <c r="L30" s="475"/>
      <c r="M30" s="475"/>
      <c r="N30" s="475"/>
      <c r="O30" s="475"/>
      <c r="P30" s="475"/>
      <c r="Q30" s="476"/>
      <c r="R30" s="11"/>
    </row>
    <row r="31" spans="1:23" ht="6" customHeight="1" x14ac:dyDescent="0.25">
      <c r="A31" s="10"/>
      <c r="B31" s="477"/>
      <c r="C31" s="475"/>
      <c r="D31" s="475"/>
      <c r="E31" s="475"/>
      <c r="F31" s="475"/>
      <c r="G31" s="475"/>
      <c r="H31" s="475"/>
      <c r="I31" s="475"/>
      <c r="J31" s="475"/>
      <c r="K31" s="475"/>
      <c r="L31" s="475"/>
      <c r="M31" s="475"/>
      <c r="N31" s="475"/>
      <c r="O31" s="475"/>
      <c r="P31" s="475"/>
      <c r="Q31" s="476"/>
      <c r="R31" s="11"/>
    </row>
    <row r="32" spans="1:23" x14ac:dyDescent="0.25">
      <c r="A32" s="10"/>
      <c r="B32" s="477"/>
      <c r="C32" s="475"/>
      <c r="D32" s="475"/>
      <c r="E32" s="475"/>
      <c r="F32" s="475"/>
      <c r="G32" s="475"/>
      <c r="H32" s="475"/>
      <c r="I32" s="475"/>
      <c r="J32" s="475"/>
      <c r="K32" s="475"/>
      <c r="L32" s="475"/>
      <c r="M32" s="475"/>
      <c r="N32" s="475"/>
      <c r="O32" s="475"/>
      <c r="P32" s="475"/>
      <c r="Q32" s="476"/>
      <c r="R32" s="11"/>
    </row>
    <row r="33" spans="1:26" ht="6" customHeight="1" x14ac:dyDescent="0.25">
      <c r="A33" s="10"/>
      <c r="B33" s="477"/>
      <c r="C33" s="475"/>
      <c r="D33" s="475"/>
      <c r="E33" s="475"/>
      <c r="F33" s="475"/>
      <c r="G33" s="475"/>
      <c r="H33" s="475"/>
      <c r="I33" s="475"/>
      <c r="J33" s="475"/>
      <c r="K33" s="475"/>
      <c r="L33" s="475"/>
      <c r="M33" s="475"/>
      <c r="N33" s="475"/>
      <c r="O33" s="475"/>
      <c r="P33" s="475"/>
      <c r="Q33" s="476"/>
      <c r="R33" s="11"/>
    </row>
    <row r="34" spans="1:26" ht="15" customHeight="1" x14ac:dyDescent="0.25">
      <c r="A34" s="10"/>
      <c r="B34" s="477"/>
      <c r="C34" s="475"/>
      <c r="D34" s="475"/>
      <c r="E34" s="475"/>
      <c r="F34" s="475"/>
      <c r="G34" s="475"/>
      <c r="H34" s="475"/>
      <c r="I34" s="475"/>
      <c r="J34" s="475"/>
      <c r="K34" s="475"/>
      <c r="L34" s="475"/>
      <c r="M34" s="475"/>
      <c r="N34" s="475"/>
      <c r="O34" s="475"/>
      <c r="P34" s="475"/>
      <c r="Q34" s="476"/>
      <c r="R34" s="11"/>
    </row>
    <row r="35" spans="1:26" ht="6" customHeight="1" x14ac:dyDescent="0.25">
      <c r="A35" s="10"/>
      <c r="B35" s="477"/>
      <c r="C35" s="475"/>
      <c r="D35" s="475"/>
      <c r="E35" s="475"/>
      <c r="F35" s="475"/>
      <c r="G35" s="475"/>
      <c r="H35" s="475"/>
      <c r="I35" s="475"/>
      <c r="J35" s="475"/>
      <c r="K35" s="475"/>
      <c r="L35" s="475"/>
      <c r="M35" s="475"/>
      <c r="N35" s="475"/>
      <c r="O35" s="475"/>
      <c r="P35" s="475"/>
      <c r="Q35" s="476"/>
      <c r="R35" s="11"/>
    </row>
    <row r="36" spans="1:26" x14ac:dyDescent="0.25">
      <c r="A36" s="10"/>
      <c r="B36" s="477"/>
      <c r="C36" s="475"/>
      <c r="D36" s="475"/>
      <c r="E36" s="475"/>
      <c r="F36" s="475"/>
      <c r="G36" s="475"/>
      <c r="H36" s="475"/>
      <c r="I36" s="475"/>
      <c r="J36" s="475"/>
      <c r="K36" s="475"/>
      <c r="L36" s="475"/>
      <c r="M36" s="475"/>
      <c r="N36" s="475"/>
      <c r="O36" s="475"/>
      <c r="P36" s="475"/>
      <c r="Q36" s="476"/>
      <c r="R36" s="11"/>
      <c r="Z36" s="132"/>
    </row>
    <row r="37" spans="1:26" ht="6" customHeight="1" x14ac:dyDescent="0.25">
      <c r="A37" s="10"/>
      <c r="B37" s="477"/>
      <c r="C37" s="475"/>
      <c r="D37" s="475"/>
      <c r="E37" s="475"/>
      <c r="F37" s="475"/>
      <c r="G37" s="475"/>
      <c r="H37" s="475"/>
      <c r="I37" s="475"/>
      <c r="J37" s="475"/>
      <c r="K37" s="475"/>
      <c r="L37" s="475"/>
      <c r="M37" s="475"/>
      <c r="N37" s="475"/>
      <c r="O37" s="475"/>
      <c r="P37" s="475"/>
      <c r="Q37" s="476"/>
      <c r="R37" s="11"/>
    </row>
    <row r="38" spans="1:26" x14ac:dyDescent="0.25">
      <c r="A38" s="10"/>
      <c r="B38" s="477"/>
      <c r="C38" s="475"/>
      <c r="D38" s="475"/>
      <c r="E38" s="475"/>
      <c r="F38" s="475"/>
      <c r="G38" s="475"/>
      <c r="H38" s="475"/>
      <c r="I38" s="475"/>
      <c r="J38" s="475"/>
      <c r="K38" s="475"/>
      <c r="L38" s="475"/>
      <c r="M38" s="475"/>
      <c r="N38" s="475"/>
      <c r="O38" s="475"/>
      <c r="P38" s="475"/>
      <c r="Q38" s="476"/>
      <c r="R38" s="11"/>
    </row>
    <row r="39" spans="1:26" ht="15.75" customHeight="1" x14ac:dyDescent="0.25">
      <c r="A39" s="10"/>
      <c r="B39" s="477"/>
      <c r="C39" s="475"/>
      <c r="D39" s="475"/>
      <c r="E39" s="475"/>
      <c r="F39" s="475"/>
      <c r="G39" s="475"/>
      <c r="H39" s="475"/>
      <c r="I39" s="475"/>
      <c r="J39" s="475"/>
      <c r="K39" s="475"/>
      <c r="L39" s="475"/>
      <c r="M39" s="475"/>
      <c r="N39" s="475"/>
      <c r="O39" s="475"/>
      <c r="P39" s="475"/>
      <c r="Q39" s="476"/>
      <c r="R39" s="11"/>
    </row>
    <row r="40" spans="1:26" x14ac:dyDescent="0.25">
      <c r="A40" s="10"/>
      <c r="B40" s="477"/>
      <c r="C40" s="475"/>
      <c r="D40" s="475"/>
      <c r="E40" s="475"/>
      <c r="F40" s="475"/>
      <c r="G40" s="475"/>
      <c r="H40" s="475"/>
      <c r="I40" s="475"/>
      <c r="J40" s="475"/>
      <c r="K40" s="475"/>
      <c r="L40" s="475"/>
      <c r="M40" s="475"/>
      <c r="N40" s="475"/>
      <c r="O40" s="475"/>
      <c r="P40" s="475"/>
      <c r="Q40" s="476"/>
      <c r="R40" s="11"/>
    </row>
    <row r="41" spans="1:26" ht="15" customHeight="1" x14ac:dyDescent="0.25">
      <c r="A41" s="10"/>
      <c r="B41" s="477"/>
      <c r="C41" s="475"/>
      <c r="D41" s="475"/>
      <c r="E41" s="475"/>
      <c r="F41" s="475"/>
      <c r="G41" s="475"/>
      <c r="H41" s="475"/>
      <c r="I41" s="475"/>
      <c r="J41" s="475"/>
      <c r="K41" s="475"/>
      <c r="L41" s="475"/>
      <c r="M41" s="475"/>
      <c r="N41" s="475"/>
      <c r="O41" s="475"/>
      <c r="P41" s="475"/>
      <c r="Q41" s="476"/>
      <c r="R41" s="11"/>
    </row>
    <row r="42" spans="1:26" x14ac:dyDescent="0.25">
      <c r="A42" s="10"/>
      <c r="B42" s="477"/>
      <c r="C42" s="475"/>
      <c r="D42" s="475"/>
      <c r="E42" s="475"/>
      <c r="F42" s="475"/>
      <c r="G42" s="475"/>
      <c r="H42" s="475"/>
      <c r="I42" s="475"/>
      <c r="J42" s="475"/>
      <c r="K42" s="475"/>
      <c r="L42" s="475"/>
      <c r="M42" s="475"/>
      <c r="N42" s="475"/>
      <c r="O42" s="475"/>
      <c r="P42" s="475"/>
      <c r="Q42" s="476"/>
      <c r="R42" s="11"/>
    </row>
    <row r="43" spans="1:26" x14ac:dyDescent="0.25">
      <c r="A43" s="10"/>
      <c r="B43" s="477"/>
      <c r="C43" s="475"/>
      <c r="D43" s="475"/>
      <c r="E43" s="475"/>
      <c r="F43" s="475"/>
      <c r="G43" s="475"/>
      <c r="H43" s="475"/>
      <c r="I43" s="475"/>
      <c r="J43" s="475"/>
      <c r="K43" s="475"/>
      <c r="L43" s="475"/>
      <c r="M43" s="475"/>
      <c r="N43" s="475"/>
      <c r="O43" s="475"/>
      <c r="P43" s="475"/>
      <c r="Q43" s="476"/>
      <c r="R43" s="11"/>
    </row>
    <row r="44" spans="1:26" x14ac:dyDescent="0.25">
      <c r="A44" s="10"/>
      <c r="B44" s="477"/>
      <c r="C44" s="475"/>
      <c r="D44" s="475"/>
      <c r="E44" s="475"/>
      <c r="F44" s="475"/>
      <c r="G44" s="475"/>
      <c r="H44" s="475"/>
      <c r="I44" s="475"/>
      <c r="J44" s="475"/>
      <c r="K44" s="475"/>
      <c r="L44" s="475"/>
      <c r="M44" s="475"/>
      <c r="N44" s="475"/>
      <c r="O44" s="475"/>
      <c r="P44" s="475"/>
      <c r="Q44" s="476"/>
      <c r="R44" s="11"/>
    </row>
    <row r="45" spans="1:26" x14ac:dyDescent="0.25">
      <c r="A45" s="10"/>
      <c r="B45" s="477"/>
      <c r="C45" s="475"/>
      <c r="D45" s="475"/>
      <c r="E45" s="475"/>
      <c r="F45" s="475"/>
      <c r="G45" s="475"/>
      <c r="H45" s="475"/>
      <c r="I45" s="475"/>
      <c r="J45" s="475"/>
      <c r="K45" s="475"/>
      <c r="L45" s="475"/>
      <c r="M45" s="475"/>
      <c r="N45" s="475"/>
      <c r="O45" s="475"/>
      <c r="P45" s="475"/>
      <c r="Q45" s="476"/>
      <c r="R45" s="11"/>
    </row>
    <row r="46" spans="1:26" x14ac:dyDescent="0.25">
      <c r="A46" s="10"/>
      <c r="B46" s="477"/>
      <c r="C46" s="475"/>
      <c r="D46" s="475"/>
      <c r="E46" s="475"/>
      <c r="F46" s="475"/>
      <c r="G46" s="475"/>
      <c r="H46" s="475"/>
      <c r="I46" s="475"/>
      <c r="J46" s="475"/>
      <c r="K46" s="475"/>
      <c r="L46" s="475"/>
      <c r="M46" s="475"/>
      <c r="N46" s="475"/>
      <c r="O46" s="475"/>
      <c r="P46" s="475"/>
      <c r="Q46" s="476"/>
      <c r="R46" s="11"/>
    </row>
    <row r="47" spans="1:26" ht="15.75" customHeight="1" x14ac:dyDescent="0.25">
      <c r="A47" s="10"/>
      <c r="B47" s="477"/>
      <c r="C47" s="475"/>
      <c r="D47" s="475"/>
      <c r="E47" s="475"/>
      <c r="F47" s="475"/>
      <c r="G47" s="475"/>
      <c r="H47" s="475"/>
      <c r="I47" s="475"/>
      <c r="J47" s="475"/>
      <c r="K47" s="475"/>
      <c r="L47" s="475"/>
      <c r="M47" s="475"/>
      <c r="N47" s="475"/>
      <c r="O47" s="475"/>
      <c r="P47" s="475"/>
      <c r="Q47" s="476"/>
      <c r="R47" s="11"/>
    </row>
    <row r="48" spans="1:26" ht="15" customHeight="1" x14ac:dyDescent="0.25">
      <c r="A48" s="10"/>
      <c r="B48" s="207"/>
      <c r="C48" s="205"/>
      <c r="D48" s="205"/>
      <c r="E48" s="205"/>
      <c r="F48" s="205"/>
      <c r="G48" s="205"/>
      <c r="H48" s="205"/>
      <c r="I48" s="205"/>
      <c r="J48" s="205"/>
      <c r="K48" s="205"/>
      <c r="L48" s="205"/>
      <c r="M48" s="205"/>
      <c r="N48" s="205"/>
      <c r="O48" s="205"/>
      <c r="P48" s="205"/>
      <c r="Q48" s="206"/>
      <c r="R48" s="11"/>
    </row>
    <row r="49" spans="1:18" ht="15" customHeight="1" x14ac:dyDescent="0.25">
      <c r="A49" s="10"/>
      <c r="B49" s="207"/>
      <c r="C49" s="205"/>
      <c r="D49" s="205"/>
      <c r="E49" s="205"/>
      <c r="F49" s="205"/>
      <c r="G49" s="205"/>
      <c r="H49" s="205"/>
      <c r="I49" s="205"/>
      <c r="J49" s="205"/>
      <c r="K49" s="205"/>
      <c r="L49" s="205"/>
      <c r="M49" s="205"/>
      <c r="N49" s="205"/>
      <c r="O49" s="205"/>
      <c r="P49" s="205"/>
      <c r="Q49" s="206"/>
      <c r="R49" s="11"/>
    </row>
    <row r="50" spans="1:18" ht="15" customHeight="1" x14ac:dyDescent="0.25">
      <c r="A50" s="10"/>
      <c r="B50" s="199"/>
      <c r="C50" s="200"/>
      <c r="D50" s="200"/>
      <c r="E50" s="200"/>
      <c r="F50" s="200"/>
      <c r="G50" s="200"/>
      <c r="H50" s="200"/>
      <c r="I50" s="200"/>
      <c r="J50" s="200"/>
      <c r="K50" s="200"/>
      <c r="L50" s="200"/>
      <c r="M50" s="200"/>
      <c r="N50" s="200"/>
      <c r="O50" s="200"/>
      <c r="P50" s="200"/>
      <c r="Q50" s="201"/>
      <c r="R50" s="11"/>
    </row>
    <row r="51" spans="1:18" x14ac:dyDescent="0.25">
      <c r="A51" s="10"/>
      <c r="B51" s="230"/>
      <c r="C51" s="231"/>
      <c r="D51" s="231"/>
      <c r="E51" s="231"/>
      <c r="F51" s="231"/>
      <c r="G51" s="231"/>
      <c r="H51" s="231"/>
      <c r="I51" s="231"/>
      <c r="J51" s="202"/>
      <c r="K51" s="202"/>
      <c r="L51" s="202"/>
      <c r="M51" s="202"/>
      <c r="N51" s="202"/>
      <c r="O51" s="202"/>
      <c r="P51" s="202"/>
      <c r="Q51" s="203"/>
      <c r="R51" s="11"/>
    </row>
    <row r="52" spans="1:18" ht="22.5" customHeight="1" x14ac:dyDescent="0.25">
      <c r="A52" s="10"/>
      <c r="B52" s="355"/>
      <c r="C52" s="356"/>
      <c r="D52" s="356"/>
      <c r="E52" s="79"/>
      <c r="F52" s="363"/>
      <c r="G52" s="363"/>
      <c r="H52" s="363"/>
      <c r="I52" s="364"/>
      <c r="J52" s="289" t="s">
        <v>142</v>
      </c>
      <c r="K52" s="289"/>
      <c r="L52" s="289"/>
      <c r="M52" s="289"/>
      <c r="N52" s="289"/>
      <c r="O52" s="289"/>
      <c r="P52" s="289"/>
      <c r="Q52" s="290"/>
      <c r="R52" s="11"/>
    </row>
    <row r="53" spans="1:18" ht="22.5" customHeight="1" x14ac:dyDescent="0.25">
      <c r="A53" s="10"/>
      <c r="B53" s="365" t="s">
        <v>167</v>
      </c>
      <c r="C53" s="366"/>
      <c r="D53" s="366"/>
      <c r="E53" s="134" t="s">
        <v>20</v>
      </c>
      <c r="F53" s="367" t="s">
        <v>190</v>
      </c>
      <c r="G53" s="367"/>
      <c r="H53" s="367"/>
      <c r="I53" s="368"/>
      <c r="J53" s="54"/>
      <c r="K53" s="54"/>
      <c r="L53" s="134"/>
      <c r="M53" s="134"/>
      <c r="N53" s="134"/>
      <c r="O53" s="134"/>
      <c r="P53" s="134"/>
      <c r="Q53" s="135"/>
      <c r="R53" s="11"/>
    </row>
    <row r="54" spans="1:18" ht="22.5" customHeight="1" x14ac:dyDescent="0.25">
      <c r="A54" s="10"/>
      <c r="B54" s="351" t="s">
        <v>179</v>
      </c>
      <c r="C54" s="352"/>
      <c r="D54" s="352"/>
      <c r="E54" s="134" t="s">
        <v>20</v>
      </c>
      <c r="F54" s="353" t="str">
        <f>'KAPAK SAYFASI'!D53</f>
        <v>05.08.2026</v>
      </c>
      <c r="G54" s="352"/>
      <c r="H54" s="352"/>
      <c r="I54" s="354"/>
      <c r="J54" s="54"/>
      <c r="K54" s="54"/>
      <c r="L54" s="134"/>
      <c r="M54" s="134"/>
      <c r="N54" s="134"/>
      <c r="O54" s="134"/>
      <c r="P54" s="134"/>
      <c r="Q54" s="135"/>
      <c r="R54" s="11"/>
    </row>
    <row r="55" spans="1:18" ht="22.5" customHeight="1" x14ac:dyDescent="0.25">
      <c r="A55" s="10"/>
      <c r="B55" s="233"/>
      <c r="C55" s="234"/>
      <c r="D55" s="234"/>
      <c r="E55" s="234"/>
      <c r="F55" s="234"/>
      <c r="G55" s="234"/>
      <c r="H55" s="234"/>
      <c r="I55" s="235"/>
      <c r="J55" s="139"/>
      <c r="K55" s="139"/>
      <c r="L55" s="139"/>
      <c r="M55" s="139"/>
      <c r="N55" s="139"/>
      <c r="O55" s="139"/>
      <c r="P55" s="139"/>
      <c r="Q55" s="136"/>
      <c r="R55" s="11"/>
    </row>
    <row r="56" spans="1:18" ht="12" customHeight="1" thickBot="1" x14ac:dyDescent="0.3">
      <c r="A56" s="15"/>
      <c r="B56" s="16"/>
      <c r="C56" s="16"/>
      <c r="D56" s="16"/>
      <c r="E56" s="16"/>
      <c r="F56" s="16"/>
      <c r="G56" s="16"/>
      <c r="H56" s="16"/>
      <c r="I56" s="16"/>
      <c r="J56" s="16"/>
      <c r="K56" s="16"/>
      <c r="L56" s="16"/>
      <c r="M56" s="16"/>
      <c r="N56" s="16"/>
      <c r="O56" s="16"/>
      <c r="P56" s="16"/>
      <c r="Q56" s="16"/>
      <c r="R56" s="17"/>
    </row>
  </sheetData>
  <mergeCells count="17">
    <mergeCell ref="J52:Q52"/>
    <mergeCell ref="B54:D54"/>
    <mergeCell ref="F54:I54"/>
    <mergeCell ref="G2:H2"/>
    <mergeCell ref="J2:Q2"/>
    <mergeCell ref="G3:H3"/>
    <mergeCell ref="J3:Q3"/>
    <mergeCell ref="B5:D5"/>
    <mergeCell ref="E5:K5"/>
    <mergeCell ref="L5:N5"/>
    <mergeCell ref="O5:P5"/>
    <mergeCell ref="B10:Q47"/>
    <mergeCell ref="B8:Q9"/>
    <mergeCell ref="B52:D52"/>
    <mergeCell ref="F52:I52"/>
    <mergeCell ref="B53:D53"/>
    <mergeCell ref="F53:I53"/>
  </mergeCells>
  <pageMargins left="0.59055118110236227" right="0.19685039370078741" top="0.43307086614173229" bottom="0.43307086614173229"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6</vt:i4>
      </vt:variant>
    </vt:vector>
  </HeadingPairs>
  <TitlesOfParts>
    <vt:vector size="13" baseType="lpstr">
      <vt:lpstr>KAPAK SAYFASI</vt:lpstr>
      <vt:lpstr>ANA SAYFA</vt:lpstr>
      <vt:lpstr>OG SARGI MEVCUT KADEME</vt:lpstr>
      <vt:lpstr>AG SARGI</vt:lpstr>
      <vt:lpstr>İZOLASYON </vt:lpstr>
      <vt:lpstr>Ç.O 34500</vt:lpstr>
      <vt:lpstr>HERMETİK YAĞ DİLEKÇESİ</vt:lpstr>
      <vt:lpstr>'AG SARGI'!Yazdırma_Alanı</vt:lpstr>
      <vt:lpstr>'ANA SAYFA'!Yazdırma_Alanı</vt:lpstr>
      <vt:lpstr>'Ç.O 34500'!Yazdırma_Alanı</vt:lpstr>
      <vt:lpstr>'HERMETİK YAĞ DİLEKÇESİ'!Yazdırma_Alanı</vt:lpstr>
      <vt:lpstr>'İZOLASYON '!Yazdırma_Alanı</vt:lpstr>
      <vt:lpstr>'OG SARGI MEVCUT KADEME'!Yazdırma_Alanı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2026-08-06T11:20:29Z</dcterms:modified>
</cp:coreProperties>
</file>