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945" yWindow="45" windowWidth="14985" windowHeight="11580" tabRatio="851" firstSheet="6" activeTab="14"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s>
  <definedNames>
    <definedName name="_xlnm.Print_Area" localSheetId="1">'ANA SAYFA'!$A$1:$T$77</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'HV PF'!$A$1:$R$48</definedName>
    <definedName name="_xlnm.Print_Area" localSheetId="8">'LV PF'!$A$1:$R$48</definedName>
    <definedName name="_xlnm.Print_Area" localSheetId="9">'ANA SAYFA KESİCİ'!$A$1:$T$79</definedName>
    <definedName name="_xlnm.Print_Area" localSheetId="10">'KESİCİ İZOLASYON'!$A$1:$R$54</definedName>
    <definedName name="_xlnm.Print_Area" localSheetId="11">'KESİCİ KONTAK'!$A$1:$R$54</definedName>
    <definedName name="_xlnm.Print_Area" localSheetId="12">'AÇMA-KAPAMA'!$A$1:$R$52</definedName>
    <definedName name="_xlnm.Print_Area" localSheetId="13">'DİĞER'!$A$1:$R$48</definedName>
    <definedName name="_xlnm.Print_Area" localSheetId="14">'AKIM TRAFOLARI'!$A$1:$R$48</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family val="2"/>
      <color rgb="FFFFCC00"/>
      <sz val="11"/>
      <u val="single"/>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s>
  <cellStyleXfs count="4">
    <xf numFmtId="0" fontId="0" fillId="0" borderId="0"/>
    <xf numFmtId="0" fontId="27" fillId="2" borderId="0"/>
    <xf numFmtId="0" fontId="35" fillId="4" borderId="30"/>
    <xf numFmtId="0" fontId="46" fillId="0" borderId="0"/>
  </cellStyleXfs>
  <cellXfs count="755">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0" fillId="0" borderId="10" applyAlignment="1" pivotButton="0" quotePrefix="0" xfId="0">
      <alignment vertical="center"/>
    </xf>
    <xf numFmtId="0" fontId="18" fillId="0" borderId="0" applyAlignment="1" pivotButton="0" quotePrefix="0" xfId="0">
      <alignment vertical="center"/>
    </xf>
    <xf numFmtId="0" fontId="13" fillId="0" borderId="0" applyAlignment="1" pivotButton="0" quotePrefix="0" xfId="0">
      <alignment vertical="center"/>
    </xf>
    <xf numFmtId="0" fontId="18" fillId="0" borderId="11" applyAlignment="1" pivotButton="0" quotePrefix="0" xfId="0">
      <alignment vertical="center"/>
    </xf>
    <xf numFmtId="0" fontId="18" fillId="0" borderId="12" applyAlignment="1" pivotButton="0" quotePrefix="0" xfId="0">
      <alignment vertical="center"/>
    </xf>
    <xf numFmtId="165" fontId="0" fillId="0" borderId="0" applyAlignment="1" pivotButton="0" quotePrefix="0" xfId="0">
      <alignment vertical="center"/>
    </xf>
    <xf numFmtId="0" fontId="20"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8"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19" fillId="0" borderId="0" applyAlignment="1" pivotButton="0" quotePrefix="0" xfId="0">
      <alignment vertical="center"/>
    </xf>
    <xf numFmtId="0" fontId="19" fillId="0" borderId="5" applyAlignment="1" pivotButton="0" quotePrefix="0" xfId="0">
      <alignment vertical="center"/>
    </xf>
    <xf numFmtId="0" fontId="19" fillId="0" borderId="6" applyAlignment="1" pivotButton="0" quotePrefix="0" xfId="0">
      <alignment vertical="center"/>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12" applyAlignment="1" pivotButton="0" quotePrefix="0" xfId="0">
      <alignment horizontal="center" vertical="center"/>
    </xf>
    <xf numFmtId="0" fontId="0" fillId="0" borderId="1" applyAlignment="1" pivotButton="0" quotePrefix="0" xfId="0">
      <alignment vertical="center"/>
    </xf>
    <xf numFmtId="0" fontId="14" fillId="0" borderId="11" applyAlignment="1" pivotButton="0" quotePrefix="0" xfId="0">
      <alignment horizontal="center" vertical="center"/>
    </xf>
    <xf numFmtId="2" fontId="0" fillId="0" borderId="0" applyAlignment="1" pivotButton="0" quotePrefix="0" xfId="0">
      <alignment vertical="center"/>
    </xf>
    <xf numFmtId="0" fontId="14" fillId="0" borderId="11" pivotButton="0" quotePrefix="0" xfId="0"/>
    <xf numFmtId="0" fontId="0" fillId="0" borderId="2" pivotButton="0" quotePrefix="0" xfId="0"/>
    <xf numFmtId="0" fontId="0" fillId="0" borderId="3" pivotButton="0" quotePrefix="0" xfId="0"/>
    <xf numFmtId="0" fontId="16" fillId="0" borderId="3" applyAlignment="1" pivotButton="0" quotePrefix="0" xfId="0">
      <alignment vertical="center"/>
    </xf>
    <xf numFmtId="0" fontId="0" fillId="0" borderId="5" pivotButton="0" quotePrefix="0" xfId="0"/>
    <xf numFmtId="0" fontId="0" fillId="0" borderId="6" pivotButton="0" quotePrefix="0" xfId="0"/>
    <xf numFmtId="0" fontId="16" fillId="0" borderId="6" applyAlignment="1" pivotButton="0" quotePrefix="0" xfId="0">
      <alignment vertical="center"/>
    </xf>
    <xf numFmtId="0" fontId="25"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4"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2" fillId="0" borderId="9" applyAlignment="1" pivotButton="0" quotePrefix="0" xfId="0">
      <alignment vertical="center"/>
    </xf>
    <xf numFmtId="2" fontId="25" fillId="0" borderId="8" applyAlignment="1" pivotButton="0" quotePrefix="0" xfId="0">
      <alignment vertical="center"/>
    </xf>
    <xf numFmtId="0" fontId="17" fillId="0" borderId="11" applyAlignment="1" pivotButton="0" quotePrefix="0" xfId="0">
      <alignment vertical="center"/>
    </xf>
    <xf numFmtId="0" fontId="17" fillId="0" borderId="0" applyAlignment="1" pivotButton="0" quotePrefix="0" xfId="0">
      <alignment vertical="center"/>
    </xf>
    <xf numFmtId="0" fontId="17" fillId="0" borderId="12" applyAlignment="1" pivotButton="0" quotePrefix="0" xfId="0">
      <alignment vertical="center"/>
    </xf>
    <xf numFmtId="0" fontId="17"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6" fillId="0" borderId="4" applyAlignment="1" pivotButton="0" quotePrefix="0" xfId="0">
      <alignment vertical="center"/>
    </xf>
    <xf numFmtId="0" fontId="0" fillId="0" borderId="11" pivotButton="0" quotePrefix="0" xfId="0"/>
    <xf numFmtId="0" fontId="0" fillId="0" borderId="0" pivotButton="0" quotePrefix="0" xfId="0"/>
    <xf numFmtId="0" fontId="16" fillId="0" borderId="12" applyAlignment="1" pivotButton="0" quotePrefix="0" xfId="0">
      <alignment vertical="center"/>
    </xf>
    <xf numFmtId="0" fontId="16" fillId="0" borderId="5"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7"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30" fillId="0" borderId="0" applyAlignment="1" pivotButton="0" quotePrefix="0" xfId="0">
      <alignment vertical="center"/>
    </xf>
    <xf numFmtId="0" fontId="29" fillId="0" borderId="0" applyAlignment="1" pivotButton="0" quotePrefix="0" xfId="0">
      <alignment horizontal="left" vertical="center"/>
    </xf>
    <xf numFmtId="0" fontId="0" fillId="0" borderId="22" pivotButton="0" quotePrefix="0" xfId="0"/>
    <xf numFmtId="0" fontId="30" fillId="0" borderId="11" applyAlignment="1" pivotButton="0" quotePrefix="0" xfId="0">
      <alignment vertical="center"/>
    </xf>
    <xf numFmtId="0" fontId="30" fillId="0" borderId="12" applyAlignment="1" pivotButton="0" quotePrefix="0" xfId="0">
      <alignment vertical="center"/>
    </xf>
    <xf numFmtId="0" fontId="0" fillId="0" borderId="7" applyAlignment="1" pivotButton="0" quotePrefix="0" xfId="0">
      <alignment vertical="center"/>
    </xf>
    <xf numFmtId="0" fontId="28" fillId="0" borderId="11" applyAlignment="1" pivotButton="0" quotePrefix="0" xfId="0">
      <alignment vertical="center"/>
    </xf>
    <xf numFmtId="0" fontId="28" fillId="0" borderId="0" applyAlignment="1" pivotButton="0" quotePrefix="0" xfId="0">
      <alignment vertical="center"/>
    </xf>
    <xf numFmtId="0" fontId="33" fillId="0" borderId="6" applyAlignment="1" pivotButton="0" quotePrefix="0" xfId="0">
      <alignment horizontal="center" vertical="center"/>
    </xf>
    <xf numFmtId="0" fontId="18" fillId="0" borderId="9" applyAlignment="1" pivotButton="0" quotePrefix="0" xfId="0">
      <alignment vertical="center"/>
    </xf>
    <xf numFmtId="0" fontId="29"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1" fillId="0" borderId="11" applyAlignment="1" pivotButton="0" quotePrefix="0" xfId="0">
      <alignment vertical="center"/>
    </xf>
    <xf numFmtId="0" fontId="11" fillId="0" borderId="0" applyAlignment="1" pivotButton="0" quotePrefix="0" xfId="0">
      <alignment vertical="center"/>
    </xf>
    <xf numFmtId="0" fontId="11" fillId="0" borderId="11" applyAlignment="1" pivotButton="0" quotePrefix="0" xfId="0">
      <alignment horizontal="center" vertical="center"/>
    </xf>
    <xf numFmtId="0" fontId="11" fillId="0" borderId="5" applyAlignment="1" pivotButton="0" quotePrefix="0" xfId="0">
      <alignment horizontal="center" vertical="center"/>
    </xf>
    <xf numFmtId="0" fontId="11" fillId="0" borderId="6" applyAlignment="1" pivotButton="0" quotePrefix="0" xfId="0">
      <alignment horizontal="center" vertical="center"/>
    </xf>
    <xf numFmtId="0" fontId="0" fillId="0" borderId="24" applyAlignment="1" pivotButton="0" quotePrefix="0" xfId="0">
      <alignment vertical="center"/>
    </xf>
    <xf numFmtId="0" fontId="30"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29" fillId="0" borderId="24" applyAlignment="1" pivotButton="0" quotePrefix="0" xfId="0">
      <alignment vertical="center"/>
    </xf>
    <xf numFmtId="0" fontId="29" fillId="0" borderId="24" applyAlignment="1" pivotButton="0" quotePrefix="0" xfId="0">
      <alignment horizontal="center" vertical="center"/>
    </xf>
    <xf numFmtId="0" fontId="34" fillId="0" borderId="1" applyAlignment="1" pivotButton="0" quotePrefix="0" xfId="0">
      <alignment horizontal="center" vertical="center"/>
    </xf>
    <xf numFmtId="0" fontId="30" fillId="0" borderId="0" applyAlignment="1" pivotButton="0" quotePrefix="0" xfId="0">
      <alignment horizontal="center" vertical="center"/>
    </xf>
    <xf numFmtId="0" fontId="28" fillId="0" borderId="0" applyAlignment="1" pivotButton="0" quotePrefix="0" xfId="0">
      <alignment horizontal="left" vertical="center"/>
    </xf>
    <xf numFmtId="0" fontId="11" fillId="0" borderId="0" applyAlignment="1" pivotButton="0" quotePrefix="0" xfId="0">
      <alignment horizontal="left" vertical="center"/>
    </xf>
    <xf numFmtId="2" fontId="11" fillId="0" borderId="0" applyAlignment="1" pivotButton="0" quotePrefix="0" xfId="0">
      <alignment horizontal="left" vertical="center"/>
    </xf>
    <xf numFmtId="49" fontId="0" fillId="0" borderId="0" pivotButton="0" quotePrefix="0" xfId="0"/>
    <xf numFmtId="0" fontId="0" fillId="0" borderId="9" pivotButton="0" quotePrefix="0" xfId="0"/>
    <xf numFmtId="0" fontId="35" fillId="4" borderId="30" applyAlignment="1" pivotButton="0" quotePrefix="0" xfId="2">
      <alignment horizontal="center" vertical="center"/>
    </xf>
    <xf numFmtId="0" fontId="0" fillId="0" borderId="0" pivotButton="0" quotePrefix="0" xfId="0"/>
    <xf numFmtId="0" fontId="16" fillId="0" borderId="0" applyAlignment="1" pivotButton="0" quotePrefix="0" xfId="0">
      <alignment vertical="top" wrapText="1"/>
    </xf>
    <xf numFmtId="0" fontId="16"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8" fillId="0" borderId="0" applyAlignment="1" pivotButton="0" quotePrefix="0" xfId="0">
      <alignment vertical="center"/>
    </xf>
    <xf numFmtId="2" fontId="28" fillId="0" borderId="12" applyAlignment="1" pivotButton="0" quotePrefix="0" xfId="0">
      <alignment vertical="center"/>
    </xf>
    <xf numFmtId="2" fontId="28" fillId="0" borderId="23" applyAlignment="1" pivotButton="0" quotePrefix="0" xfId="0">
      <alignment vertical="center"/>
    </xf>
    <xf numFmtId="0" fontId="29" fillId="0" borderId="24" pivotButton="0" quotePrefix="0" xfId="0"/>
    <xf numFmtId="0" fontId="30" fillId="0" borderId="24" pivotButton="0" quotePrefix="0" xfId="0"/>
    <xf numFmtId="166" fontId="11" fillId="0" borderId="0" applyAlignment="1" pivotButton="0" quotePrefix="0" xfId="0">
      <alignment horizontal="center" vertical="center"/>
    </xf>
    <xf numFmtId="166" fontId="11"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0"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6"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0"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6" fillId="0" borderId="5" applyAlignment="1" pivotButton="0" quotePrefix="0" xfId="0">
      <alignment vertical="center"/>
    </xf>
    <xf numFmtId="0" fontId="16"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8" fillId="0" borderId="1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17" fillId="0" borderId="9" applyAlignment="1" pivotButton="0" quotePrefix="0" xfId="0">
      <alignment vertical="center"/>
    </xf>
    <xf numFmtId="0" fontId="17" fillId="0" borderId="10" applyAlignment="1" pivotButton="0" quotePrefix="0" xfId="0">
      <alignment vertical="center"/>
    </xf>
    <xf numFmtId="0" fontId="0" fillId="5" borderId="11" applyAlignment="1" pivotButton="0" quotePrefix="0" xfId="0">
      <alignment vertical="center" textRotation="90"/>
    </xf>
    <xf numFmtId="0" fontId="19" fillId="0" borderId="7" applyAlignment="1" pivotButton="0" quotePrefix="0" xfId="0">
      <alignment vertical="center"/>
    </xf>
    <xf numFmtId="0" fontId="0" fillId="0" borderId="4"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6" fontId="0" fillId="0" borderId="0" pivotButton="0" quotePrefix="0" xfId="0"/>
    <xf numFmtId="0" fontId="0" fillId="0" borderId="27" applyAlignment="1" pivotButton="0" quotePrefix="0" xfId="0">
      <alignment horizontal="center"/>
    </xf>
    <xf numFmtId="0" fontId="18" fillId="0" borderId="0" applyAlignment="1" pivotButton="0" quotePrefix="0" xfId="0">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7"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7" fillId="0" borderId="6" applyAlignment="1" pivotButton="0" quotePrefix="0" xfId="0">
      <alignment vertical="center"/>
    </xf>
    <xf numFmtId="0" fontId="0" fillId="0" borderId="0" pivotButton="0" quotePrefix="0" xfId="0"/>
    <xf numFmtId="0" fontId="16" fillId="0" borderId="6" applyAlignment="1" pivotButton="0" quotePrefix="0" xfId="0">
      <alignment horizontal="left" vertical="center"/>
    </xf>
    <xf numFmtId="0" fontId="16"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29" fillId="0" borderId="3" applyAlignment="1" pivotButton="0" quotePrefix="0" xfId="0">
      <alignment horizontal="left" vertical="center"/>
    </xf>
    <xf numFmtId="0" fontId="29" fillId="0" borderId="11" applyAlignment="1" pivotButton="0" quotePrefix="0" xfId="0">
      <alignment horizontal="left" vertical="center"/>
    </xf>
    <xf numFmtId="0" fontId="29"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30" fillId="0" borderId="2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6" fillId="0" borderId="6" applyAlignment="1" pivotButton="0" quotePrefix="0" xfId="0">
      <alignment horizontal="left" vertical="center"/>
    </xf>
    <xf numFmtId="0" fontId="16" fillId="0" borderId="7" applyAlignment="1" pivotButton="0" quotePrefix="0" xfId="0">
      <alignment horizontal="left" vertical="center"/>
    </xf>
    <xf numFmtId="0" fontId="0" fillId="0" borderId="1" applyAlignment="1" pivotButton="0" quotePrefix="0" xfId="0">
      <alignment horizontal="center" vertical="center"/>
    </xf>
    <xf numFmtId="0" fontId="17" fillId="0" borderId="3" applyAlignment="1" pivotButton="0" quotePrefix="0" xfId="0">
      <alignment horizontal="center" vertical="center"/>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0" fillId="0" borderId="1" applyAlignment="1" pivotButton="0" quotePrefix="0" xfId="0">
      <alignment horizontal="center" vertical="center"/>
    </xf>
    <xf numFmtId="0" fontId="30" fillId="0" borderId="8" applyAlignment="1" pivotButton="0" quotePrefix="0" xfId="0">
      <alignment vertical="center"/>
    </xf>
    <xf numFmtId="0" fontId="30" fillId="0" borderId="9" applyAlignment="1" pivotButton="0" quotePrefix="0" xfId="0">
      <alignment vertical="center"/>
    </xf>
    <xf numFmtId="0" fontId="30" fillId="0" borderId="10" applyAlignment="1" pivotButton="0" quotePrefix="0" xfId="0">
      <alignment vertical="center"/>
    </xf>
    <xf numFmtId="0" fontId="8" fillId="0" borderId="1" applyAlignment="1" pivotButton="0" quotePrefix="0" xfId="0">
      <alignment horizontal="center" vertical="center"/>
    </xf>
    <xf numFmtId="0" fontId="8" fillId="0" borderId="10" applyAlignment="1" pivotButton="0" quotePrefix="0" xfId="0">
      <alignment vertical="center"/>
    </xf>
    <xf numFmtId="0" fontId="8" fillId="0" borderId="11" applyAlignment="1" pivotButton="0" quotePrefix="0" xfId="0">
      <alignment horizontal="center" vertical="center"/>
    </xf>
    <xf numFmtId="0" fontId="8" fillId="0" borderId="9" applyAlignment="1" pivotButton="0" quotePrefix="0" xfId="0">
      <alignment vertical="center"/>
    </xf>
    <xf numFmtId="0" fontId="8" fillId="0" borderId="10" applyAlignment="1" pivotButton="0" quotePrefix="0" xfId="0">
      <alignment horizontal="center" vertical="center"/>
    </xf>
    <xf numFmtId="0" fontId="8" fillId="0" borderId="11" applyAlignment="1" pivotButton="0" quotePrefix="0" xfId="0">
      <alignment horizontal="center"/>
    </xf>
    <xf numFmtId="0" fontId="8" fillId="0" borderId="0" applyAlignment="1" pivotButton="0" quotePrefix="0" xfId="0">
      <alignment vertical="center"/>
    </xf>
    <xf numFmtId="0" fontId="8" fillId="0" borderId="0" pivotButton="0" quotePrefix="0" xfId="0"/>
    <xf numFmtId="2" fontId="8" fillId="0" borderId="0" applyAlignment="1" pivotButton="0" quotePrefix="0" xfId="0">
      <alignment horizontal="right" vertical="center"/>
    </xf>
    <xf numFmtId="164" fontId="8" fillId="0" borderId="0" applyAlignment="1" pivotButton="0" quotePrefix="0" xfId="0">
      <alignment vertical="center"/>
    </xf>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2" fontId="0" fillId="0" borderId="0" pivotButton="0" quotePrefix="0" xfId="0"/>
    <xf numFmtId="0" fontId="8" fillId="0" borderId="5" applyAlignment="1" pivotButton="0" quotePrefix="0" xfId="0">
      <alignment horizontal="center" vertical="center"/>
    </xf>
    <xf numFmtId="0" fontId="8" fillId="0" borderId="6" applyAlignment="1" pivotButton="0" quotePrefix="0" xfId="0">
      <alignment horizontal="center" vertical="center"/>
    </xf>
    <xf numFmtId="164" fontId="0" fillId="0" borderId="9" applyAlignment="1" pivotButton="0" quotePrefix="0" xfId="0">
      <alignment vertical="center"/>
    </xf>
    <xf numFmtId="0" fontId="19" fillId="0" borderId="2" applyAlignment="1" pivotButton="0" quotePrefix="0" xfId="0">
      <alignment vertical="center"/>
    </xf>
    <xf numFmtId="0" fontId="19" fillId="0" borderId="3" applyAlignment="1" pivotButton="0" quotePrefix="0" xfId="0">
      <alignment vertical="center"/>
    </xf>
    <xf numFmtId="0" fontId="0" fillId="0" borderId="32"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8" fillId="0" borderId="0" applyAlignment="1" pivotButton="0" quotePrefix="0" xfId="0">
      <alignment vertical="center"/>
    </xf>
    <xf numFmtId="2" fontId="0" fillId="0" borderId="0" pivotButton="0" quotePrefix="0" xfId="0"/>
    <xf numFmtId="0" fontId="0" fillId="0" borderId="4" pivotButton="0" quotePrefix="0" xfId="0"/>
    <xf numFmtId="0" fontId="14" fillId="0" borderId="8" applyAlignment="1" pivotButton="0" quotePrefix="0" xfId="0">
      <alignment vertical="center"/>
    </xf>
    <xf numFmtId="0" fontId="14" fillId="0" borderId="9" applyAlignment="1" pivotButton="0" quotePrefix="0" xfId="0">
      <alignment vertical="center"/>
    </xf>
    <xf numFmtId="0" fontId="14" fillId="0" borderId="10" applyAlignment="1" pivotButton="0" quotePrefix="0" xfId="0">
      <alignment vertical="center"/>
    </xf>
    <xf numFmtId="0" fontId="0" fillId="0" borderId="9" applyAlignment="1" pivotButton="0" quotePrefix="0" xfId="0">
      <alignment vertical="center"/>
    </xf>
    <xf numFmtId="0" fontId="18" fillId="0" borderId="8" applyAlignment="1" pivotButton="0" quotePrefix="0" xfId="0">
      <alignment vertical="center"/>
    </xf>
    <xf numFmtId="0" fontId="25" fillId="0" borderId="0" applyAlignment="1" pivotButton="0" quotePrefix="0" xfId="0">
      <alignment vertical="center"/>
    </xf>
    <xf numFmtId="0" fontId="19" fillId="0" borderId="11" applyAlignment="1" pivotButton="0" quotePrefix="0" xfId="0">
      <alignment vertical="center"/>
    </xf>
    <xf numFmtId="0" fontId="17"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4" fillId="0" borderId="10" applyAlignment="1" pivotButton="0" quotePrefix="0" xfId="0">
      <alignment vertical="center"/>
    </xf>
    <xf numFmtId="0" fontId="14"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0" fillId="0" borderId="0" applyAlignment="1" pivotButton="0" quotePrefix="0" xfId="0">
      <alignment horizontal="center" vertical="center"/>
    </xf>
    <xf numFmtId="0" fontId="17" fillId="0" borderId="0" applyAlignment="1" pivotButton="0" quotePrefix="0" xfId="0">
      <alignment horizontal="center" vertical="center"/>
    </xf>
    <xf numFmtId="0" fontId="16" fillId="0" borderId="0" applyAlignment="1" pivotButton="0" quotePrefix="0" xfId="0">
      <alignment horizontal="left" vertical="top" wrapText="1"/>
    </xf>
    <xf numFmtId="0" fontId="16" fillId="0" borderId="12" applyAlignment="1" pivotButton="0" quotePrefix="0" xfId="0">
      <alignment horizontal="left" vertical="top" wrapText="1"/>
    </xf>
    <xf numFmtId="0" fontId="16" fillId="0" borderId="6" applyAlignment="1" pivotButton="0" quotePrefix="0" xfId="0">
      <alignment horizontal="left" vertical="center"/>
    </xf>
    <xf numFmtId="0" fontId="0" fillId="0" borderId="8" applyAlignment="1" pivotButton="0" quotePrefix="0" xfId="0">
      <alignment horizontal="right" vertical="center"/>
    </xf>
    <xf numFmtId="164" fontId="0" fillId="0" borderId="0" applyAlignment="1" pivotButton="0" quotePrefix="0" xfId="0">
      <alignment horizontal="center" vertical="center"/>
    </xf>
    <xf numFmtId="0" fontId="16" fillId="0" borderId="3" applyAlignment="1" pivotButton="0" quotePrefix="0" xfId="0">
      <alignment horizontal="left" vertical="center"/>
    </xf>
    <xf numFmtId="0" fontId="0" fillId="0" borderId="0" pivotButton="0" quotePrefix="0" xfId="0"/>
    <xf numFmtId="0" fontId="14" fillId="0" borderId="0" applyAlignment="1" pivotButton="0" quotePrefix="0" xfId="0">
      <alignment horizontal="center" vertical="center"/>
    </xf>
    <xf numFmtId="0" fontId="0" fillId="0" borderId="1" applyAlignment="1" pivotButton="0" quotePrefix="0" xfId="0">
      <alignment horizontal="center"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7" fillId="0" borderId="0" applyAlignment="1" pivotButton="0" quotePrefix="0" xfId="0">
      <alignment vertical="center"/>
    </xf>
    <xf numFmtId="0" fontId="17" fillId="0" borderId="9" applyAlignment="1" pivotButton="0" quotePrefix="0" xfId="0">
      <alignment horizontal="center" vertical="center"/>
    </xf>
    <xf numFmtId="0" fontId="19" fillId="0" borderId="8" applyAlignment="1" pivotButton="0" quotePrefix="0" xfId="0">
      <alignment vertical="center"/>
    </xf>
    <xf numFmtId="0" fontId="19" fillId="0" borderId="9" applyAlignment="1" pivotButton="0" quotePrefix="0" xfId="0">
      <alignment vertical="center"/>
    </xf>
    <xf numFmtId="0" fontId="19" fillId="0" borderId="10" applyAlignment="1" pivotButton="0" quotePrefix="0" xfId="0">
      <alignment vertical="center"/>
    </xf>
    <xf numFmtId="0" fontId="29" fillId="0" borderId="11" applyAlignment="1" pivotButton="0" quotePrefix="0" xfId="0">
      <alignment horizontal="left" vertical="center"/>
    </xf>
    <xf numFmtId="0" fontId="2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0" pivotButton="0" quotePrefix="0" xfId="0"/>
    <xf numFmtId="0" fontId="9" fillId="0" borderId="0"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29" fillId="0" borderId="5" applyAlignment="1" pivotButton="0" quotePrefix="0" xfId="0">
      <alignment horizontal="left" vertical="center"/>
    </xf>
    <xf numFmtId="0" fontId="29" fillId="0" borderId="6" applyAlignment="1" pivotButton="0" quotePrefix="0" xfId="0">
      <alignment horizontal="left" vertical="center"/>
    </xf>
    <xf numFmtId="0" fontId="9" fillId="0" borderId="6" applyAlignment="1" pivotButton="0" quotePrefix="0" xfId="0">
      <alignment vertical="center"/>
    </xf>
    <xf numFmtId="0" fontId="9" fillId="0" borderId="6" applyAlignment="1" pivotButton="0" quotePrefix="0" xfId="0">
      <alignment horizontal="left" vertical="center"/>
    </xf>
    <xf numFmtId="0" fontId="9" fillId="0" borderId="7" applyAlignment="1" pivotButton="0" quotePrefix="0" xfId="0">
      <alignment horizontal="left" vertical="center"/>
    </xf>
    <xf numFmtId="168" fontId="9" fillId="0" borderId="0" applyAlignment="1" pivotButton="0" quotePrefix="0" xfId="0">
      <alignment vertical="center"/>
    </xf>
    <xf numFmtId="168" fontId="9" fillId="0" borderId="12" applyAlignment="1" pivotButton="0" quotePrefix="0" xfId="0">
      <alignment vertical="center"/>
    </xf>
    <xf numFmtId="0" fontId="9"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0" fillId="0" borderId="33"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4" fillId="0" borderId="0" pivotButton="0" quotePrefix="0" xfId="0"/>
    <xf numFmtId="14" fontId="0" fillId="0" borderId="0" applyAlignment="1" pivotButton="0" quotePrefix="0" xfId="0">
      <alignment horizontal="left"/>
    </xf>
    <xf numFmtId="0" fontId="16" fillId="0" borderId="11" applyAlignment="1" pivotButton="0" quotePrefix="0" xfId="0">
      <alignment vertical="center" wrapText="1"/>
    </xf>
    <xf numFmtId="0" fontId="16" fillId="0" borderId="0" applyAlignment="1" pivotButton="0" quotePrefix="0" xfId="0">
      <alignment vertical="center" wrapText="1"/>
    </xf>
    <xf numFmtId="0" fontId="16" fillId="0" borderId="12" applyAlignment="1" pivotButton="0" quotePrefix="0" xfId="0">
      <alignment vertical="center" wrapText="1"/>
    </xf>
    <xf numFmtId="0" fontId="14" fillId="0" borderId="11" pivotButton="0" quotePrefix="0" xfId="0"/>
    <xf numFmtId="0" fontId="14" fillId="0" borderId="0" pivotButton="0" quotePrefix="0" xfId="0"/>
    <xf numFmtId="0" fontId="14" fillId="0" borderId="12" pivotButton="0" quotePrefix="0" xfId="0"/>
    <xf numFmtId="0" fontId="0" fillId="0" borderId="0" applyAlignment="1" pivotButton="0" quotePrefix="0" xfId="0">
      <alignment horizontal="left" vertical="top"/>
    </xf>
    <xf numFmtId="0" fontId="30" fillId="0" borderId="0" applyAlignment="1" pivotButton="0" quotePrefix="0" xfId="0">
      <alignment horizontal="left" vertical="top" wrapText="1"/>
    </xf>
    <xf numFmtId="0" fontId="29" fillId="0" borderId="0" applyAlignment="1" pivotButton="0" quotePrefix="0" xfId="0">
      <alignment horizontal="left" vertical="center"/>
    </xf>
    <xf numFmtId="0" fontId="29" fillId="0" borderId="11"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29" fillId="0" borderId="5" applyAlignment="1" pivotButton="0" quotePrefix="0" xfId="0">
      <alignment horizontal="left" vertical="center"/>
    </xf>
    <xf numFmtId="0" fontId="29" fillId="0" borderId="6" applyAlignment="1" pivotButton="0" quotePrefix="0" xfId="0">
      <alignment horizontal="left" vertical="center"/>
    </xf>
    <xf numFmtId="0" fontId="18"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0" fillId="0" borderId="0" applyAlignment="1" pivotButton="0" quotePrefix="0" xfId="0">
      <alignment vertical="top" wrapText="1"/>
    </xf>
    <xf numFmtId="0" fontId="30" fillId="0" borderId="0" applyAlignment="1" pivotButton="0" quotePrefix="0" xfId="0">
      <alignment vertical="top"/>
    </xf>
    <xf numFmtId="0" fontId="29" fillId="0" borderId="0" applyAlignment="1" pivotButton="0" quotePrefix="0" xfId="0">
      <alignment horizontal="left" vertical="top" wrapText="1"/>
    </xf>
    <xf numFmtId="0" fontId="18" fillId="0" borderId="3" applyAlignment="1" pivotButton="0" quotePrefix="0" xfId="0">
      <alignment vertical="center"/>
    </xf>
    <xf numFmtId="0" fontId="18" fillId="0" borderId="3" applyAlignment="1" pivotButton="0" quotePrefix="0" xfId="0">
      <alignment horizontal="left" vertical="center"/>
    </xf>
    <xf numFmtId="0" fontId="30" fillId="0" borderId="0" applyAlignment="1" pivotButton="0" quotePrefix="0" xfId="0">
      <alignment horizontal="left" vertical="top"/>
    </xf>
    <xf numFmtId="0" fontId="9" fillId="0" borderId="3" applyAlignment="1" pivotButton="0" quotePrefix="0" xfId="0">
      <alignment vertical="center"/>
    </xf>
    <xf numFmtId="0" fontId="0" fillId="0" borderId="0" pivotButton="0" quotePrefix="0" xfId="0"/>
    <xf numFmtId="0" fontId="0" fillId="0" borderId="8" applyAlignment="1" pivotButton="0" quotePrefix="0" xfId="0">
      <alignment horizontal="right" vertical="center"/>
    </xf>
    <xf numFmtId="0" fontId="17" fillId="0" borderId="5" applyAlignment="1" pivotButton="0" quotePrefix="0" xfId="0">
      <alignment vertical="center"/>
    </xf>
    <xf numFmtId="0" fontId="18" fillId="0" borderId="9" applyAlignment="1" pivotButton="0" quotePrefix="0" xfId="0">
      <alignment horizontal="left" vertical="center"/>
    </xf>
    <xf numFmtId="0" fontId="18" fillId="0" borderId="3" applyAlignment="1" pivotButton="0" quotePrefix="0" xfId="0">
      <alignment horizontal="left" vertical="center"/>
    </xf>
    <xf numFmtId="0" fontId="0" fillId="0" borderId="0" pivotButton="0" quotePrefix="0" xfId="0"/>
    <xf numFmtId="0" fontId="14" fillId="0" borderId="0" pivotButton="0" quotePrefix="0" xfId="0"/>
    <xf numFmtId="0" fontId="47"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0" fillId="0" borderId="0" applyAlignment="1" pivotButton="0" quotePrefix="0" xfId="0">
      <alignment horizontal="left"/>
    </xf>
    <xf numFmtId="0" fontId="30" fillId="0" borderId="6" applyAlignment="1" pivotButton="0" quotePrefix="0" xfId="0">
      <alignment horizontal="left"/>
    </xf>
    <xf numFmtId="0" fontId="30" fillId="0" borderId="0" applyAlignment="1" pivotButton="0" quotePrefix="0" xfId="0">
      <alignment horizontal="left" vertical="top" wrapText="1"/>
    </xf>
    <xf numFmtId="0" fontId="29" fillId="0" borderId="0" applyAlignment="1" pivotButton="0" quotePrefix="0" xfId="0">
      <alignment horizontal="left" vertical="top" wrapText="1"/>
    </xf>
    <xf numFmtId="0" fontId="30" fillId="0" borderId="3" applyAlignment="1" pivotButton="0" quotePrefix="0" xfId="0">
      <alignment horizontal="left"/>
    </xf>
    <xf numFmtId="0" fontId="14"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9" fillId="0" borderId="0" pivotButton="0" quotePrefix="0" xfId="0"/>
    <xf numFmtId="0" fontId="42" fillId="0" borderId="0" applyAlignment="1" pivotButton="0" quotePrefix="0" xfId="0">
      <alignment vertical="center"/>
    </xf>
    <xf numFmtId="0" fontId="38" fillId="0" borderId="0" applyAlignment="1" pivotButton="0" quotePrefix="0" xfId="0">
      <alignment vertical="center"/>
    </xf>
    <xf numFmtId="0" fontId="32" fillId="0" borderId="0" pivotButton="0" quotePrefix="0" xfId="0"/>
    <xf numFmtId="0" fontId="0" fillId="0" borderId="0" pivotButton="0" quotePrefix="0" xfId="0"/>
    <xf numFmtId="0" fontId="38" fillId="0" borderId="0" applyAlignment="1" pivotButton="0" quotePrefix="0" xfId="0">
      <alignment vertical="center"/>
    </xf>
    <xf numFmtId="0" fontId="0" fillId="0" borderId="0" pivotButton="0" quotePrefix="0" xfId="0"/>
    <xf numFmtId="0" fontId="30" fillId="0" borderId="23" applyAlignment="1" pivotButton="0" quotePrefix="0" xfId="0">
      <alignment horizontal="center" vertical="center"/>
    </xf>
    <xf numFmtId="0" fontId="38" fillId="0" borderId="0" applyAlignment="1" pivotButton="0" quotePrefix="0" xfId="0">
      <alignment horizontal="center" vertical="center"/>
    </xf>
    <xf numFmtId="0" fontId="14"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0" applyAlignment="1" pivotButton="0" quotePrefix="0" xfId="0">
      <alignment horizontal="left"/>
    </xf>
    <xf numFmtId="0" fontId="0" fillId="0" borderId="0" applyAlignment="1" pivotButton="0" quotePrefix="0" xfId="0">
      <alignment horizontal="left"/>
    </xf>
    <xf numFmtId="0" fontId="0" fillId="0" borderId="6" applyAlignment="1" pivotButton="0" quotePrefix="0" xfId="0">
      <alignment horizontal="left"/>
    </xf>
    <xf numFmtId="0" fontId="30" fillId="0" borderId="11" applyAlignment="1" pivotButton="0" quotePrefix="0" xfId="0">
      <alignment horizontal="left"/>
    </xf>
    <xf numFmtId="0" fontId="30" fillId="0" borderId="0" applyAlignment="1" pivotButton="0" quotePrefix="0" xfId="0">
      <alignment horizontal="left"/>
    </xf>
    <xf numFmtId="0" fontId="17" fillId="0" borderId="0" applyAlignment="1" pivotButton="0" quotePrefix="0" xfId="0">
      <alignment horizontal="center"/>
    </xf>
    <xf numFmtId="0" fontId="30" fillId="0" borderId="0" applyAlignment="1" pivotButton="0" quotePrefix="0" xfId="0">
      <alignment horizontal="left" vertical="top" wrapText="1"/>
    </xf>
    <xf numFmtId="0" fontId="29" fillId="0" borderId="0" applyAlignment="1" pivotButton="0" quotePrefix="0" xfId="0">
      <alignment horizontal="left" vertical="top" wrapText="1"/>
    </xf>
    <xf numFmtId="0" fontId="30" fillId="0" borderId="2" applyAlignment="1" pivotButton="0" quotePrefix="0" xfId="0">
      <alignment horizontal="left"/>
    </xf>
    <xf numFmtId="0" fontId="30" fillId="0" borderId="3" applyAlignment="1" pivotButton="0" quotePrefix="0" xfId="0">
      <alignment horizontal="left"/>
    </xf>
    <xf numFmtId="0" fontId="14" fillId="0" borderId="0" applyAlignment="1" pivotButton="0" quotePrefix="0" xfId="0">
      <alignment horizontal="left" vertical="top"/>
    </xf>
    <xf numFmtId="0" fontId="0" fillId="0" borderId="0" applyAlignment="1" pivotButton="0" quotePrefix="0" xfId="0">
      <alignment horizontal="left"/>
    </xf>
    <xf numFmtId="0" fontId="14" fillId="0" borderId="0" applyAlignment="1" pivotButton="0" quotePrefix="0" xfId="0">
      <alignment horizontal="center" vertical="center"/>
    </xf>
    <xf numFmtId="0" fontId="14" fillId="0" borderId="0" applyAlignment="1" pivotButton="0" quotePrefix="0" xfId="0">
      <alignment horizontal="center" vertical="top"/>
    </xf>
    <xf numFmtId="0" fontId="0" fillId="8" borderId="0" applyAlignment="1" pivotButton="0" quotePrefix="0" xfId="0">
      <alignment horizontal="center"/>
    </xf>
    <xf numFmtId="0" fontId="32" fillId="0" borderId="0" applyAlignment="1" pivotButton="0" quotePrefix="0" xfId="0">
      <alignment horizontal="left"/>
    </xf>
    <xf numFmtId="0" fontId="30" fillId="0" borderId="5" applyAlignment="1" pivotButton="0" quotePrefix="0" xfId="0">
      <alignment horizontal="left"/>
    </xf>
    <xf numFmtId="0" fontId="30" fillId="0" borderId="6" applyAlignment="1" pivotButton="0" quotePrefix="0" xfId="0">
      <alignment horizontal="left"/>
    </xf>
    <xf numFmtId="0" fontId="0" fillId="0" borderId="0" applyAlignment="1" pivotButton="0" quotePrefix="0" xfId="0">
      <alignment horizontal="center"/>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1" fillId="0" borderId="11" applyAlignment="1" pivotButton="0" quotePrefix="0" xfId="0">
      <alignment horizontal="center" vertical="center"/>
    </xf>
    <xf numFmtId="0" fontId="11" fillId="0" borderId="0" applyAlignment="1" pivotButton="0" quotePrefix="0" xfId="0">
      <alignment horizontal="center" vertical="center"/>
    </xf>
    <xf numFmtId="0" fontId="29" fillId="0" borderId="2" applyAlignment="1" pivotButton="0" quotePrefix="0" xfId="0">
      <alignment horizontal="left" vertical="center"/>
    </xf>
    <xf numFmtId="0" fontId="29" fillId="0" borderId="3" applyAlignment="1" pivotButton="0" quotePrefix="0" xfId="0">
      <alignment horizontal="left" vertical="center"/>
    </xf>
    <xf numFmtId="14" fontId="8" fillId="0" borderId="3" applyAlignment="1" pivotButton="0" quotePrefix="0" xfId="0">
      <alignment horizontal="left" vertical="center"/>
    </xf>
    <xf numFmtId="14" fontId="8" fillId="0" borderId="4" applyAlignment="1" pivotButton="0" quotePrefix="0" xfId="0">
      <alignment horizontal="left" vertical="center"/>
    </xf>
    <xf numFmtId="2" fontId="11" fillId="0" borderId="24" applyAlignment="1" pivotButton="0" quotePrefix="0" xfId="0">
      <alignment horizontal="center" vertical="center"/>
    </xf>
    <xf numFmtId="0" fontId="14" fillId="0" borderId="8" applyAlignment="1" pivotButton="0" quotePrefix="0" xfId="0">
      <alignment horizontal="center" vertical="center"/>
    </xf>
    <xf numFmtId="0" fontId="14" fillId="0" borderId="9" applyAlignment="1" pivotButton="0" quotePrefix="0" xfId="0">
      <alignment horizontal="center" vertical="center"/>
    </xf>
    <xf numFmtId="0" fontId="14" fillId="0" borderId="10" applyAlignment="1" pivotButton="0" quotePrefix="0" xfId="0">
      <alignment horizontal="center" vertical="center"/>
    </xf>
    <xf numFmtId="0" fontId="19" fillId="0" borderId="11" applyAlignment="1" pivotButton="0" quotePrefix="0" xfId="0">
      <alignment horizontal="left" vertical="top" wrapText="1"/>
    </xf>
    <xf numFmtId="0" fontId="19" fillId="0" borderId="0" applyAlignment="1" pivotButton="0" quotePrefix="0" xfId="0">
      <alignment horizontal="left" vertical="top" wrapText="1"/>
    </xf>
    <xf numFmtId="0" fontId="19" fillId="0" borderId="12" applyAlignment="1" pivotButton="0" quotePrefix="0" xfId="0">
      <alignment horizontal="left" vertical="top" wrapText="1"/>
    </xf>
    <xf numFmtId="0" fontId="17" fillId="0" borderId="8" applyAlignment="1" pivotButton="0" quotePrefix="0" xfId="0">
      <alignment horizontal="center" vertical="center"/>
    </xf>
    <xf numFmtId="0" fontId="17" fillId="0" borderId="9" applyAlignment="1" pivotButton="0" quotePrefix="0" xfId="0">
      <alignment horizontal="center" vertical="center"/>
    </xf>
    <xf numFmtId="0" fontId="17" fillId="0" borderId="1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30" fillId="0" borderId="24" applyAlignment="1" pivotButton="0" quotePrefix="0" xfId="0">
      <alignment horizontal="center" vertical="center"/>
    </xf>
    <xf numFmtId="0" fontId="30" fillId="0" borderId="23"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2" fontId="0" fillId="0" borderId="24" applyAlignment="1" pivotButton="0" quotePrefix="0" xfId="0">
      <alignment horizontal="center" vertical="center"/>
    </xf>
    <xf numFmtId="169" fontId="0" fillId="0" borderId="24" applyAlignment="1" pivotButton="0" quotePrefix="0" xfId="0">
      <alignment horizontal="center" vertical="center"/>
    </xf>
    <xf numFmtId="0" fontId="19"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11"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0" fillId="0" borderId="24" applyAlignment="1" pivotButton="0" quotePrefix="0" xfId="0">
      <alignment horizontal="center" vertical="center"/>
    </xf>
    <xf numFmtId="0" fontId="29"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30" fillId="0" borderId="24" applyAlignment="1" pivotButton="0" quotePrefix="0" xfId="0">
      <alignment horizontal="center" vertical="center"/>
    </xf>
    <xf numFmtId="2" fontId="0" fillId="0" borderId="23" applyAlignment="1" pivotButton="0" quotePrefix="0" xfId="0">
      <alignment horizontal="center" vertical="center"/>
    </xf>
    <xf numFmtId="0" fontId="38" fillId="0" borderId="11"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12" applyAlignment="1" pivotButton="0" quotePrefix="0" xfId="0">
      <alignment horizontal="center" vertical="center" wrapText="1"/>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0" borderId="12" applyAlignment="1" pivotButton="0" quotePrefix="0" xfId="0">
      <alignment horizontal="left" vertical="center" wrapText="1"/>
    </xf>
    <xf numFmtId="0" fontId="16" fillId="0" borderId="3" applyAlignment="1" pivotButton="0" quotePrefix="0" xfId="0">
      <alignment horizontal="left" vertical="center" wrapText="1"/>
    </xf>
    <xf numFmtId="0" fontId="16" fillId="0" borderId="4" applyAlignment="1" pivotButton="0" quotePrefix="0" xfId="0">
      <alignment horizontal="left" vertical="center" wrapText="1"/>
    </xf>
    <xf numFmtId="0" fontId="16" fillId="0" borderId="2"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0" applyAlignment="1" pivotButton="0" quotePrefix="0" xfId="0">
      <alignment horizontal="center"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6" fillId="0" borderId="6" applyAlignment="1" pivotButton="0" quotePrefix="0" xfId="0">
      <alignment horizontal="left" vertical="center"/>
    </xf>
    <xf numFmtId="0" fontId="9" fillId="0" borderId="6" applyAlignment="1" pivotButton="0" quotePrefix="0" xfId="0">
      <alignment horizontal="left" vertical="center"/>
    </xf>
    <xf numFmtId="0" fontId="9" fillId="0" borderId="7" applyAlignment="1" pivotButton="0" quotePrefix="0" xfId="0">
      <alignment horizontal="left" vertical="center"/>
    </xf>
    <xf numFmtId="0" fontId="29" fillId="0" borderId="11" applyAlignment="1" pivotButton="0" quotePrefix="0" xfId="0">
      <alignment horizontal="left" vertical="center"/>
    </xf>
    <xf numFmtId="14" fontId="8" fillId="0" borderId="0" applyAlignment="1" pivotButton="0" quotePrefix="0" xfId="0">
      <alignment horizontal="left" vertical="center"/>
    </xf>
    <xf numFmtId="0" fontId="8" fillId="0" borderId="0" applyAlignment="1" pivotButton="0" quotePrefix="0" xfId="0">
      <alignment horizontal="left" vertical="center"/>
    </xf>
    <xf numFmtId="0" fontId="8" fillId="0" borderId="12" applyAlignment="1" pivotButton="0" quotePrefix="0" xfId="0">
      <alignment horizontal="left" vertical="center"/>
    </xf>
    <xf numFmtId="0" fontId="0" fillId="0" borderId="27" applyAlignment="1" pivotButton="0" quotePrefix="0" xfId="0">
      <alignment horizontal="right"/>
    </xf>
    <xf numFmtId="2" fontId="28" fillId="0" borderId="24" applyAlignment="1" pivotButton="0" quotePrefix="0" xfId="0">
      <alignment horizontal="center"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29" fillId="0" borderId="5" applyAlignment="1" pivotButton="0" quotePrefix="0" xfId="0">
      <alignment horizontal="left" vertical="center"/>
    </xf>
    <xf numFmtId="0" fontId="29" fillId="0" borderId="6" applyAlignment="1" pivotButton="0" quotePrefix="0" xfId="0">
      <alignment horizontal="left" vertical="center"/>
    </xf>
    <xf numFmtId="0" fontId="17" fillId="0" borderId="8" applyAlignment="1" pivotButton="0" quotePrefix="0" xfId="0">
      <alignment horizontal="right" vertical="center"/>
    </xf>
    <xf numFmtId="0" fontId="17" fillId="0" borderId="9" applyAlignment="1" pivotButton="0" quotePrefix="0" xfId="0">
      <alignment horizontal="right" vertical="center"/>
    </xf>
    <xf numFmtId="168" fontId="17" fillId="0" borderId="9" applyAlignment="1" pivotButton="0" quotePrefix="0" xfId="0">
      <alignment horizontal="left" vertical="center"/>
    </xf>
    <xf numFmtId="168" fontId="17"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16" fillId="0" borderId="3" applyAlignment="1" pivotButton="0" quotePrefix="0" xfId="0">
      <alignment horizontal="left" vertical="center" wrapText="1" shrinkToFit="1"/>
    </xf>
    <xf numFmtId="0" fontId="16" fillId="0" borderId="4" applyAlignment="1" pivotButton="0" quotePrefix="0" xfId="0">
      <alignment horizontal="left" vertical="center" wrapText="1" shrinkToFit="1"/>
    </xf>
    <xf numFmtId="0" fontId="16" fillId="0" borderId="6" applyAlignment="1" pivotButton="0" quotePrefix="0" xfId="0">
      <alignment horizontal="left" vertical="center" wrapText="1"/>
    </xf>
    <xf numFmtId="0" fontId="16" fillId="0" borderId="7" applyAlignment="1" pivotButton="0" quotePrefix="0" xfId="0">
      <alignment horizontal="left" vertical="center" wrapText="1"/>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17" fillId="0" borderId="8" applyAlignment="1" pivotButton="0" quotePrefix="0" xfId="0">
      <alignment horizontal="left" vertical="center"/>
    </xf>
    <xf numFmtId="0" fontId="17" fillId="0" borderId="9" applyAlignment="1" pivotButton="0" quotePrefix="0" xfId="0">
      <alignment horizontal="left" vertical="center"/>
    </xf>
    <xf numFmtId="0" fontId="17" fillId="0" borderId="10" applyAlignment="1" pivotButton="0" quotePrefix="0" xfId="0">
      <alignment horizontal="left"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4" fillId="0" borderId="11" applyAlignment="1" pivotButton="0" quotePrefix="0" xfId="0">
      <alignment horizontal="left" vertical="center"/>
    </xf>
    <xf numFmtId="0" fontId="14" fillId="0" borderId="0" applyAlignment="1" pivotButton="0" quotePrefix="0" xfId="0">
      <alignment horizontal="left" vertical="center"/>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4" fontId="0" fillId="0" borderId="8"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13" fillId="0" borderId="1" applyAlignment="1" pivotButton="0" quotePrefix="0" xfId="0">
      <alignment horizontal="center" vertical="center"/>
    </xf>
    <xf numFmtId="0" fontId="19" fillId="0" borderId="2" applyAlignment="1" pivotButton="0" quotePrefix="0" xfId="0">
      <alignment horizontal="center" vertical="center"/>
    </xf>
    <xf numFmtId="0" fontId="19" fillId="0" borderId="3" applyAlignment="1" pivotButton="0" quotePrefix="0" xfId="0">
      <alignment horizontal="center" vertical="center"/>
    </xf>
    <xf numFmtId="0" fontId="16" fillId="0" borderId="3" applyAlignment="1" pivotButton="0" quotePrefix="0" xfId="0">
      <alignment horizontal="left" vertical="top" wrapText="1"/>
    </xf>
    <xf numFmtId="0" fontId="16" fillId="0" borderId="4" applyAlignment="1" pivotButton="0" quotePrefix="0" xfId="0">
      <alignment horizontal="left" vertical="top" wrapText="1"/>
    </xf>
    <xf numFmtId="0" fontId="16" fillId="0" borderId="0" applyAlignment="1" pivotButton="0" quotePrefix="0" xfId="0">
      <alignment horizontal="left" vertical="top" wrapText="1"/>
    </xf>
    <xf numFmtId="0" fontId="16" fillId="0" borderId="12" applyAlignment="1" pivotButton="0" quotePrefix="0" xfId="0">
      <alignment horizontal="left" vertical="top"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14" fontId="18" fillId="0" borderId="3" applyAlignment="1" pivotButton="0" quotePrefix="0" xfId="0">
      <alignment horizontal="left" vertical="center" wrapText="1"/>
    </xf>
    <xf numFmtId="0" fontId="18" fillId="0" borderId="4" applyAlignment="1" pivotButton="0" quotePrefix="0" xfId="0">
      <alignment horizontal="left" vertical="center"/>
    </xf>
    <xf numFmtId="0" fontId="17"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49" fontId="0" fillId="0" borderId="1" applyAlignment="1" pivotButton="0" quotePrefix="0" xfId="0">
      <alignment horizontal="center" vertical="center"/>
    </xf>
    <xf numFmtId="0" fontId="18" fillId="0" borderId="1" applyAlignment="1" pivotButton="0" quotePrefix="0" xfId="0">
      <alignment horizontal="left" vertical="center"/>
    </xf>
    <xf numFmtId="165" fontId="0" fillId="0" borderId="0" applyAlignment="1" pivotButton="0" quotePrefix="0" xfId="0">
      <alignment horizontal="left" vertical="center"/>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0" fontId="26" fillId="0" borderId="3" applyAlignment="1" pivotButton="0" quotePrefix="0" xfId="0">
      <alignment horizontal="left" vertical="top" wrapText="1"/>
    </xf>
    <xf numFmtId="0" fontId="26" fillId="0" borderId="4" applyAlignment="1" pivotButton="0" quotePrefix="0" xfId="0">
      <alignment horizontal="left" vertical="top" wrapText="1"/>
    </xf>
    <xf numFmtId="0" fontId="26" fillId="0" borderId="0" applyAlignment="1" pivotButton="0" quotePrefix="0" xfId="0">
      <alignment horizontal="left" vertical="top" wrapText="1"/>
    </xf>
    <xf numFmtId="0" fontId="26" fillId="0" borderId="12" applyAlignment="1" pivotButton="0" quotePrefix="0" xfId="0">
      <alignment horizontal="left" vertical="top" wrapText="1"/>
    </xf>
    <xf numFmtId="0" fontId="18" fillId="0" borderId="9" applyAlignment="1" pivotButton="0" quotePrefix="0" xfId="0">
      <alignment horizontal="left" vertical="center" wrapText="1"/>
    </xf>
    <xf numFmtId="0" fontId="18" fillId="0" borderId="10" applyAlignment="1" pivotButton="0" quotePrefix="0" xfId="0">
      <alignment horizontal="left" vertical="center" wrapText="1"/>
    </xf>
    <xf numFmtId="0" fontId="19" fillId="0" borderId="8" applyAlignment="1" pivotButton="0" quotePrefix="0" xfId="0">
      <alignment horizontal="center" vertical="center"/>
    </xf>
    <xf numFmtId="0" fontId="19" fillId="0" borderId="10" applyAlignment="1" pivotButton="0" quotePrefix="0" xfId="0">
      <alignment horizontal="center" vertical="center"/>
    </xf>
    <xf numFmtId="0" fontId="14" fillId="0" borderId="33" applyAlignment="1" pivotButton="0" quotePrefix="0" xfId="0">
      <alignment horizontal="center" vertical="center"/>
    </xf>
    <xf numFmtId="0" fontId="14" fillId="0" borderId="1" applyAlignment="1" pivotButton="0" quotePrefix="0" xfId="0">
      <alignment horizontal="center" vertical="center"/>
    </xf>
    <xf numFmtId="0" fontId="14" fillId="0" borderId="34" applyAlignment="1" pivotButton="0" quotePrefix="0" xfId="0">
      <alignment horizontal="center" vertical="center"/>
    </xf>
    <xf numFmtId="0" fontId="14" fillId="2" borderId="1" applyAlignment="1" pivotButton="0" quotePrefix="0" xfId="1">
      <alignment horizontal="center" vertical="center"/>
    </xf>
    <xf numFmtId="164" fontId="0" fillId="0" borderId="0" applyAlignment="1" pivotButton="0" quotePrefix="0" xfId="0">
      <alignment horizontal="center" vertical="center"/>
    </xf>
    <xf numFmtId="0" fontId="19" fillId="0" borderId="1" applyAlignment="1" pivotButton="0" quotePrefix="0" xfId="0">
      <alignment horizontal="center" vertical="center"/>
    </xf>
    <xf numFmtId="0" fontId="16" fillId="0" borderId="6" applyAlignment="1" pivotButton="0" quotePrefix="0" xfId="0">
      <alignment horizontal="left" vertical="top" wrapText="1"/>
    </xf>
    <xf numFmtId="0" fontId="16" fillId="0" borderId="7" applyAlignment="1" pivotButton="0" quotePrefix="0" xfId="0">
      <alignment horizontal="left" vertical="top" wrapText="1"/>
    </xf>
    <xf numFmtId="0" fontId="36" fillId="0" borderId="11" applyAlignment="1" pivotButton="0" quotePrefix="0" xfId="0">
      <alignment horizontal="left" vertical="top" wrapText="1"/>
    </xf>
    <xf numFmtId="0" fontId="36" fillId="0" borderId="0" applyAlignment="1" pivotButton="0" quotePrefix="0" xfId="0">
      <alignment horizontal="left" vertical="top" wrapText="1"/>
    </xf>
    <xf numFmtId="0" fontId="36" fillId="0" borderId="12" applyAlignment="1" pivotButton="0" quotePrefix="0" xfId="0">
      <alignment horizontal="left" vertical="top" wrapText="1"/>
    </xf>
    <xf numFmtId="0" fontId="36" fillId="0" borderId="5" applyAlignment="1" pivotButton="0" quotePrefix="0" xfId="0">
      <alignment horizontal="left" vertical="top" wrapText="1"/>
    </xf>
    <xf numFmtId="0" fontId="36" fillId="0" borderId="6" applyAlignment="1" pivotButton="0" quotePrefix="0" xfId="0">
      <alignment horizontal="left" vertical="top" wrapText="1"/>
    </xf>
    <xf numFmtId="0" fontId="36" fillId="0" borderId="7"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165" fontId="0" fillId="0" borderId="0" applyAlignment="1" pivotButton="0" quotePrefix="0" xfId="0">
      <alignment horizontal="center" vertical="center"/>
    </xf>
    <xf numFmtId="164" fontId="24" fillId="0" borderId="8" applyAlignment="1" pivotButton="0" quotePrefix="0" xfId="0">
      <alignment horizontal="center" vertical="center"/>
    </xf>
    <xf numFmtId="164" fontId="24" fillId="0" borderId="9" applyAlignment="1" pivotButton="0" quotePrefix="0" xfId="0">
      <alignment horizontal="center" vertical="center"/>
    </xf>
    <xf numFmtId="164" fontId="24" fillId="0" borderId="10"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0" fontId="17" fillId="0" borderId="11"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0" fontId="22" fillId="0" borderId="8"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6" fillId="0" borderId="0" applyAlignment="1" pivotButton="0" quotePrefix="0" xfId="0">
      <alignment horizontal="left" vertical="center"/>
    </xf>
    <xf numFmtId="0" fontId="16" fillId="0" borderId="12" applyAlignment="1" pivotButton="0" quotePrefix="0" xfId="0">
      <alignment horizontal="left" vertical="center"/>
    </xf>
    <xf numFmtId="164" fontId="19" fillId="0" borderId="8" applyAlignment="1" pivotButton="0" quotePrefix="0" xfId="0">
      <alignment horizontal="center" vertical="center"/>
    </xf>
    <xf numFmtId="164" fontId="19" fillId="0" borderId="10" applyAlignment="1" pivotButton="0" quotePrefix="0" xfId="0">
      <alignment horizontal="center" vertical="center"/>
    </xf>
    <xf numFmtId="166" fontId="0" fillId="0" borderId="1"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2" fontId="12" fillId="0" borderId="8" applyAlignment="1" pivotButton="0" quotePrefix="0" xfId="0">
      <alignment horizontal="center" vertical="center"/>
    </xf>
    <xf numFmtId="2" fontId="12" fillId="0" borderId="9" applyAlignment="1" pivotButton="0" quotePrefix="0" xfId="0">
      <alignment horizontal="center" vertical="center"/>
    </xf>
    <xf numFmtId="2" fontId="0" fillId="0" borderId="10" applyAlignment="1" pivotButton="0" quotePrefix="0" xfId="0">
      <alignment horizontal="center" vertical="center"/>
    </xf>
    <xf numFmtId="2" fontId="25"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15" fillId="0" borderId="8" applyAlignment="1" pivotButton="0" quotePrefix="0" xfId="0">
      <alignment horizontal="left" vertical="center"/>
    </xf>
    <xf numFmtId="0" fontId="15" fillId="0" borderId="9" applyAlignment="1" pivotButton="0" quotePrefix="0" xfId="0">
      <alignment horizontal="left" vertical="center"/>
    </xf>
    <xf numFmtId="0" fontId="29" fillId="0" borderId="11" applyAlignment="1" pivotButton="0" quotePrefix="0" xfId="0">
      <alignment horizontal="left" vertical="top" wrapText="1"/>
    </xf>
    <xf numFmtId="0" fontId="30" fillId="0" borderId="0" applyAlignment="1" pivotButton="0" quotePrefix="0" xfId="0">
      <alignment horizontal="left" vertical="top" wrapText="1"/>
    </xf>
    <xf numFmtId="0" fontId="30" fillId="0" borderId="12" applyAlignment="1" pivotButton="0" quotePrefix="0" xfId="0">
      <alignment horizontal="left" vertical="top" wrapText="1"/>
    </xf>
    <xf numFmtId="0" fontId="30" fillId="0" borderId="11" applyAlignment="1" pivotButton="0" quotePrefix="0" xfId="0">
      <alignment horizontal="left" vertical="top" wrapText="1"/>
    </xf>
    <xf numFmtId="0" fontId="4" fillId="0" borderId="1" applyAlignment="1" pivotButton="0" quotePrefix="0" xfId="0">
      <alignment horizontal="left" vertical="top" wrapText="1"/>
    </xf>
    <xf numFmtId="0" fontId="10" fillId="0" borderId="1" applyAlignment="1" pivotButton="0" quotePrefix="0" xfId="0">
      <alignment horizontal="left" vertical="top" wrapText="1"/>
    </xf>
    <xf numFmtId="0" fontId="21" fillId="0" borderId="1" applyAlignment="1" pivotButton="0" quotePrefix="0" xfId="0">
      <alignment horizontal="center" vertical="center"/>
    </xf>
    <xf numFmtId="0" fontId="0" fillId="0" borderId="1" applyAlignment="1" pivotButton="0" quotePrefix="0" xfId="0">
      <alignment horizontal="center"/>
    </xf>
    <xf numFmtId="0" fontId="16" fillId="0" borderId="1" applyAlignment="1" pivotButton="0" quotePrefix="0" xfId="0">
      <alignment horizontal="center" vertical="top" wrapText="1"/>
    </xf>
    <xf numFmtId="0" fontId="41" fillId="7" borderId="1" applyAlignment="1" pivotButton="0" quotePrefix="0" xfId="0">
      <alignment horizontal="center" vertical="center" textRotation="90"/>
    </xf>
    <xf numFmtId="0" fontId="39" fillId="5" borderId="8" applyAlignment="1" pivotButton="0" quotePrefix="0" xfId="0">
      <alignment horizontal="center" vertical="center"/>
    </xf>
    <xf numFmtId="0" fontId="39" fillId="5" borderId="9" applyAlignment="1" pivotButton="0" quotePrefix="0" xfId="0">
      <alignment horizontal="center" vertical="center"/>
    </xf>
    <xf numFmtId="0" fontId="39" fillId="5" borderId="10" applyAlignment="1" pivotButton="0" quotePrefix="0" xfId="0">
      <alignment horizontal="center" vertical="center"/>
    </xf>
    <xf numFmtId="0" fontId="40" fillId="6" borderId="1" applyAlignment="1" pivotButton="0" quotePrefix="0" xfId="0">
      <alignment horizontal="center" vertical="center" textRotation="90"/>
    </xf>
    <xf numFmtId="0" fontId="2" fillId="0" borderId="6" applyAlignment="1" pivotButton="0" quotePrefix="0" xfId="0">
      <alignment horizontal="left" vertical="center"/>
    </xf>
    <xf numFmtId="0" fontId="6" fillId="0" borderId="7" applyAlignment="1" pivotButton="0" quotePrefix="0" xfId="0">
      <alignment horizontal="left" vertical="center"/>
    </xf>
    <xf numFmtId="0" fontId="3" fillId="0" borderId="0" applyAlignment="1" pivotButton="0" quotePrefix="0" xfId="0">
      <alignment horizontal="left" vertical="center"/>
    </xf>
    <xf numFmtId="0" fontId="5" fillId="0" borderId="12" applyAlignment="1" pivotButton="0" quotePrefix="0" xfId="0">
      <alignment horizontal="left" vertical="center"/>
    </xf>
    <xf numFmtId="0" fontId="27" fillId="2" borderId="8" applyAlignment="1" pivotButton="0" quotePrefix="0" xfId="1">
      <alignment horizontal="center"/>
    </xf>
    <xf numFmtId="0" fontId="27" fillId="2" borderId="9" applyAlignment="1" pivotButton="0" quotePrefix="0" xfId="1">
      <alignment horizontal="center"/>
    </xf>
    <xf numFmtId="0" fontId="27" fillId="2" borderId="10" applyAlignment="1" pivotButton="0" quotePrefix="0" xfId="1">
      <alignment horizontal="center"/>
    </xf>
    <xf numFmtId="0" fontId="16" fillId="0" borderId="27" applyAlignment="1" pivotButton="0" quotePrefix="0" xfId="0">
      <alignment horizontal="left" vertical="center"/>
    </xf>
    <xf numFmtId="0" fontId="16"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2"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4" fillId="0" borderId="5" applyAlignment="1" pivotButton="0" quotePrefix="0" xfId="0">
      <alignment horizontal="center"/>
    </xf>
    <xf numFmtId="0" fontId="14" fillId="0" borderId="6" applyAlignment="1" pivotButton="0" quotePrefix="0" xfId="0">
      <alignment horizontal="center"/>
    </xf>
    <xf numFmtId="0" fontId="14" fillId="0" borderId="7" applyAlignment="1" pivotButton="0" quotePrefix="0" xfId="0">
      <alignment horizontal="center"/>
    </xf>
    <xf numFmtId="2" fontId="0" fillId="0" borderId="8" applyAlignment="1" pivotButton="0" quotePrefix="0" xfId="0">
      <alignment horizontal="right"/>
    </xf>
    <xf numFmtId="2" fontId="0" fillId="0" borderId="9" applyAlignment="1" pivotButton="0" quotePrefix="0" xfId="0">
      <alignment horizontal="right"/>
    </xf>
    <xf numFmtId="0" fontId="0" fillId="0" borderId="8" applyAlignment="1" pivotButton="0" quotePrefix="0" xfId="0">
      <alignment horizontal="center"/>
    </xf>
    <xf numFmtId="0" fontId="8" fillId="0" borderId="8" applyAlignment="1" pivotButton="0" quotePrefix="0" xfId="0">
      <alignment horizontal="center" vertical="center"/>
    </xf>
    <xf numFmtId="0" fontId="8" fillId="0" borderId="9" applyAlignment="1" pivotButton="0" quotePrefix="0" xfId="0">
      <alignment horizontal="center" vertical="center"/>
    </xf>
    <xf numFmtId="2" fontId="8" fillId="0" borderId="8" applyAlignment="1" pivotButton="0" quotePrefix="0" xfId="0">
      <alignment horizontal="right" vertical="center"/>
    </xf>
    <xf numFmtId="2" fontId="8" fillId="0" borderId="9" applyAlignment="1" pivotButton="0" quotePrefix="0" xfId="0">
      <alignment horizontal="right" vertical="center"/>
    </xf>
    <xf numFmtId="0" fontId="8" fillId="0" borderId="10" applyAlignment="1" pivotButton="0" quotePrefix="0" xfId="0">
      <alignment horizontal="center" vertical="center"/>
    </xf>
    <xf numFmtId="164" fontId="8" fillId="0" borderId="8" applyAlignment="1" pivotButton="0" quotePrefix="0" xfId="0">
      <alignment horizontal="right"/>
    </xf>
    <xf numFmtId="164" fontId="8" fillId="0" borderId="9" applyAlignment="1" pivotButton="0" quotePrefix="0" xfId="0">
      <alignment horizontal="right"/>
    </xf>
    <xf numFmtId="164" fontId="8" fillId="0" borderId="8" applyAlignment="1" pivotButton="0" quotePrefix="0" xfId="0">
      <alignment horizontal="right" vertical="center"/>
    </xf>
    <xf numFmtId="164" fontId="8" fillId="0" borderId="9" applyAlignment="1" pivotButton="0" quotePrefix="0" xfId="0">
      <alignment horizontal="right"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16" fillId="0" borderId="24" applyAlignment="1" pivotButton="0" quotePrefix="0" xfId="0">
      <alignment horizontal="left" vertical="center" wrapText="1"/>
    </xf>
    <xf numFmtId="0" fontId="16" fillId="0" borderId="23" applyAlignment="1" pivotButton="0" quotePrefix="0" xfId="0">
      <alignment horizontal="left" vertical="center" wrapText="1"/>
    </xf>
    <xf numFmtId="0" fontId="8" fillId="0" borderId="24" applyAlignment="1" pivotButton="0" quotePrefix="0" xfId="0">
      <alignment horizontal="center" vertical="center"/>
    </xf>
    <xf numFmtId="0" fontId="8" fillId="0" borderId="31" applyAlignment="1" pivotButton="0" quotePrefix="0" xfId="0">
      <alignment horizontal="center" vertical="center"/>
    </xf>
    <xf numFmtId="2" fontId="0" fillId="0" borderId="0"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2" fontId="14" fillId="0" borderId="8" applyAlignment="1" pivotButton="0" quotePrefix="0" xfId="0">
      <alignment horizontal="center" vertical="center"/>
    </xf>
    <xf numFmtId="2" fontId="14" fillId="0" borderId="10" applyAlignment="1" pivotButton="0" quotePrefix="0" xfId="0">
      <alignment horizontal="center" vertical="center"/>
    </xf>
    <xf numFmtId="0" fontId="16" fillId="0" borderId="2" applyAlignment="1" pivotButton="0" quotePrefix="0" xfId="0">
      <alignment horizontal="left" vertical="center" wrapText="1"/>
    </xf>
    <xf numFmtId="0" fontId="16" fillId="0" borderId="5" applyAlignment="1" pivotButton="0" quotePrefix="0" xfId="0">
      <alignment horizontal="left" vertical="center"/>
    </xf>
    <xf numFmtId="0" fontId="16" fillId="0" borderId="6" applyAlignment="1" pivotButton="0" quotePrefix="0" xfId="0">
      <alignment horizontal="left" vertical="center"/>
    </xf>
    <xf numFmtId="0" fontId="28" fillId="0" borderId="3" applyAlignment="1" pivotButton="0" quotePrefix="0" xfId="0">
      <alignment horizontal="left" vertical="top" wrapText="1"/>
    </xf>
    <xf numFmtId="0" fontId="28" fillId="0" borderId="4"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0" fillId="0" borderId="0" applyAlignment="1" pivotButton="0" quotePrefix="0" xfId="0">
      <alignment horizontal="right" vertical="center"/>
    </xf>
    <xf numFmtId="0" fontId="25" fillId="0" borderId="0" applyAlignment="1" pivotButton="0" quotePrefix="0" xfId="0">
      <alignment horizontal="left" vertical="center"/>
    </xf>
    <xf numFmtId="0" fontId="25" fillId="0" borderId="12" applyAlignment="1" pivotButton="0" quotePrefix="0" xfId="0">
      <alignment horizontal="left" vertical="center"/>
    </xf>
    <xf numFmtId="165" fontId="0" fillId="0" borderId="0" applyAlignment="1" pivotButton="0" quotePrefix="0" xfId="0">
      <alignment horizontal="right" vertical="center"/>
    </xf>
    <xf numFmtId="0" fontId="18" fillId="0" borderId="10" applyAlignment="1" pivotButton="0" quotePrefix="0" xfId="0">
      <alignment horizontal="center" vertical="center"/>
    </xf>
    <xf numFmtId="0" fontId="8" fillId="0" borderId="0" applyAlignment="1" pivotButton="0" quotePrefix="0" xfId="0">
      <alignment horizontal="center" vertical="center"/>
    </xf>
    <xf numFmtId="0" fontId="45" fillId="0" borderId="11" applyAlignment="1" pivotButton="0" quotePrefix="0" xfId="0">
      <alignment horizontal="center"/>
    </xf>
    <xf numFmtId="0" fontId="45" fillId="0" borderId="0" applyAlignment="1" pivotButton="0" quotePrefix="0" xfId="0">
      <alignment horizontal="center"/>
    </xf>
    <xf numFmtId="0" fontId="45" fillId="0" borderId="12" applyAlignment="1" pivotButton="0" quotePrefix="0" xfId="0">
      <alignment horizontal="center"/>
    </xf>
    <xf numFmtId="0" fontId="16"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4" fillId="0" borderId="11" applyAlignment="1" pivotButton="0" quotePrefix="0" xfId="0">
      <alignment horizontal="center"/>
    </xf>
    <xf numFmtId="0" fontId="44" fillId="0" borderId="0" applyAlignment="1" pivotButton="0" quotePrefix="0" xfId="0">
      <alignment horizontal="center"/>
    </xf>
    <xf numFmtId="0" fontId="44" fillId="0" borderId="12" applyAlignment="1" pivotButton="0" quotePrefix="0" xfId="0">
      <alignment horizontal="center"/>
    </xf>
    <xf numFmtId="0" fontId="0" fillId="0" borderId="0" pivotButton="0" quotePrefix="0" xfId="0"/>
    <xf numFmtId="0" fontId="14" fillId="0" borderId="8" applyAlignment="1" pivotButton="0" quotePrefix="0" xfId="0">
      <alignment horizontal="center"/>
    </xf>
    <xf numFmtId="0" fontId="14" fillId="0" borderId="9" applyAlignment="1" pivotButton="0" quotePrefix="0" xfId="0">
      <alignment horizontal="center"/>
    </xf>
    <xf numFmtId="0" fontId="14" fillId="0" borderId="10" applyAlignment="1" pivotButton="0" quotePrefix="0" xfId="0">
      <alignment horizontal="center"/>
    </xf>
    <xf numFmtId="2" fontId="14"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0" fontId="8" fillId="0" borderId="24" applyAlignment="1" pivotButton="0" quotePrefix="0" xfId="0">
      <alignment horizontal="center" vertical="center"/>
    </xf>
    <xf numFmtId="0" fontId="8" fillId="0" borderId="23" applyAlignment="1" pivotButton="0" quotePrefix="0" xfId="0">
      <alignment horizontal="center" vertical="center"/>
    </xf>
    <xf numFmtId="0" fontId="0" fillId="0" borderId="6" applyAlignment="1" pivotButton="0" quotePrefix="0" xfId="0">
      <alignment horizontal="left"/>
    </xf>
    <xf numFmtId="0" fontId="0" fillId="0" borderId="7" applyAlignment="1" pivotButton="0" quotePrefix="0" xfId="0">
      <alignment horizontal="left"/>
    </xf>
    <xf numFmtId="0" fontId="17" fillId="0" borderId="0" applyAlignment="1" pivotButton="0" quotePrefix="0" xfId="0">
      <alignment horizontal="center" vertical="center"/>
    </xf>
    <xf numFmtId="0" fontId="17" fillId="0" borderId="12" applyAlignment="1" pivotButton="0" quotePrefix="0" xfId="0">
      <alignment horizontal="center" vertical="center"/>
    </xf>
    <xf numFmtId="0"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7" fillId="0" borderId="0" applyAlignment="1" pivotButton="0" quotePrefix="0" xfId="0">
      <alignment horizontal="center" vertical="center"/>
    </xf>
    <xf numFmtId="0" fontId="38" fillId="0" borderId="35" applyAlignment="1" pivotButton="0" quotePrefix="0" xfId="0">
      <alignment horizontal="center" vertical="center" wrapText="1"/>
    </xf>
    <xf numFmtId="0" fontId="17"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37" applyAlignment="1" pivotButton="0" quotePrefix="0" xfId="0">
      <alignment horizontal="center" vertical="center"/>
    </xf>
    <xf numFmtId="164" fontId="0" fillId="0" borderId="36"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7" applyAlignment="1" pivotButton="0" quotePrefix="0" xfId="0">
      <alignment horizontal="left" vertical="center"/>
    </xf>
    <xf numFmtId="0" fontId="19" fillId="0" borderId="35" applyAlignment="1" pivotButton="0" quotePrefix="0" xfId="0">
      <alignment horizontal="left" vertical="top" wrapText="1"/>
    </xf>
    <xf numFmtId="14" fontId="8" fillId="0" borderId="12" applyAlignment="1" pivotButton="0" quotePrefix="0" xfId="0">
      <alignment horizontal="left" vertical="center"/>
    </xf>
    <xf numFmtId="168" fontId="9" fillId="0" borderId="0" applyAlignment="1" pivotButton="0" quotePrefix="0" xfId="0">
      <alignment vertical="center"/>
    </xf>
    <xf numFmtId="168" fontId="9" fillId="0" borderId="12" applyAlignment="1" pivotButton="0" quotePrefix="0" xfId="0">
      <alignment vertical="center"/>
    </xf>
    <xf numFmtId="168" fontId="17"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8" fillId="0" borderId="4" applyAlignment="1" pivotButton="0" quotePrefix="0" xfId="0">
      <alignment horizontal="left" vertical="center" wrapText="1"/>
    </xf>
    <xf numFmtId="170" fontId="0" fillId="0" borderId="1" applyAlignment="1" pivotButton="0" quotePrefix="0" xfId="0">
      <alignment horizontal="center" vertical="center"/>
    </xf>
    <xf numFmtId="0" fontId="0" fillId="0" borderId="33" pivotButton="0" quotePrefix="0" xfId="0"/>
    <xf numFmtId="0" fontId="16" fillId="0" borderId="10" applyAlignment="1" pivotButton="0" quotePrefix="0" xfId="0">
      <alignment horizontal="left" vertical="top" wrapText="1"/>
    </xf>
    <xf numFmtId="0" fontId="36" fillId="0" borderId="37" applyAlignment="1" pivotButton="0" quotePrefix="0" xfId="0">
      <alignment horizontal="left" vertical="top" wrapText="1"/>
    </xf>
    <xf numFmtId="0" fontId="17" fillId="0" borderId="35" applyAlignment="1" pivotButton="0" quotePrefix="0" xfId="0">
      <alignment horizontal="left" vertical="center"/>
    </xf>
    <xf numFmtId="0" fontId="22" fillId="0" borderId="1" applyAlignment="1" pivotButton="0" quotePrefix="0" xfId="0">
      <alignment horizontal="center" vertical="center"/>
    </xf>
    <xf numFmtId="172" fontId="0" fillId="0" borderId="1" applyAlignment="1" pivotButton="0" quotePrefix="0" xfId="0">
      <alignment horizontal="center" vertical="center"/>
    </xf>
    <xf numFmtId="164" fontId="19" fillId="0" borderId="1" applyAlignment="1" pivotButton="0" quotePrefix="0" xfId="0">
      <alignment horizontal="center" vertical="center"/>
    </xf>
    <xf numFmtId="164" fontId="24" fillId="0" borderId="1" applyAlignment="1" pivotButton="0" quotePrefix="0" xfId="0">
      <alignment horizontal="center" vertical="center"/>
    </xf>
    <xf numFmtId="2" fontId="0" fillId="0" borderId="1" applyAlignment="1" pivotButton="0" quotePrefix="0" xfId="0">
      <alignment horizontal="center" vertical="center"/>
    </xf>
    <xf numFmtId="2" fontId="25" fillId="0" borderId="1" applyAlignment="1" pivotButton="0" quotePrefix="0" xfId="0">
      <alignment horizontal="center" vertical="center"/>
    </xf>
    <xf numFmtId="2" fontId="0" fillId="0" borderId="1" applyAlignment="1" pivotButton="0" quotePrefix="0" xfId="0">
      <alignment horizontal="left" vertical="center"/>
    </xf>
    <xf numFmtId="0" fontId="0" fillId="0" borderId="39" applyAlignment="1" pivotButton="0" quotePrefix="0" xfId="0">
      <alignment horizontal="left" vertical="center"/>
    </xf>
    <xf numFmtId="0" fontId="39" fillId="5" borderId="1" applyAlignment="1" pivotButton="0" quotePrefix="0" xfId="0">
      <alignment horizontal="center" vertical="center"/>
    </xf>
    <xf numFmtId="0" fontId="0" fillId="0" borderId="35" pivotButton="0" quotePrefix="0" xfId="0"/>
    <xf numFmtId="0" fontId="0" fillId="0" borderId="37" pivotButton="0" quotePrefix="0" xfId="0"/>
    <xf numFmtId="0" fontId="29" fillId="0" borderId="35" applyAlignment="1" pivotButton="0" quotePrefix="0" xfId="0">
      <alignment horizontal="left" vertical="top" wrapText="1"/>
    </xf>
    <xf numFmtId="0" fontId="16" fillId="0" borderId="26" applyAlignment="1" pivotButton="0" quotePrefix="0" xfId="0">
      <alignment horizontal="left" vertical="center" wrapText="1"/>
    </xf>
    <xf numFmtId="0" fontId="0" fillId="0" borderId="31" pivotButton="0" quotePrefix="0" xfId="0"/>
    <xf numFmtId="0" fontId="27" fillId="2" borderId="1" applyAlignment="1" pivotButton="0" quotePrefix="0" xfId="1">
      <alignment horizontal="center"/>
    </xf>
    <xf numFmtId="0" fontId="0" fillId="0" borderId="36" applyAlignment="1" pivotButton="0" quotePrefix="0" xfId="0">
      <alignment horizontal="left" vertical="center"/>
    </xf>
    <xf numFmtId="0" fontId="0" fillId="0" borderId="41" applyAlignment="1" pivotButton="0" quotePrefix="0" xfId="0">
      <alignment horizontal="left" vertical="center"/>
    </xf>
    <xf numFmtId="0" fontId="0" fillId="0" borderId="28" pivotButton="0" quotePrefix="0" xfId="0"/>
    <xf numFmtId="0" fontId="0" fillId="0" borderId="29" pivotButton="0" quotePrefix="0" xfId="0"/>
    <xf numFmtId="0" fontId="14" fillId="0" borderId="37" applyAlignment="1" pivotButton="0" quotePrefix="0" xfId="0">
      <alignment horizontal="center"/>
    </xf>
    <xf numFmtId="0" fontId="3" fillId="0" borderId="12" applyAlignment="1" pivotButton="0" quotePrefix="0" xfId="0">
      <alignment horizontal="left" vertical="center"/>
    </xf>
    <xf numFmtId="0" fontId="2" fillId="0" borderId="7" applyAlignment="1" pivotButton="0" quotePrefix="0" xfId="0">
      <alignment horizontal="left" vertical="center"/>
    </xf>
    <xf numFmtId="2" fontId="14" fillId="0" borderId="1" applyAlignment="1" pivotButton="0" quotePrefix="0" xfId="0">
      <alignment horizontal="center" vertical="center"/>
    </xf>
    <xf numFmtId="2" fontId="0" fillId="0" borderId="9" applyAlignment="1" pivotButton="0" quotePrefix="0" xfId="0">
      <alignment horizontal="right" vertical="center"/>
    </xf>
    <xf numFmtId="0" fontId="14" fillId="0" borderId="1" applyAlignment="1" pivotButton="0" quotePrefix="0" xfId="0">
      <alignment horizontal="center"/>
    </xf>
    <xf numFmtId="0" fontId="0" fillId="0" borderId="1" applyAlignment="1" pivotButton="0" quotePrefix="0" xfId="0">
      <alignment horizontal="center" vertical="center" wrapText="1"/>
    </xf>
    <xf numFmtId="0" fontId="44" fillId="0" borderId="35" applyAlignment="1" pivotButton="0" quotePrefix="0" xfId="0">
      <alignment horizontal="center"/>
    </xf>
    <xf numFmtId="0" fontId="45" fillId="0" borderId="35" applyAlignment="1" pivotButton="0" quotePrefix="0" xfId="0">
      <alignment horizontal="center"/>
    </xf>
    <xf numFmtId="0" fontId="16" fillId="0" borderId="39"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29">
    <dxf>
      <fill>
        <patternFill>
          <bgColor rgb="FF92D050"/>
        </patternFill>
      </fill>
    </dxf>
    <dxf>
      <fill>
        <patternFill>
          <bgColor rgb="FFFF3B3B"/>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0.0259701492537314</v>
                </pt>
                <pt idx="1">
                  <v>0.02823818293431556</v>
                </pt>
                <pt idx="2">
                  <v>0.0274626865671642</v>
                </pt>
                <pt idx="3">
                  <v>0.05</v>
                </pt>
              </numCache>
            </numRef>
          </yVal>
          <smooth val="0"/>
        </ser>
        <dLbls>
          <dLblPos val="t"/>
          <showLegendKey val="0"/>
          <showVal val="1"/>
          <showCatName val="0"/>
          <showSerName val="0"/>
          <showPercent val="0"/>
          <showBubbleSize val="0"/>
        </dLbls>
        <axId val="-220168480"/>
        <axId val="-220189152"/>
      </scatterChart>
      <valAx>
        <axId val="-220168480"/>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220189152"/>
        <crosses val="autoZero"/>
        <crossBetween val="midCat"/>
      </valAx>
      <valAx>
        <axId val="-220189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68480"/>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0.003891050583657682</v>
                </pt>
                <pt idx="1">
                  <v>0.003906250000000095</v>
                </pt>
                <pt idx="2">
                  <v>0.01953125000000005</v>
                </pt>
                <pt idx="3">
                  <v>0.05</v>
                </pt>
              </numCache>
            </numRef>
          </yVal>
          <smooth val="0"/>
        </ser>
        <dLbls>
          <dLblPos val="t"/>
          <showLegendKey val="0"/>
          <showVal val="1"/>
          <showCatName val="0"/>
          <showSerName val="0"/>
          <showPercent val="0"/>
          <showBubbleSize val="0"/>
        </dLbls>
        <axId val="-220194048"/>
        <axId val="-220196224"/>
      </scatterChart>
      <valAx>
        <axId val="-220194048"/>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220196224"/>
        <crosses val="autoZero"/>
        <crossBetween val="midCat"/>
      </valAx>
      <valAx>
        <axId val="-2201962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94048"/>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3110.8</v>
                </pt>
                <pt idx="1">
                  <v>6470.799999999999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220182624"/>
        <axId val="-220195680"/>
      </lineChart>
      <catAx>
        <axId val="-220182624"/>
        <scaling>
          <orientation val="minMax"/>
        </scaling>
        <delete val="1"/>
        <axPos val="b"/>
        <majorTickMark val="none"/>
        <minorTickMark val="none"/>
        <tickLblPos val="nextTo"/>
        <crossAx val="-220195680"/>
        <crosses val="autoZero"/>
        <auto val="1"/>
        <lblAlgn val="ctr"/>
        <lblOffset val="100"/>
        <noMultiLvlLbl val="0"/>
      </catAx>
      <valAx>
        <axId val="-22019568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22018262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3110.8</v>
                </pt>
                <pt idx="1">
                  <v>9049.599999999999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220179904"/>
        <axId val="-220190240"/>
      </lineChart>
      <catAx>
        <axId val="-220179904"/>
        <scaling>
          <orientation val="minMax"/>
        </scaling>
        <delete val="1"/>
        <axPos val="b"/>
        <majorTickMark val="none"/>
        <minorTickMark val="none"/>
        <tickLblPos val="nextTo"/>
        <crossAx val="-220190240"/>
        <crosses val="autoZero"/>
        <auto val="1"/>
        <lblAlgn val="ctr"/>
        <lblOffset val="100"/>
        <noMultiLvlLbl val="0"/>
      </catAx>
      <valAx>
        <axId val="-22019024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22017990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3110.8</v>
                </pt>
                <pt idx="1">
                  <v>9049.599999999999</v>
                </pt>
                <pt idx="2">
                  <v>9366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220186432"/>
        <axId val="-220176096"/>
      </lineChart>
      <catAx>
        <axId val="-220186432"/>
        <scaling>
          <orientation val="minMax"/>
        </scaling>
        <delete val="1"/>
        <axPos val="b"/>
        <majorTickMark val="none"/>
        <minorTickMark val="none"/>
        <tickLblPos val="nextTo"/>
        <crossAx val="-220176096"/>
        <crosses val="autoZero"/>
        <auto val="1"/>
        <lblAlgn val="ctr"/>
        <lblOffset val="100"/>
        <noMultiLvlLbl val="0"/>
      </catAx>
      <valAx>
        <axId val="-22017609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22018643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0.104180656811592</v>
                </pt>
                <pt idx="1">
                  <v>0.2688576202898591</v>
                </pt>
                <pt idx="2">
                  <v>0.1349739101449392</v>
                </pt>
                <pt idx="3">
                  <formatCode>General</formatCode>
                  <v>0.5</v>
                </pt>
              </numCache>
            </numRef>
          </val>
        </ser>
        <dLbls>
          <dLblPos val="outEnd"/>
          <showLegendKey val="0"/>
          <showVal val="1"/>
          <showCatName val="0"/>
          <showSerName val="0"/>
          <showPercent val="0"/>
          <showBubbleSize val="0"/>
        </dLbls>
        <gapWidth val="182"/>
        <axId val="-220174464"/>
        <axId val="-220178272"/>
      </barChart>
      <catAx>
        <axId val="-220174464"/>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78272"/>
        <crosses val="autoZero"/>
        <auto val="1"/>
        <lblAlgn val="ctr"/>
        <lblOffset val="100"/>
        <noMultiLvlLbl val="0"/>
      </catAx>
      <valAx>
        <axId val="-2201782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74464"/>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0.15</v>
                </pt>
              </numCache>
            </numRef>
          </val>
        </ser>
        <dLbls>
          <showLegendKey val="0"/>
          <showVal val="0"/>
          <showCatName val="0"/>
          <showSerName val="0"/>
          <showPercent val="0"/>
          <showBubbleSize val="0"/>
        </dLbls>
        <gapWidth val="150"/>
        <axId val="-220173920"/>
        <axId val="-220191328"/>
      </barChart>
      <catAx>
        <axId val="-220173920"/>
        <scaling>
          <orientation val="minMax"/>
        </scaling>
        <delete val="0"/>
        <axPos val="l"/>
        <majorTickMark val="out"/>
        <minorTickMark val="none"/>
        <tickLblPos val="nextTo"/>
        <crossAx val="-220191328"/>
        <crosses val="autoZero"/>
        <auto val="1"/>
        <lblAlgn val="ctr"/>
        <lblOffset val="100"/>
        <noMultiLvlLbl val="0"/>
      </catAx>
      <valAx>
        <axId val="-220191328"/>
        <scaling>
          <orientation val="minMax"/>
        </scaling>
        <delete val="0"/>
        <axPos val="b"/>
        <majorGridlines/>
        <numFmt formatCode="0.00" sourceLinked="1"/>
        <majorTickMark val="out"/>
        <minorTickMark val="none"/>
        <tickLblPos val="nextTo"/>
        <crossAx val="-220173920"/>
        <crosses val="autoZero"/>
        <crossBetween val="between"/>
      </valAx>
    </plotArea>
    <legend>
      <legendPos val="r"/>
      <layout/>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0.16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0.16</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0.16</v>
                </pt>
              </numCache>
            </numRef>
          </val>
        </ser>
        <dLbls>
          <showLegendKey val="0"/>
          <showVal val="0"/>
          <showCatName val="0"/>
          <showSerName val="0"/>
          <showPercent val="0"/>
          <showBubbleSize val="0"/>
        </dLbls>
        <gapWidth val="150"/>
        <axId val="-220173376"/>
        <axId val="-220185344"/>
      </barChart>
      <catAx>
        <axId val="-220173376"/>
        <scaling>
          <orientation val="minMax"/>
        </scaling>
        <delete val="0"/>
        <axPos val="l"/>
        <majorTickMark val="out"/>
        <minorTickMark val="none"/>
        <tickLblPos val="nextTo"/>
        <crossAx val="-220185344"/>
        <crosses val="autoZero"/>
        <auto val="1"/>
        <lblAlgn val="ctr"/>
        <lblOffset val="100"/>
        <noMultiLvlLbl val="0"/>
      </catAx>
      <valAx>
        <axId val="-220185344"/>
        <scaling>
          <orientation val="minMax"/>
          <min val="0"/>
        </scaling>
        <delete val="0"/>
        <axPos val="b"/>
        <majorGridlines/>
        <numFmt formatCode="0.00" sourceLinked="1"/>
        <majorTickMark val="out"/>
        <minorTickMark val="none"/>
        <tickLblPos val="nextTo"/>
        <crossAx val="-220173376"/>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bar"/>
        <grouping val="clustered"/>
        <varyColors val="0"/>
        <ser>
          <idx val="0"/>
          <order val="0"/>
          <tx>
            <strRef>
              <f>'KESİCİ İZOLASYON'!$D$31:$E$31</f>
              <strCache>
                <ptCount val="1"/>
                <pt idx="0">
                  <v>L-1</v>
                </pt>
              </strCache>
            </strRef>
          </tx>
          <spPr>
            <a:ln xmlns:a="http://schemas.openxmlformats.org/drawingml/2006/main">
              <a:prstDash val="solid"/>
            </a:ln>
          </spPr>
          <invertIfNegative val="0"/>
          <cat>
            <strRef>
              <f>'KESİCİ İZOLASYON'!$K$32:$L$36</f>
              <strCache>
                <ptCount val="5"/>
                <pt idx="0">
                  <v>1,04</v>
                </pt>
                <pt idx="1">
                  <v>2,04</v>
                </pt>
                <pt idx="2">
                  <v>3,05</v>
                </pt>
                <pt idx="3">
                  <v>4,05</v>
                </pt>
                <pt idx="4">
                  <v>5,09</v>
                </pt>
              </strCache>
            </strRef>
          </cat>
          <val>
            <numRef>
              <f>'KESİCİ İZOLASYON'!$D$32:$D$36</f>
              <numCache>
                <formatCode>0.0</formatCode>
                <ptCount val="5"/>
                <pt idx="0">
                  <v>2000</v>
                </pt>
                <pt idx="1">
                  <v>4000</v>
                </pt>
                <pt idx="2">
                  <v>6000</v>
                </pt>
                <pt idx="3">
                  <v>8000</v>
                </pt>
                <pt idx="4">
                  <v>10000</v>
                </pt>
              </numCache>
            </numRef>
          </val>
        </ser>
        <ser>
          <idx val="1"/>
          <order val="1"/>
          <tx>
            <strRef>
              <f>'KESİCİ İZOLASYON'!$F$31:$G$31</f>
              <strCache>
                <ptCount val="1"/>
                <pt idx="0">
                  <v>L-2</v>
                </pt>
              </strCache>
            </strRef>
          </tx>
          <spPr>
            <a:ln xmlns:a="http://schemas.openxmlformats.org/drawingml/2006/main">
              <a:prstDash val="solid"/>
            </a:ln>
          </spPr>
          <invertIfNegative val="0"/>
          <cat>
            <strRef>
              <f>'KESİCİ İZOLASYON'!$K$32:$L$36</f>
              <strCache>
                <ptCount val="5"/>
                <pt idx="0">
                  <v>1,04</v>
                </pt>
                <pt idx="1">
                  <v>2,04</v>
                </pt>
                <pt idx="2">
                  <v>3,05</v>
                </pt>
                <pt idx="3">
                  <v>4,05</v>
                </pt>
                <pt idx="4">
                  <v>5,09</v>
                </pt>
              </strCache>
            </strRef>
          </cat>
          <val>
            <numRef>
              <f>'KESİCİ İZOLASYON'!$F$32:$F$36</f>
              <numCache>
                <formatCode>0.0</formatCode>
                <ptCount val="5"/>
                <pt idx="0">
                  <v>2000</v>
                </pt>
                <pt idx="1">
                  <v>4000</v>
                </pt>
                <pt idx="2">
                  <v>6000</v>
                </pt>
                <pt idx="3">
                  <v>8000</v>
                </pt>
                <pt idx="4">
                  <v>10000</v>
                </pt>
              </numCache>
            </numRef>
          </val>
        </ser>
        <ser>
          <idx val="2"/>
          <order val="2"/>
          <tx>
            <strRef>
              <f>'KESİCİ İZOLASYON'!$H$31:$I$31</f>
              <strCache>
                <ptCount val="1"/>
                <pt idx="0">
                  <v>L-3</v>
                </pt>
              </strCache>
            </strRef>
          </tx>
          <spPr>
            <a:ln xmlns:a="http://schemas.openxmlformats.org/drawingml/2006/main">
              <a:prstDash val="solid"/>
            </a:ln>
          </spPr>
          <invertIfNegative val="0"/>
          <cat>
            <strRef>
              <f>'KESİCİ İZOLASYON'!$K$32:$L$36</f>
              <strCache>
                <ptCount val="5"/>
                <pt idx="0">
                  <v>1,04</v>
                </pt>
                <pt idx="1">
                  <v>2,04</v>
                </pt>
                <pt idx="2">
                  <v>3,05</v>
                </pt>
                <pt idx="3">
                  <v>4,05</v>
                </pt>
                <pt idx="4">
                  <v>5,09</v>
                </pt>
              </strCache>
            </strRef>
          </cat>
          <val>
            <numRef>
              <f>'KESİCİ İZOLASYON'!$H$32:$H$36</f>
              <numCache>
                <formatCode>0.0</formatCode>
                <ptCount val="5"/>
                <pt idx="0">
                  <v>2000</v>
                </pt>
                <pt idx="1">
                  <v>4000</v>
                </pt>
                <pt idx="2">
                  <v>6000</v>
                </pt>
                <pt idx="3">
                  <v>8000</v>
                </pt>
                <pt idx="4">
                  <v>10000</v>
                </pt>
              </numCache>
            </numRef>
          </val>
        </ser>
        <dLbls>
          <showLegendKey val="0"/>
          <showVal val="0"/>
          <showCatName val="0"/>
          <showSerName val="0"/>
          <showPercent val="0"/>
          <showBubbleSize val="0"/>
        </dLbls>
        <gapWidth val="150"/>
        <axId val="-220185888"/>
        <axId val="-220172288"/>
      </barChart>
      <catAx>
        <axId val="-220185888"/>
        <scaling>
          <orientation val="minMax"/>
        </scaling>
        <delete val="0"/>
        <axPos val="l"/>
        <numFmt formatCode="General" sourceLinked="0"/>
        <majorTickMark val="out"/>
        <minorTickMark val="none"/>
        <tickLblPos val="nextTo"/>
        <crossAx val="-220172288"/>
        <crosses val="autoZero"/>
        <auto val="1"/>
        <lblAlgn val="ctr"/>
        <lblOffset val="100"/>
        <noMultiLvlLbl val="0"/>
      </catAx>
      <valAx>
        <axId val="-220172288"/>
        <scaling>
          <orientation val="minMax"/>
        </scaling>
        <delete val="0"/>
        <axPos val="b"/>
        <majorGridlines/>
        <numFmt formatCode="0.0" sourceLinked="1"/>
        <majorTickMark val="out"/>
        <minorTickMark val="none"/>
        <tickLblPos val="nextTo"/>
        <crossAx val="-220185888"/>
        <crosses val="autoZero"/>
        <crossBetween val="between"/>
      </valAx>
    </plotArea>
    <legend>
      <legendPos val="r"/>
      <layout/>
      <overlay val="0"/>
    </legend>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barChart>
        <barDir val="bar"/>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220184800"/>
        <axId val="-220171744"/>
      </barChart>
      <catAx>
        <axId val="-220184800"/>
        <scaling>
          <orientation val="minMax"/>
        </scaling>
        <delete val="0"/>
        <axPos val="l"/>
        <numFmt formatCode="General" sourceLinked="0"/>
        <majorTickMark val="out"/>
        <minorTickMark val="none"/>
        <tickLblPos val="nextTo"/>
        <spPr>
          <a:noFill xmlns:a="http://schemas.openxmlformats.org/drawingml/2006/main"/>
          <a:ln xmlns:a="http://schemas.openxmlformats.org/drawingml/2006/main">
            <a:prstDash val="solid"/>
          </a:ln>
        </spPr>
        <crossAx val="-220171744"/>
        <crosses val="autoZero"/>
        <auto val="1"/>
        <lblAlgn val="ctr"/>
        <lblOffset val="100"/>
        <noMultiLvlLbl val="0"/>
      </catAx>
      <valAx>
        <axId val="-220171744"/>
        <scaling>
          <orientation val="minMax"/>
        </scaling>
        <delete val="0"/>
        <axPos val="b"/>
        <majorGridlines/>
        <numFmt formatCode="General" sourceLinked="1"/>
        <majorTickMark val="out"/>
        <minorTickMark val="none"/>
        <tickLblPos val="nextTo"/>
        <crossAx val="-220184800"/>
        <crosses val="autoZero"/>
        <crossBetween val="between"/>
      </valAx>
    </plotArea>
    <plotVisOnly val="1"/>
    <dispBlanksAs val="gap"/>
  </chart>
  <spPr>
    <a:ln xmlns:a="http://schemas.openxmlformats.org/drawingml/2006/main">
      <a:noFill/>
      <a:prstDash val="solid"/>
    </a:ln>
  </spPr>
</chartSpace>
</file>

<file path=xl/charts/chart11.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220184256"/>
        <axId val="-220183712"/>
      </scatterChart>
      <valAx>
        <axId val="-220184256"/>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layout/>
          <overlay val="0"/>
        </title>
        <numFmt formatCode="0.00" sourceLinked="1"/>
        <majorTickMark val="out"/>
        <minorTickMark val="none"/>
        <tickLblPos val="nextTo"/>
        <crossAx val="-220183712"/>
        <crossesAt val="0"/>
        <crossBetween val="midCat"/>
        <majorUnit val="20"/>
        <minorUnit val="5"/>
      </valAx>
      <valAx>
        <axId val="-220183712"/>
        <scaling>
          <orientation val="minMax"/>
        </scaling>
        <delete val="1"/>
        <axPos val="l"/>
        <majorGridlines/>
        <minorGridlines/>
        <numFmt formatCode="General" sourceLinked="1"/>
        <majorTickMark val="out"/>
        <minorTickMark val="none"/>
        <tickLblPos val="nextTo"/>
        <crossAx val="-220184256"/>
        <crosses val="autoZero"/>
        <crossBetween val="midCat"/>
      </valAx>
    </plotArea>
    <legend>
      <legendPos val="r"/>
      <legendEntry>
        <idx val="4"/>
        <delete val="1"/>
      </legendEntry>
      <legendEntry>
        <idx val="5"/>
        <delete val="1"/>
      </legendEntry>
      <legendEntry>
        <idx val="6"/>
        <delete val="1"/>
      </legendEntry>
      <layout/>
      <overlay val="0"/>
    </legend>
    <plotVisOnly val="0"/>
    <dispBlanksAs val="zero"/>
  </chart>
</chartSpace>
</file>

<file path=xl/charts/chart12.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52.63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54.14</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50.45</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220181536"/>
        <axId val="-220179360"/>
      </scatterChart>
      <valAx>
        <axId val="-220181536"/>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layout/>
          <overlay val="0"/>
        </title>
        <numFmt formatCode="0.00" sourceLinked="1"/>
        <majorTickMark val="out"/>
        <minorTickMark val="none"/>
        <tickLblPos val="nextTo"/>
        <crossAx val="-220179360"/>
        <crosses val="autoZero"/>
        <crossBetween val="midCat"/>
        <majorUnit val="10"/>
        <minorUnit val="5"/>
      </valAx>
      <valAx>
        <axId val="-220179360"/>
        <scaling>
          <orientation val="minMax"/>
        </scaling>
        <delete val="1"/>
        <axPos val="l"/>
        <majorGridlines/>
        <minorGridlines/>
        <numFmt formatCode="General" sourceLinked="1"/>
        <majorTickMark val="out"/>
        <minorTickMark val="none"/>
        <tickLblPos val="nextTo"/>
        <crossAx val="-220181536"/>
        <crossesAt val="0"/>
        <crossBetween val="midCat"/>
      </valAx>
    </plotArea>
    <legend>
      <legendPos val="r"/>
      <legendEntry>
        <idx val="4"/>
        <delete val="1"/>
      </legendEntry>
      <legendEntry>
        <idx val="5"/>
        <delete val="1"/>
      </legendEntry>
      <legendEntry>
        <idx val="6"/>
        <delete val="1"/>
      </legendEntry>
      <layout/>
      <overlay val="0"/>
      <spPr>
        <a:noFill xmlns:a="http://schemas.openxmlformats.org/drawingml/2006/main"/>
        <a:ln xmlns:a="http://schemas.openxmlformats.org/drawingml/2006/main">
          <a:prstDash val="solid"/>
        </a:ln>
      </spPr>
    </legend>
    <plotVisOnly val="0"/>
    <dispBlanksAs val="zero"/>
  </chart>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tr-TR"/>
              <a:t>AKIM TRAFOSU</a:t>
            </a:r>
            <a:r>
              <a:rPr lang="tr-TR" baseline="0"/>
              <a:t xml:space="preserve"> İZOLASYON</a:t>
            </a:r>
            <a:endParaRPr lang="en-US"/>
          </a:p>
        </rich>
      </tx>
      <layout>
        <manualLayout>
          <xMode val="edge"/>
          <yMode val="edge"/>
          <wMode val="factor"/>
          <hMode val="factor"/>
          <x val="0.3078940814991982"/>
          <y val="0.04568175311460902"/>
        </manualLayout>
      </layout>
      <overlay val="0"/>
    </title>
    <view3D>
      <rotX val="15"/>
      <rotY val="20"/>
      <rAngAx val="1"/>
    </view3D>
    <floor>
      <thickness val="0"/>
    </floor>
    <sideWall>
      <thickness val="0"/>
      <spPr>
        <a:ln xmlns:a="http://schemas.openxmlformats.org/drawingml/2006/main">
          <a:noFill/>
          <a:prstDash val="solid"/>
        </a:ln>
      </spPr>
    </sideWall>
    <backWall>
      <thickness val="0"/>
      <spPr>
        <a:noFill xmlns:a="http://schemas.openxmlformats.org/drawingml/2006/main"/>
        <a:ln xmlns:a="http://schemas.openxmlformats.org/drawingml/2006/main" w="3175">
          <a:noFill/>
          <a:prstDash val="solid"/>
        </a:ln>
      </spPr>
    </backWall>
    <plotArea>
      <layout/>
      <bar3DChart>
        <barDir val="col"/>
        <grouping val="clustered"/>
        <varyColors val="0"/>
        <ser>
          <idx val="1"/>
          <order val="0"/>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tx2">
                  <a:lumMod val="60000"/>
                  <a:lumOff val="40000"/>
                </a:schemeClr>
              </a:solidFill>
              <a:ln xmlns:a="http://schemas.openxmlformats.org/drawingml/2006/main">
                <a:prstDash val="solid"/>
              </a:ln>
            </spPr>
          </dPt>
          <dPt>
            <idx val="3"/>
            <invertIfNegative val="0"/>
            <bubble3D val="0"/>
            <spPr>
              <a:solidFill xmlns:a="http://schemas.openxmlformats.org/drawingml/2006/main">
                <a:schemeClr val="accent3">
                  <a:lumMod val="75000"/>
                </a:schemeClr>
              </a:solidFill>
              <a:ln xmlns:a="http://schemas.openxmlformats.org/drawingml/2006/main">
                <a:prstDash val="solid"/>
              </a:ln>
            </spPr>
          </dPt>
          <cat>
            <strRef>
              <f>'AKIM TRAFOLARI'!$B$15:$B$18</f>
              <strCache>
                <ptCount val="4"/>
                <pt idx="0">
                  <v>R min.</v>
                </pt>
                <pt idx="1">
                  <v>L1</v>
                </pt>
                <pt idx="2">
                  <v>L2</v>
                </pt>
                <pt idx="3">
                  <v>L3</v>
                </pt>
              </strCache>
            </strRef>
          </cat>
          <val>
            <numRef>
              <f>'AKIM TRAFOLARI'!$D$15:$D$18</f>
              <numCache>
                <formatCode>0.00</formatCode>
                <ptCount val="4"/>
                <pt idx="0">
                  <formatCode>General</formatCode>
                  <v>250</v>
                </pt>
                <pt idx="1">
                  <v>1500</v>
                </pt>
                <pt idx="2">
                  <v>10000</v>
                </pt>
                <pt idx="3">
                  <v>10000</v>
                </pt>
              </numCache>
            </numRef>
          </val>
        </ser>
        <dLbls>
          <showLegendKey val="0"/>
          <showVal val="0"/>
          <showCatName val="0"/>
          <showSerName val="0"/>
          <showPercent val="0"/>
          <showBubbleSize val="0"/>
        </dLbls>
        <gapWidth val="187"/>
        <gapDepth val="459"/>
        <shape val="cylinder"/>
        <axId val="-220177728"/>
        <axId val="-432855280"/>
      </bar3DChart>
      <catAx>
        <axId val="-220177728"/>
        <scaling>
          <orientation val="minMax"/>
        </scaling>
        <delete val="0"/>
        <axPos val="b"/>
        <numFmt formatCode="General" sourceLinked="0"/>
        <majorTickMark val="none"/>
        <minorTickMark val="none"/>
        <tickLblPos val="nextTo"/>
        <txPr>
          <a:bodyPr xmlns:a="http://schemas.openxmlformats.org/drawingml/2006/main"/>
          <a:lstStyle xmlns:a="http://schemas.openxmlformats.org/drawingml/2006/main"/>
          <a:p xmlns:a="http://schemas.openxmlformats.org/drawingml/2006/main">
            <a:pPr>
              <a:defRPr sz="1400" b="1"/>
            </a:pPr>
            <a:r>
              <a:t/>
            </a:r>
            <a:endParaRPr lang="tr-TR"/>
          </a:p>
        </txPr>
        <crossAx val="-432855280"/>
        <crosses val="autoZero"/>
        <auto val="1"/>
        <lblAlgn val="ctr"/>
        <lblOffset val="100"/>
        <noMultiLvlLbl val="0"/>
      </catAx>
      <valAx>
        <axId val="-432855280"/>
        <scaling>
          <orientation val="minMax"/>
        </scaling>
        <delete val="0"/>
        <axPos val="l"/>
        <majorGridlines>
          <spPr>
            <a:ln xmlns:a="http://schemas.openxmlformats.org/drawingml/2006/main">
              <a:solidFill>
                <a:schemeClr val="tx1">
                  <a:tint val="75000"/>
                  <a:shade val="95000"/>
                  <a:satMod val="105000"/>
                </a:schemeClr>
              </a:solidFill>
              <a:prstDash val="solid"/>
            </a:ln>
          </spPr>
        </majorGridlines>
        <minorGridlines>
          <spPr>
            <a:ln xmlns:a="http://schemas.openxmlformats.org/drawingml/2006/main">
              <a:noFill/>
              <a:prstDash val="solid"/>
            </a:ln>
          </spPr>
        </minorGridlines>
        <title>
          <tx>
            <rich>
              <a:bodyPr xmlns:a="http://schemas.openxmlformats.org/drawingml/2006/main" rot="0" vert="horz" anchor="ctr" anchorCtr="0"/>
              <a:lstStyle xmlns:a="http://schemas.openxmlformats.org/drawingml/2006/main"/>
              <a:p xmlns:a="http://schemas.openxmlformats.org/drawingml/2006/main">
                <a:pPr>
                  <a:defRPr/>
                </a:pPr>
                <a:r>
                  <a:rPr lang="en-US" sz="1400"/>
                  <a:t>G</a:t>
                </a:r>
                <a:r>
                  <a:rPr lang="tr-TR" sz="1400"/>
                  <a:t> </a:t>
                </a:r>
                <a:r>
                  <a:rPr lang="el-GR" sz="1400"/>
                  <a:t>Ω</a:t>
                </a:r>
                <a:endParaRPr lang="en-US" sz="1400"/>
              </a:p>
            </rich>
          </tx>
          <layout>
            <manualLayout>
              <xMode val="edge"/>
              <yMode val="edge"/>
              <wMode val="factor"/>
              <hMode val="factor"/>
              <x val="0.01616045434593713"/>
              <y val="0.418563287884767"/>
            </manualLayout>
          </layout>
          <overlay val="0"/>
        </title>
        <numFmt formatCode="General" sourceLinked="1"/>
        <majorTickMark val="out"/>
        <minorTickMark val="in"/>
        <tickLblPos val="nextTo"/>
        <spPr>
          <a:ln xmlns:a="http://schemas.openxmlformats.org/drawingml/2006/main" cap="sq">
            <a:prstDash val="solid"/>
            <a:round/>
          </a:ln>
        </spPr>
        <txPr>
          <a:bodyPr xmlns:a="http://schemas.openxmlformats.org/drawingml/2006/main"/>
          <a:lstStyle xmlns:a="http://schemas.openxmlformats.org/drawingml/2006/main"/>
          <a:p xmlns:a="http://schemas.openxmlformats.org/drawingml/2006/main">
            <a:pPr>
              <a:defRPr sz="1400" b="0"/>
            </a:pPr>
            <a:r>
              <a:t/>
            </a:r>
            <a:endParaRPr lang="tr-TR"/>
          </a:p>
        </txPr>
        <crossAx val="-220177728"/>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image" Target="/xl/media/image34.png" Id="rId3"/><Relationship Type="http://schemas.openxmlformats.org/officeDocument/2006/relationships/image" Target="/xl/media/image35.png" Id="rId4"/><Relationship Type="http://schemas.openxmlformats.org/officeDocument/2006/relationships/image" Target="/xl/media/image36.png" Id="rId5"/></Relationships>
</file>

<file path=xl/drawings/_rels/drawing1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s>
</file>

<file path=xl/drawings/_rels/drawing13.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 Type="http://schemas.openxmlformats.org/officeDocument/2006/relationships/image" Target="/xl/media/image40.png" Id="rId3"/><Relationship Type="http://schemas.openxmlformats.org/officeDocument/2006/relationships/image" Target="/xl/media/image41.png" Id="rId4"/><Relationship Type="http://schemas.openxmlformats.org/officeDocument/2006/relationships/image" Target="/xl/media/image42.png" Id="rId5"/></Relationships>
</file>

<file path=xl/drawings/_rels/drawing14.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s>
</file>

<file path=xl/drawings/_rels/drawing15.xml.rels><Relationships xmlns="http://schemas.openxmlformats.org/package/2006/relationships"><Relationship Type="http://schemas.openxmlformats.org/officeDocument/2006/relationships/chart" Target="/xl/charts/chart13.xml"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10</col>
      <colOff>171450</colOff>
      <row>54</row>
      <rowOff>123825</rowOff>
    </from>
    <to>
      <col>12</col>
      <colOff>230925</colOff>
      <row>57</row>
      <rowOff>40645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914900" y="9439275"/>
          <a:ext cx="1278675" cy="488320"/>
        </a:xfrm>
        <a:prstGeom xmlns:a="http://schemas.openxmlformats.org/drawingml/2006/main" prst="rect">
          <avLst/>
        </a:prstGeom>
        <a:ln xmlns:a="http://schemas.openxmlformats.org/drawingml/2006/main">
          <a:prstDash val="solid"/>
        </a:ln>
      </spPr>
    </pic>
    <clientData/>
  </twoCellAnchor>
  <oneCellAnchor>
    <from>
      <col>6</col>
      <colOff>0</colOff>
      <row>55</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14</col>
      <colOff>171450</colOff>
      <row>72</row>
      <rowOff>161925</rowOff>
    </from>
    <to>
      <col>18</col>
      <colOff>114063</colOff>
      <row>75</row>
      <rowOff>26397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610100" y="9210675"/>
          <a:ext cx="1276113" cy="493122"/>
        </a:xfrm>
        <a:prstGeom xmlns:a="http://schemas.openxmlformats.org/drawingml/2006/main" prst="rect">
          <avLst/>
        </a:prstGeom>
        <a:ln xmlns:a="http://schemas.openxmlformats.org/drawingml/2006/main">
          <a:prstDash val="solid"/>
        </a:ln>
      </spPr>
    </pic>
    <clientData/>
  </twoCellAnchor>
  <oneCellAnchor>
    <from>
      <col>10</col>
      <colOff>0</colOff>
      <row>72</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314325</colOff>
      <row>45</row>
      <rowOff>180975</rowOff>
    </from>
    <to>
      <col>16</col>
      <colOff>104538</colOff>
      <row>47</row>
      <rowOff>102597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38675" y="9458325"/>
          <a:ext cx="1276113" cy="493122"/>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46</row>
      <rowOff>0</rowOff>
    </from>
    <to>
      <col>16</col>
      <colOff>161688</colOff>
      <row>47</row>
      <rowOff>207372</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95825" y="9563100"/>
          <a:ext cx="1276113" cy="493122"/>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77083</colOff>
      <row>52</row>
      <rowOff>201769</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221941" y="10376647"/>
          <a:ext cx="1276113" cy="493122"/>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65878</colOff>
      <row>52</row>
      <rowOff>201769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10365441"/>
          <a:ext cx="1276113" cy="493122"/>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13</col>
      <colOff>0</colOff>
      <row>48</row>
      <rowOff>0</rowOff>
    </from>
    <to>
      <col>16</col>
      <colOff>99496</colOff>
      <row>49</row>
      <rowOff>201769</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04765" y="9625853"/>
          <a:ext cx="1276113" cy="493122"/>
        </a:xfrm>
        <a:prstGeom xmlns:a="http://schemas.openxmlformats.org/drawingml/2006/main" prst="rect">
          <avLst/>
        </a:prstGeom>
        <a:ln xmlns:a="http://schemas.openxmlformats.org/drawingml/2006/main">
          <a:prstDash val="solid"/>
        </a:ln>
      </spPr>
    </pic>
    <clientData/>
  </twoCellAnchor>
  <oneCellAnchor>
    <from>
      <col>9</col>
      <colOff>0</colOff>
      <row>47</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65878</colOff>
      <row>46</row>
      <rowOff>201769</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751294" y="9704294"/>
          <a:ext cx="1276113" cy="493122"/>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65878</colOff>
      <row>46</row>
      <rowOff>201769</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751294" y="9749118"/>
          <a:ext cx="1276113" cy="493122"/>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14</col>
      <colOff>19050</colOff>
      <row>74</row>
      <rowOff>104775</rowOff>
    </from>
    <to>
      <col>17</col>
      <colOff>295038</colOff>
      <row>77</row>
      <rowOff>83547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457700" y="9534525"/>
          <a:ext cx="1276113" cy="493122"/>
        </a:xfrm>
        <a:prstGeom xmlns:a="http://schemas.openxmlformats.org/drawingml/2006/main" prst="rect">
          <avLst/>
        </a:prstGeom>
        <a:ln xmlns:a="http://schemas.openxmlformats.org/drawingml/2006/main">
          <a:prstDash val="solid"/>
        </a:ln>
      </spPr>
    </pic>
    <clientData/>
  </twoCellAnchor>
  <oneCellAnchor>
    <from>
      <col>10</col>
      <colOff>0</colOff>
      <row>74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twoCellAnchor>
    <from>
      <col>1</col>
      <colOff>38100</colOff>
      <row>36</row>
      <rowOff>57150</rowOff>
    </from>
    <to>
      <col>16</col>
      <colOff>266700</colOff>
      <row>45</row>
      <rowOff>152400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28575</colOff>
      <row>19</row>
      <rowOff>42862</rowOff>
    </from>
    <to>
      <col>16</col>
      <colOff>285750</colOff>
      <row>27</row>
      <rowOff>133350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228363</colOff>
      <row>52</row>
      <rowOff>207372</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81525" y="9563100"/>
          <a:ext cx="1276113" cy="493122"/>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200025</colOff>
      <row>50</row>
      <rowOff>161925</rowOff>
    </from>
    <to>
      <col>16</col>
      <colOff>28338</colOff>
      <row>52</row>
      <rowOff>83547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419600" y="9448800"/>
          <a:ext cx="1276113" cy="493122"/>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89648</colOff>
      <row>48</row>
      <rowOff>224117</rowOff>
    </from>
    <to>
      <col>16</col>
      <colOff>289996</colOff>
      <row>50</row>
      <rowOff>134533</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28030" y="9536205"/>
          <a:ext cx="1276113" cy="493122"/>
        </a:xfrm>
        <a:prstGeom xmlns:a="http://schemas.openxmlformats.org/drawingml/2006/main" prst="rect">
          <avLst/>
        </a:prstGeom>
        <a:ln xmlns:a="http://schemas.openxmlformats.org/drawingml/2006/main">
          <a:prstDash val="solid"/>
        </a:ln>
      </spPr>
    </pic>
    <clientData/>
  </twoCellAnchor>
  <oneCellAnchor>
    <from>
      <col>9</col>
      <colOff>0</colOff>
      <row>48</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190263</colOff>
      <row>46</row>
      <rowOff>207372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81525" y="9077325"/>
          <a:ext cx="1276113" cy="493122"/>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twoCellAnchor>
    <from>
      <col>1</col>
      <colOff>104776</colOff>
      <row>19</row>
      <rowOff>33336</rowOff>
    </from>
    <to>
      <col>16</col>
      <colOff>257176</colOff>
      <row>29</row>
      <rowOff>200025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64575</colOff>
      <row>44</row>
      <rowOff>209874</rowOff>
    </from>
    <to>
      <col>16</col>
      <colOff>275180</colOff>
      <row>46</row>
      <rowOff>121809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68770" y="9605721"/>
          <a:ext cx="1276113" cy="493122"/>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sheet1.xml><?xml version="1.0" encoding="utf-8"?>
<worksheet xmlns="http://schemas.openxmlformats.org/spreadsheetml/2006/main">
  <sheetPr>
    <outlinePr summaryBelow="1" summaryRight="1"/>
    <pageSetUpPr/>
  </sheetPr>
  <dimension ref="A1:N64"/>
  <sheetViews>
    <sheetView topLeftCell="F51" zoomScale="238" zoomScaleNormal="238" workbookViewId="0">
      <selection activeCell="R54" sqref="R54"/>
    </sheetView>
  </sheetViews>
  <sheetFormatPr baseColWidth="8" defaultRowHeight="15"/>
  <cols>
    <col width="3.140625" customWidth="1" style="684" min="1" max="1"/>
    <col width="13.28515625" customWidth="1" style="684" min="2" max="2"/>
    <col width="1.42578125" customWidth="1" style="684" min="3" max="3"/>
    <col width="10.140625" bestFit="1" customWidth="1" style="684" min="4" max="4"/>
    <col width="8.5703125" customWidth="1" style="684" min="5" max="8"/>
    <col width="4.42578125" customWidth="1" style="684" min="9" max="10"/>
    <col width="9.140625" customWidth="1" style="684" min="11" max="16384"/>
  </cols>
  <sheetData>
    <row r="1" ht="15" customHeight="1" s="684">
      <c r="A1" s="432" t="n"/>
      <c r="E1" s="379" t="inlineStr">
        <is>
          <t xml:space="preserve">B.T.S. ELEKTRİK TRAFO BAKIM </t>
        </is>
      </c>
      <c r="K1" s="355" t="n"/>
    </row>
    <row r="2" ht="15" customHeight="1" s="684">
      <c r="K2" s="355" t="n"/>
      <c r="L2" s="340" t="n"/>
      <c r="M2" s="340" t="n"/>
    </row>
    <row r="3" ht="15" customHeight="1" s="684">
      <c r="E3" s="380" t="inlineStr">
        <is>
          <t>MÜH. İNŞ. MAK. LAB. SAN. VE TİC. LTD. ŞTİ.</t>
        </is>
      </c>
      <c r="K3" s="356" t="n"/>
      <c r="L3" s="340" t="n"/>
      <c r="M3" s="340" t="n"/>
    </row>
    <row r="4" ht="15" customHeight="1" s="684">
      <c r="K4" s="356" t="n"/>
      <c r="L4" s="341" t="n"/>
      <c r="M4" s="341" t="n"/>
    </row>
    <row r="5" ht="1.5" customHeight="1" s="684">
      <c r="A5" s="381" t="n"/>
    </row>
    <row r="6" ht="7.5" customHeight="1" s="684"/>
    <row r="7" ht="18.75" customHeight="1" s="684">
      <c r="A7" s="372" t="inlineStr">
        <is>
          <t>TRAFO BAKIM RAPORU</t>
        </is>
      </c>
    </row>
    <row r="8" ht="9" customHeight="1" s="684"/>
    <row r="9">
      <c r="A9" s="652" t="inlineStr">
        <is>
          <t xml:space="preserve">Müşterinin Adı      </t>
        </is>
      </c>
      <c r="C9" s="652" t="n"/>
      <c r="D9" s="652" t="inlineStr">
        <is>
          <t>Test Musteri AS</t>
        </is>
      </c>
    </row>
    <row r="10" s="684">
      <c r="A10" s="652" t="inlineStr">
        <is>
          <t>Trafo Etiketi</t>
        </is>
      </c>
      <c r="C10" s="652" t="n"/>
      <c r="D10" s="652" t="inlineStr">
        <is>
          <t>TRAFO-1</t>
        </is>
      </c>
    </row>
    <row r="11">
      <c r="A11" s="652" t="inlineStr">
        <is>
          <t xml:space="preserve">ADRESİ                     </t>
        </is>
      </c>
      <c r="C11" s="652" t="n"/>
      <c r="D11" s="652" t="inlineStr">
        <is>
          <t>Bursa OSB Test Cad. No:1</t>
        </is>
      </c>
    </row>
    <row r="12">
      <c r="A12" s="652" t="inlineStr">
        <is>
          <t>RAPOR TARİHİ</t>
        </is>
      </c>
      <c r="C12" s="652" t="n"/>
      <c r="D12" s="367" t="n">
        <v>46237</v>
      </c>
    </row>
    <row r="13">
      <c r="A13" s="652" t="inlineStr">
        <is>
          <t>REFERANS</t>
        </is>
      </c>
      <c r="C13" s="652" t="n"/>
      <c r="D13" s="652" t="inlineStr">
        <is>
          <t>International Electrical Testing Association</t>
        </is>
      </c>
    </row>
    <row r="14">
      <c r="A14" s="652" t="inlineStr">
        <is>
          <t>RAPOR KONUSU</t>
        </is>
      </c>
      <c r="C14" s="652" t="n"/>
      <c r="D14" s="342" t="n">
        <v>46237</v>
      </c>
      <c r="E14" s="652" t="inlineStr">
        <is>
          <t xml:space="preserve">Tarihinde yapılan Trafo Bakım raporu. </t>
        </is>
      </c>
    </row>
    <row r="15" ht="9" customHeight="1" s="684"/>
    <row r="16">
      <c r="B16" s="340" t="inlineStr">
        <is>
          <t>TRAFO BAKIMI VE KONTROLLERİ</t>
        </is>
      </c>
      <c r="C16" s="340" t="n"/>
    </row>
    <row r="17" ht="9" customHeight="1" s="684"/>
    <row r="18" s="684">
      <c r="A18" s="326" t="inlineStr">
        <is>
          <t>-</t>
        </is>
      </c>
      <c r="B18" s="328" t="inlineStr">
        <is>
          <t>Trafonun D.C. İzolasyon test değerleri uygun bulunmuştur.</t>
        </is>
      </c>
      <c r="C18" s="328" t="n"/>
      <c r="D18" s="327" t="n"/>
      <c r="E18" s="327" t="n"/>
      <c r="F18" s="327" t="n"/>
      <c r="G18" s="327" t="n"/>
      <c r="H18" s="327" t="n"/>
      <c r="I18" s="327" t="n"/>
      <c r="J18" s="327" t="n"/>
      <c r="K18" s="327" t="n"/>
      <c r="L18" s="327" t="n"/>
      <c r="M18" s="327" t="n"/>
    </row>
    <row r="19" ht="9" customHeight="1" s="684">
      <c r="A19" s="326" t="n"/>
      <c r="B19" s="328" t="n"/>
      <c r="C19" s="328" t="n"/>
      <c r="D19" s="327" t="n"/>
      <c r="E19" s="327" t="n"/>
      <c r="F19" s="327" t="n"/>
      <c r="G19" s="327" t="n"/>
      <c r="H19" s="327" t="n"/>
      <c r="I19" s="327" t="n"/>
      <c r="J19" s="327" t="n"/>
      <c r="K19" s="327" t="n"/>
      <c r="L19" s="327" t="n"/>
      <c r="M19" s="327" t="n"/>
    </row>
    <row r="20" s="684">
      <c r="A20" s="326" t="inlineStr">
        <is>
          <t>-</t>
        </is>
      </c>
      <c r="B20" s="602" t="inlineStr">
        <is>
          <t>Trafoda yapılan çevirme oranı (TTR) test sonuçları uygun bulmuştur, buna bağlı olarak kademe değiştirici ile sargılar arasındaki bağlantılarda herhangi bir sorun olmadığı gözlemlenmiştir.</t>
        </is>
      </c>
    </row>
    <row r="21" s="684">
      <c r="A21" s="316" t="n"/>
    </row>
    <row r="22" ht="9" customHeight="1" s="684">
      <c r="A22" s="316" t="n"/>
      <c r="B22" s="602" t="n"/>
      <c r="C22" s="602" t="n"/>
      <c r="D22" s="602" t="n"/>
      <c r="E22" s="602" t="n"/>
      <c r="F22" s="602" t="n"/>
      <c r="G22" s="602" t="n"/>
      <c r="H22" s="602" t="n"/>
      <c r="I22" s="602" t="n"/>
      <c r="J22" s="602" t="n"/>
      <c r="K22" s="602" t="n"/>
      <c r="L22" s="602" t="n"/>
      <c r="M22" s="602" t="n"/>
    </row>
    <row r="23" s="684">
      <c r="A23" t="inlineStr">
        <is>
          <t>-</t>
        </is>
      </c>
      <c r="B23" s="374"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684"/>
    <row r="25" s="684">
      <c r="A25" s="316" t="n"/>
    </row>
    <row r="26" ht="9" customHeight="1" s="684">
      <c r="A26" s="316" t="n"/>
      <c r="B26" s="374" t="n"/>
      <c r="C26" s="374" t="n"/>
      <c r="D26" s="374" t="n"/>
      <c r="E26" s="374" t="n"/>
      <c r="F26" s="374" t="n"/>
      <c r="G26" s="374" t="n"/>
      <c r="H26" s="374" t="n"/>
      <c r="I26" s="374" t="n"/>
      <c r="J26" s="374" t="n"/>
      <c r="K26" s="374" t="n"/>
      <c r="L26" s="374" t="n"/>
      <c r="M26" s="374" t="n"/>
    </row>
    <row r="27" s="684">
      <c r="A27" t="inlineStr">
        <is>
          <t>-</t>
        </is>
      </c>
      <c r="B27" s="328" t="inlineStr">
        <is>
          <t>Görsel olarak yapılan kontrollerde herhangi bir soruna rastlanmamıştır.</t>
        </is>
      </c>
      <c r="C27" s="328" t="n"/>
      <c r="D27" s="327" t="n"/>
      <c r="E27" s="327" t="n"/>
      <c r="F27" s="327" t="n"/>
      <c r="G27" s="327" t="n"/>
      <c r="H27" s="327" t="n"/>
      <c r="I27" s="327" t="n"/>
      <c r="J27" s="327" t="n"/>
      <c r="K27" s="327" t="n"/>
      <c r="L27" s="327" t="n"/>
      <c r="M27" s="327" t="n"/>
    </row>
    <row r="28" ht="9" customHeight="1" s="684">
      <c r="A28" s="316" t="n"/>
      <c r="B28" s="602" t="n"/>
      <c r="C28" s="602" t="n"/>
      <c r="D28" s="602" t="n"/>
      <c r="E28" s="602" t="n"/>
      <c r="F28" s="602" t="n"/>
      <c r="G28" s="602" t="n"/>
      <c r="H28" s="602" t="n"/>
      <c r="I28" s="602" t="n"/>
      <c r="J28" s="602" t="n"/>
      <c r="K28" s="602" t="n"/>
      <c r="L28" s="602" t="n"/>
    </row>
    <row r="29" s="684">
      <c r="A29" s="377" t="inlineStr">
        <is>
          <t>SONUÇ</t>
        </is>
      </c>
      <c r="C29" s="377" t="n"/>
      <c r="D29" s="332" t="n"/>
      <c r="E29" s="332" t="n"/>
      <c r="F29" s="332" t="n"/>
      <c r="G29" s="332" t="n"/>
      <c r="H29" s="332" t="n"/>
      <c r="I29" s="332" t="n"/>
      <c r="J29" s="332" t="n"/>
      <c r="K29" s="332" t="n"/>
      <c r="L29" s="332" t="n"/>
      <c r="M29" s="332" t="n"/>
    </row>
    <row r="30" ht="9" customHeight="1" s="684"/>
    <row r="31" ht="15" customHeight="1" s="684">
      <c r="A31" s="602" t="inlineStr">
        <is>
          <t>Kontroller yapildiktan sonra trafoya enerji verildi. Olcumler UYGUN.</t>
        </is>
      </c>
    </row>
    <row r="32" s="684"/>
    <row r="33"/>
    <row r="34" ht="11.25" customHeight="1" s="684"/>
    <row r="35"/>
    <row r="36"/>
    <row r="37"/>
    <row r="38"/>
    <row r="39"/>
    <row r="40"/>
    <row r="41"/>
    <row r="42" s="684"/>
    <row r="43" s="684"/>
    <row r="44" s="684"/>
    <row r="45"/>
    <row r="46" s="684"/>
    <row r="47"/>
    <row r="48"/>
    <row r="49"/>
    <row r="50" ht="7.5" customHeight="1" s="684"/>
    <row r="51"/>
    <row r="52"/>
    <row r="53"/>
    <row r="54">
      <c r="A54" s="375" t="inlineStr">
        <is>
          <t xml:space="preserve">Test Tarihi                </t>
        </is>
      </c>
      <c r="B54" s="70" t="n"/>
      <c r="C54" s="376" t="inlineStr">
        <is>
          <t>:</t>
        </is>
      </c>
      <c r="D54" s="366">
        <f>D14</f>
        <v/>
      </c>
      <c r="E54" s="70" t="n"/>
      <c r="F54" s="70" t="n"/>
      <c r="G54" s="364" t="inlineStr">
        <is>
          <t>ONAYLAYAN</t>
        </is>
      </c>
      <c r="H54" s="125" t="n"/>
      <c r="I54" s="125" t="n"/>
      <c r="J54" s="125" t="n"/>
      <c r="K54" s="125" t="n"/>
      <c r="L54" s="125" t="n"/>
      <c r="M54" s="231" t="n"/>
    </row>
    <row r="55">
      <c r="A55" s="370" t="inlineStr">
        <is>
          <t xml:space="preserve">Rapor Tarihi           </t>
        </is>
      </c>
      <c r="C55" s="371" t="inlineStr">
        <is>
          <t>:</t>
        </is>
      </c>
      <c r="D55" s="367">
        <f>D12</f>
        <v/>
      </c>
      <c r="G55" s="365" t="inlineStr">
        <is>
          <t>Ahmet YILMAZ</t>
        </is>
      </c>
      <c r="H55" s="70" t="n"/>
      <c r="I55" s="70" t="n"/>
      <c r="J55" s="70" t="n"/>
      <c r="K55" s="70" t="n"/>
      <c r="L55" s="70" t="n"/>
      <c r="M55" s="343" t="n"/>
    </row>
    <row r="56">
      <c r="A56" s="370" t="inlineStr">
        <is>
          <t>Unvan</t>
        </is>
      </c>
      <c r="C56" s="371" t="inlineStr">
        <is>
          <t>:</t>
        </is>
      </c>
      <c r="D56" s="652" t="inlineStr">
        <is>
          <t>Elektrik Mühendisi</t>
        </is>
      </c>
      <c r="G56" s="85" t="n"/>
      <c r="M56" s="344" t="n"/>
    </row>
    <row r="57">
      <c r="A57" s="370" t="inlineStr">
        <is>
          <t>Sicil No</t>
        </is>
      </c>
      <c r="C57" s="371" t="inlineStr">
        <is>
          <t>:</t>
        </is>
      </c>
      <c r="D57" s="652" t="n">
        <v>12345</v>
      </c>
      <c r="G57" s="85" t="n"/>
      <c r="M57" s="344" t="n"/>
    </row>
    <row r="58">
      <c r="A58" s="383" t="inlineStr">
        <is>
          <t>Ekipnet No</t>
        </is>
      </c>
      <c r="B58" s="135" t="n"/>
      <c r="C58" s="384" t="inlineStr">
        <is>
          <t>:</t>
        </is>
      </c>
      <c r="D58" s="697" t="inlineStr">
        <is>
          <t>K202439698</t>
        </is>
      </c>
      <c r="E58" s="135" t="n"/>
      <c r="F58" s="135" t="n"/>
      <c r="G58" s="62" t="n"/>
      <c r="H58" s="135" t="n"/>
      <c r="I58" s="135" t="n"/>
      <c r="J58" s="135" t="n"/>
      <c r="K58" s="135" t="n"/>
      <c r="L58" s="135" t="n"/>
      <c r="M58" s="345" t="n"/>
    </row>
    <row r="59" ht="3.75" customHeight="1" s="684"/>
    <row r="60" ht="11.25" customHeight="1" s="684">
      <c r="A60" s="382" t="inlineStr">
        <is>
          <t>Bu belge 5070 sayılı elektronik imza kanununa göre güvenli elektronik imza ile imzalanmıştır.</t>
        </is>
      </c>
      <c r="N60" s="358" t="n"/>
    </row>
    <row r="61" ht="1.5" customHeight="1" s="684">
      <c r="A61" s="381" t="n"/>
    </row>
    <row r="62" ht="11.25" customHeight="1" s="684">
      <c r="A62" s="363" t="inlineStr">
        <is>
          <t>Üçevler Mahallesi Ak-Va Sanayi Sitesi 80. Sokak No:2/P Nilüfer-BURSA</t>
        </is>
      </c>
      <c r="N62" s="360" t="n"/>
    </row>
    <row r="63" ht="11.25" customHeight="1" s="684">
      <c r="A63" s="363" t="inlineStr">
        <is>
          <t>Telefon : 444 0 287 - 0224 441 94 33                  Mail:     www.btselektrik.com.tr</t>
        </is>
      </c>
      <c r="N63" s="360" t="n"/>
    </row>
    <row r="64" ht="11.25" customHeight="1" s="684">
      <c r="A64" s="363" t="inlineStr">
        <is>
          <t>Gsm      : 0532 206 58 32 - 0538 035 35 94</t>
        </is>
      </c>
      <c r="N64" s="360" t="n"/>
    </row>
  </sheetData>
  <mergeCells count="36">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A55:B55"/>
    <mergeCell ref="A12:B12"/>
    <mergeCell ref="A60:M60"/>
    <mergeCell ref="A31:M33"/>
    <mergeCell ref="D55:F55"/>
    <mergeCell ref="E1:J2"/>
    <mergeCell ref="A57:B57"/>
    <mergeCell ref="A61:M61"/>
    <mergeCell ref="G55:M58"/>
    <mergeCell ref="D54:F54"/>
    <mergeCell ref="A14:B14"/>
    <mergeCell ref="A7:M7"/>
    <mergeCell ref="D11:M11"/>
    <mergeCell ref="A29:B29"/>
    <mergeCell ref="A10:B10"/>
    <mergeCell ref="E14:M14"/>
    <mergeCell ref="A13:B13"/>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77"/>
  <sheetViews>
    <sheetView topLeftCell="A7" zoomScaleNormal="100" workbookViewId="0">
      <selection activeCell="G17" sqref="G17:J17"/>
    </sheetView>
  </sheetViews>
  <sheetFormatPr baseColWidth="8" defaultRowHeight="15"/>
  <cols>
    <col width="1.5703125" customWidth="1" style="684" min="1" max="1"/>
    <col width="5" customWidth="1" style="684" min="2" max="19"/>
    <col width="1.5703125" customWidth="1" style="684" min="20" max="20"/>
    <col width="5" customWidth="1" style="684" min="22" max="49"/>
  </cols>
  <sheetData>
    <row r="1" ht="5.25" customHeight="1" s="684">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684">
      <c r="A2" s="10" t="n"/>
      <c r="B2" s="229" t="n"/>
      <c r="C2" s="70" t="n"/>
      <c r="D2" s="70" t="n"/>
      <c r="E2" s="70" t="n"/>
      <c r="F2" s="70" t="n"/>
      <c r="G2" s="343" t="n"/>
      <c r="H2" s="449" t="inlineStr">
        <is>
          <t xml:space="preserve">  ŞALT SAHASI        </t>
        </is>
      </c>
      <c r="I2" s="70" t="n"/>
      <c r="J2" s="70" t="n"/>
      <c r="K2" s="448">
        <f>'KAPAK SAYFASI'!D9</f>
        <v/>
      </c>
      <c r="L2" s="70" t="n"/>
      <c r="M2" s="70" t="n"/>
      <c r="N2" s="70" t="n"/>
      <c r="O2" s="70" t="n"/>
      <c r="P2" s="70" t="n"/>
      <c r="Q2" s="70" t="n"/>
      <c r="R2" s="70" t="n"/>
      <c r="S2" s="343" t="n"/>
      <c r="T2" s="11" t="n"/>
    </row>
    <row r="3" ht="22.5" customHeight="1" s="684">
      <c r="A3" s="10" t="n"/>
      <c r="B3" s="85" t="n"/>
      <c r="G3" s="344" t="n"/>
      <c r="H3" s="85" t="n"/>
      <c r="S3" s="344" t="n"/>
      <c r="T3" s="11" t="n"/>
    </row>
    <row r="4" ht="3" customHeight="1" s="684">
      <c r="A4" s="10" t="n"/>
      <c r="B4" s="85" t="n"/>
      <c r="G4" s="344" t="n"/>
      <c r="H4" s="310" t="n"/>
      <c r="I4" s="311" t="n"/>
      <c r="J4" s="311" t="n"/>
      <c r="K4" s="311" t="n"/>
      <c r="L4" s="311" t="n"/>
      <c r="M4" s="311" t="n"/>
      <c r="N4" s="311" t="n"/>
      <c r="O4" s="311" t="n"/>
      <c r="P4" s="311" t="n"/>
      <c r="Q4" s="311" t="n"/>
      <c r="R4" s="311" t="n"/>
      <c r="S4" s="312" t="n"/>
      <c r="T4" s="11" t="n"/>
    </row>
    <row r="5" ht="15" customHeight="1" s="684">
      <c r="A5" s="10" t="n"/>
      <c r="B5" s="85" t="n"/>
      <c r="G5" s="344" t="n"/>
      <c r="H5" s="443" t="inlineStr">
        <is>
          <t>TRAFO ETİKETİ</t>
        </is>
      </c>
      <c r="K5" s="446">
        <f>'KAPAK SAYFASI'!D10</f>
        <v/>
      </c>
      <c r="S5" s="344" t="n"/>
      <c r="T5" s="11" t="n"/>
    </row>
    <row r="6" ht="22.5" customHeight="1" s="684">
      <c r="A6" s="10" t="n"/>
      <c r="B6" s="704" t="inlineStr">
        <is>
          <t>Üçevler Mh.  AK-VA Sanayi Sitesi  80. Sk.  No:2/P  Nilüfer  /  BURSA  /  TÜRKİYE</t>
        </is>
      </c>
      <c r="G6" s="344" t="n"/>
      <c r="H6" s="85" t="n"/>
      <c r="S6" s="344" t="n"/>
      <c r="T6" s="11" t="n"/>
    </row>
    <row r="7" ht="3" customHeight="1" s="684">
      <c r="A7" s="10" t="n"/>
      <c r="B7" s="62" t="n"/>
      <c r="C7" s="135" t="n"/>
      <c r="D7" s="135" t="n"/>
      <c r="E7" s="135" t="n"/>
      <c r="F7" s="135" t="n"/>
      <c r="G7" s="90" t="n"/>
      <c r="H7" s="156" t="n"/>
      <c r="I7" s="64" t="n"/>
      <c r="J7" s="64" t="n"/>
      <c r="K7" s="64" t="n"/>
      <c r="L7" s="64" t="n"/>
      <c r="M7" s="64" t="n"/>
      <c r="N7" s="64" t="n"/>
      <c r="O7" s="64" t="n"/>
      <c r="P7" s="64" t="n"/>
      <c r="Q7" s="64" t="n"/>
      <c r="R7" s="64" t="n"/>
      <c r="S7" s="90" t="n"/>
      <c r="T7" s="11" t="n"/>
    </row>
    <row r="8" ht="3" customHeight="1" s="684">
      <c r="A8" s="10" t="n"/>
      <c r="B8" s="3" t="n"/>
      <c r="C8" s="264" t="n"/>
      <c r="D8" s="264" t="n"/>
      <c r="E8" s="264" t="n"/>
      <c r="F8" s="264" t="n"/>
      <c r="G8" s="48" t="n"/>
      <c r="H8" s="48" t="n"/>
      <c r="I8" s="264" t="n"/>
      <c r="J8" s="264" t="n"/>
      <c r="K8" s="48" t="n"/>
      <c r="L8" s="264" t="n"/>
      <c r="M8" s="264" t="n"/>
      <c r="N8" s="264" t="n"/>
      <c r="O8" s="264" t="n"/>
      <c r="P8" s="264" t="n"/>
      <c r="Q8" s="264" t="n"/>
      <c r="R8" s="264" t="n"/>
      <c r="S8" s="187" t="n"/>
      <c r="T8" s="11" t="n"/>
    </row>
    <row r="9" ht="15.75" customHeight="1" s="684">
      <c r="A9" s="10" t="n"/>
      <c r="B9" s="705" t="inlineStr">
        <is>
          <t xml:space="preserve">TRAFO BİLGİLERİ </t>
        </is>
      </c>
      <c r="C9" s="125" t="n"/>
      <c r="D9" s="125" t="n"/>
      <c r="E9" s="125" t="n"/>
      <c r="F9" s="125" t="n"/>
      <c r="G9" s="125" t="n"/>
      <c r="H9" s="125" t="n"/>
      <c r="I9" s="125" t="n"/>
      <c r="J9" s="125" t="n"/>
      <c r="K9" s="125" t="n"/>
      <c r="L9" s="125" t="n"/>
      <c r="M9" s="125" t="n"/>
      <c r="N9" s="125" t="n"/>
      <c r="O9" s="125" t="n"/>
      <c r="P9" s="125" t="n"/>
      <c r="Q9" s="125" t="n"/>
      <c r="R9" s="125" t="n"/>
      <c r="S9" s="231" t="n"/>
      <c r="T9" s="11" t="n"/>
      <c r="Y9" s="124" t="n"/>
    </row>
    <row r="10" ht="3" customHeight="1" s="684">
      <c r="A10" s="10" t="n"/>
      <c r="B10" s="44" t="n"/>
      <c r="C10" s="45" t="n"/>
      <c r="D10" s="45" t="n"/>
      <c r="E10" s="45" t="n"/>
      <c r="F10" s="45" t="n"/>
      <c r="G10" s="45" t="n"/>
      <c r="H10" s="45" t="n"/>
      <c r="I10" s="45" t="n"/>
      <c r="J10" s="45" t="n"/>
      <c r="K10" s="393" t="n"/>
      <c r="L10" s="393" t="n"/>
      <c r="M10" s="692" t="n"/>
      <c r="N10" s="45" t="n"/>
      <c r="O10" s="45" t="n"/>
      <c r="P10" s="45" t="n"/>
      <c r="Q10" s="45" t="n"/>
      <c r="R10" s="45" t="n"/>
      <c r="S10" s="46" t="n"/>
      <c r="T10" s="11" t="n"/>
    </row>
    <row r="11">
      <c r="A11" s="10" t="n"/>
      <c r="B11" s="429" t="inlineStr">
        <is>
          <t>Trafo Markası</t>
        </is>
      </c>
      <c r="F11" s="113" t="inlineStr">
        <is>
          <t>:</t>
        </is>
      </c>
      <c r="G11" s="646" t="inlineStr">
        <is>
          <t>BEST</t>
        </is>
      </c>
      <c r="H11" s="706" t="n"/>
      <c r="I11" s="706" t="n"/>
      <c r="J11" s="706" t="n"/>
      <c r="K11" s="430" t="inlineStr">
        <is>
          <t>Kademe Bilgisi</t>
        </is>
      </c>
      <c r="N11" s="117" t="inlineStr">
        <is>
          <t xml:space="preserve">: </t>
        </is>
      </c>
      <c r="O11" s="118" t="n">
        <v>6</v>
      </c>
      <c r="P11" s="118" t="inlineStr">
        <is>
          <t>/</t>
        </is>
      </c>
      <c r="Q11" s="118" t="n">
        <v>4</v>
      </c>
      <c r="R11" s="118" t="inlineStr">
        <is>
          <t>/</t>
        </is>
      </c>
      <c r="S11" s="126" t="n">
        <v>3</v>
      </c>
      <c r="T11" s="11" t="n"/>
    </row>
    <row r="12" ht="3" customHeight="1" s="684">
      <c r="A12" s="10" t="n"/>
      <c r="B12" s="429" t="n"/>
      <c r="C12" s="430" t="n"/>
      <c r="D12" s="430" t="n"/>
      <c r="E12" s="430" t="n"/>
      <c r="F12" s="93" t="n"/>
      <c r="G12" s="264" t="n"/>
      <c r="H12" s="264" t="n"/>
      <c r="I12" s="264" t="n"/>
      <c r="J12" s="264" t="n"/>
      <c r="K12" s="435" t="n"/>
      <c r="L12" s="435" t="n"/>
      <c r="M12" s="418" t="n"/>
      <c r="N12" s="264" t="n"/>
      <c r="O12" s="264" t="n"/>
      <c r="P12" s="264" t="n"/>
      <c r="Q12" s="264" t="n"/>
      <c r="R12" s="264" t="n"/>
      <c r="S12" s="187" t="n"/>
      <c r="T12" s="11" t="n"/>
    </row>
    <row r="13">
      <c r="A13" s="10" t="n"/>
      <c r="B13" s="370" t="inlineStr">
        <is>
          <t>Trafo Gücü (kVA)</t>
        </is>
      </c>
      <c r="F13" s="113" t="inlineStr">
        <is>
          <t>:</t>
        </is>
      </c>
      <c r="G13" s="646" t="n">
        <v>2000</v>
      </c>
      <c r="H13" s="706" t="n"/>
      <c r="I13" s="706" t="n"/>
      <c r="J13" s="706" t="n"/>
      <c r="K13" s="435" t="inlineStr">
        <is>
          <t>İmal Yılı</t>
        </is>
      </c>
      <c r="N13" s="113" t="inlineStr">
        <is>
          <t>:</t>
        </is>
      </c>
      <c r="O13" s="437" t="n">
        <v>2015</v>
      </c>
      <c r="P13" s="706" t="n"/>
      <c r="Q13" s="706" t="n"/>
      <c r="R13" s="706" t="n"/>
      <c r="S13" s="707" t="n"/>
      <c r="T13" s="11" t="n"/>
    </row>
    <row r="14" ht="3" customHeight="1" s="684">
      <c r="A14" s="10" t="n"/>
      <c r="B14" s="429" t="n"/>
      <c r="C14" s="430" t="n"/>
      <c r="D14" s="430" t="n"/>
      <c r="E14" s="430" t="n"/>
      <c r="F14" s="93" t="n"/>
      <c r="G14" s="264" t="n"/>
      <c r="H14" s="264" t="n"/>
      <c r="I14" s="264" t="n"/>
      <c r="J14" s="264" t="n"/>
      <c r="K14" s="435" t="n"/>
      <c r="L14" s="435" t="n"/>
      <c r="M14" s="418" t="n"/>
      <c r="N14" s="264" t="n"/>
      <c r="O14" s="264" t="n"/>
      <c r="P14" s="264" t="n"/>
      <c r="Q14" s="264" t="n"/>
      <c r="R14" s="264" t="n"/>
      <c r="S14" s="187" t="n"/>
      <c r="T14" s="11" t="n"/>
    </row>
    <row r="15">
      <c r="A15" s="10" t="n"/>
      <c r="B15" s="429" t="inlineStr">
        <is>
          <t>Gerilim Seviyesi (V)</t>
        </is>
      </c>
      <c r="F15" s="113" t="inlineStr">
        <is>
          <t xml:space="preserve">:  </t>
        </is>
      </c>
      <c r="G15" s="438" t="inlineStr">
        <is>
          <t>34500/400</t>
        </is>
      </c>
      <c r="H15" s="706" t="n"/>
      <c r="I15" s="706" t="n"/>
      <c r="J15" s="706" t="n"/>
      <c r="K15" s="435" t="inlineStr">
        <is>
          <t>Seri Numarası</t>
        </is>
      </c>
      <c r="N15" s="113" t="inlineStr">
        <is>
          <t>:</t>
        </is>
      </c>
      <c r="O15" s="437" t="inlineStr">
        <is>
          <t>SN-TEST-001</t>
        </is>
      </c>
      <c r="P15" s="706" t="n"/>
      <c r="Q15" s="706" t="n"/>
      <c r="R15" s="706" t="n"/>
      <c r="S15" s="707" t="n"/>
      <c r="T15" s="11" t="n"/>
    </row>
    <row r="16" ht="3" customHeight="1" s="684">
      <c r="A16" s="10" t="n"/>
      <c r="B16" s="429" t="n"/>
      <c r="C16" s="430" t="n"/>
      <c r="D16" s="430" t="n"/>
      <c r="E16" s="430" t="n"/>
      <c r="F16" s="93" t="n"/>
      <c r="G16" s="264" t="n"/>
      <c r="H16" s="264" t="n"/>
      <c r="I16" s="264" t="n"/>
      <c r="J16" s="264" t="n"/>
      <c r="K16" s="435" t="n"/>
      <c r="L16" s="435" t="n"/>
      <c r="M16" s="418" t="n"/>
      <c r="N16" s="264" t="n"/>
      <c r="O16" s="264" t="n"/>
      <c r="P16" s="264" t="n"/>
      <c r="Q16" s="264" t="n"/>
      <c r="R16" s="264" t="n"/>
      <c r="S16" s="187" t="n"/>
      <c r="T16" s="11" t="n"/>
    </row>
    <row r="17" ht="15" customHeight="1" s="684">
      <c r="A17" s="10" t="n"/>
      <c r="B17" s="429" t="inlineStr">
        <is>
          <t>Bağlantı Grubu</t>
        </is>
      </c>
      <c r="F17" s="113" t="inlineStr">
        <is>
          <t>:</t>
        </is>
      </c>
      <c r="G17" s="646" t="inlineStr">
        <is>
          <t>Dyn11</t>
        </is>
      </c>
      <c r="H17" s="706" t="n"/>
      <c r="I17" s="706" t="n"/>
      <c r="J17" s="706" t="n"/>
      <c r="K17" s="435" t="inlineStr">
        <is>
          <t>Kısa Devre Emp.%</t>
        </is>
      </c>
      <c r="N17" s="113" t="inlineStr">
        <is>
          <t>:</t>
        </is>
      </c>
      <c r="O17" s="439" t="n">
        <v>6.42</v>
      </c>
      <c r="P17" s="706" t="n"/>
      <c r="Q17" s="706" t="n"/>
      <c r="R17" s="706" t="n"/>
      <c r="S17" s="707" t="n"/>
      <c r="T17" s="11" t="n"/>
    </row>
    <row r="18" ht="3" customHeight="1" s="684">
      <c r="A18" s="10" t="n"/>
      <c r="B18" s="429" t="n"/>
      <c r="C18" s="430" t="n"/>
      <c r="D18" s="430" t="n"/>
      <c r="E18" s="430" t="n"/>
      <c r="F18" s="93" t="n"/>
      <c r="G18" s="264" t="n"/>
      <c r="H18" s="264" t="n"/>
      <c r="I18" s="264" t="n"/>
      <c r="J18" s="264" t="n"/>
      <c r="K18" s="435" t="n"/>
      <c r="L18" s="435" t="n"/>
      <c r="M18" s="418" t="n"/>
      <c r="N18" s="264" t="n"/>
      <c r="O18" s="264" t="n"/>
      <c r="P18" s="264" t="n"/>
      <c r="Q18" s="264" t="n"/>
      <c r="R18" s="264" t="n"/>
      <c r="S18" s="187" t="n"/>
      <c r="T18" s="11" t="n"/>
    </row>
    <row r="19" ht="15" customHeight="1" s="684">
      <c r="A19" s="10" t="n"/>
      <c r="B19" s="431" t="inlineStr">
        <is>
          <t>Kazan Tipi</t>
        </is>
      </c>
      <c r="F19" s="93" t="inlineStr">
        <is>
          <t xml:space="preserve">:  </t>
        </is>
      </c>
      <c r="G19" t="inlineStr">
        <is>
          <t>Hermetik</t>
        </is>
      </c>
      <c r="H19" s="344" t="n"/>
      <c r="I19" s="119" t="inlineStr">
        <is>
          <t>ü</t>
        </is>
      </c>
      <c r="K19" s="433" t="inlineStr">
        <is>
          <t>Genleşme Tanklı</t>
        </is>
      </c>
      <c r="M19" s="344" t="n"/>
      <c r="N19" s="119" t="n"/>
      <c r="P19" t="inlineStr">
        <is>
          <t>Kuru Tip</t>
        </is>
      </c>
      <c r="Q19" s="344" t="n"/>
      <c r="R19" s="119" t="inlineStr">
        <is>
          <t>ü</t>
        </is>
      </c>
      <c r="S19" s="344" t="n"/>
      <c r="T19" s="11" t="n"/>
      <c r="U19" t="inlineStr">
        <is>
          <t>ü</t>
        </is>
      </c>
    </row>
    <row r="20" ht="3.75" customHeight="1" s="684">
      <c r="A20" s="10" t="n"/>
      <c r="B20" s="429" t="n"/>
      <c r="C20" s="430" t="n"/>
      <c r="D20" s="430" t="n"/>
      <c r="E20" s="430" t="n"/>
      <c r="F20" s="93" t="n"/>
      <c r="G20" s="264" t="n"/>
      <c r="H20" s="264" t="n"/>
      <c r="I20" s="264" t="n"/>
      <c r="J20" s="264" t="n"/>
      <c r="K20" s="435" t="n"/>
      <c r="L20" s="435" t="n"/>
      <c r="M20" s="418" t="n"/>
      <c r="N20" s="264" t="n"/>
      <c r="O20" s="264" t="n"/>
      <c r="P20" s="264" t="n"/>
      <c r="Q20" s="264" t="n"/>
      <c r="R20" s="264" t="n"/>
      <c r="S20" s="187" t="n"/>
      <c r="T20" s="11" t="n"/>
    </row>
    <row r="21" ht="3" customHeight="1" s="684">
      <c r="A21" s="10" t="n"/>
      <c r="B21" s="105" t="n"/>
      <c r="C21" s="697" t="n"/>
      <c r="D21" s="697" t="n"/>
      <c r="E21" s="697" t="n"/>
      <c r="F21" s="135" t="n"/>
      <c r="G21" s="135" t="n"/>
      <c r="H21" s="135" t="n"/>
      <c r="I21" s="135" t="n"/>
      <c r="J21" s="135" t="n"/>
      <c r="K21" s="558" t="n"/>
      <c r="L21" s="558" t="n"/>
      <c r="M21" s="558" t="n"/>
      <c r="N21" s="135" t="n"/>
      <c r="O21" s="135" t="n"/>
      <c r="P21" s="135" t="n"/>
      <c r="Q21" s="135" t="n"/>
      <c r="R21" s="135" t="n"/>
      <c r="S21" s="345" t="n"/>
      <c r="T21" s="11" t="n"/>
    </row>
    <row r="22" ht="3" customHeight="1" s="684">
      <c r="A22" s="10" t="n"/>
      <c r="B22" s="429" t="n"/>
      <c r="C22" s="430" t="n"/>
      <c r="D22" s="430" t="n"/>
      <c r="E22" s="430" t="n"/>
      <c r="F22" s="93" t="n"/>
      <c r="G22" s="264" t="n"/>
      <c r="H22" s="264" t="n"/>
      <c r="I22" s="264" t="n"/>
      <c r="J22" s="264" t="n"/>
      <c r="K22" s="435" t="n"/>
      <c r="L22" s="435" t="n"/>
      <c r="M22" s="418" t="n"/>
      <c r="N22" s="264" t="n"/>
      <c r="O22" s="264" t="n"/>
      <c r="P22" s="264" t="n"/>
      <c r="Q22" s="264" t="n"/>
      <c r="R22" s="264" t="n"/>
      <c r="S22" s="187" t="n"/>
      <c r="T22" s="11" t="n"/>
    </row>
    <row r="23" ht="15.75" customHeight="1" s="684">
      <c r="A23" s="10" t="n"/>
      <c r="B23" s="705" t="inlineStr">
        <is>
          <t>KONTROLLER</t>
        </is>
      </c>
      <c r="C23" s="125" t="n"/>
      <c r="D23" s="125" t="n"/>
      <c r="E23" s="125" t="n"/>
      <c r="F23" s="125" t="n"/>
      <c r="G23" s="125" t="n"/>
      <c r="H23" s="125" t="n"/>
      <c r="I23" s="125" t="n"/>
      <c r="J23" s="125" t="n"/>
      <c r="K23" s="125" t="n"/>
      <c r="L23" s="125" t="n"/>
      <c r="M23" s="125" t="n"/>
      <c r="N23" s="125" t="n"/>
      <c r="O23" s="125" t="n"/>
      <c r="P23" s="125" t="n"/>
      <c r="Q23" s="125" t="n"/>
      <c r="R23" s="125" t="n"/>
      <c r="S23" s="231" t="n"/>
      <c r="T23" s="11" t="n"/>
    </row>
    <row r="24" ht="15" customHeight="1" s="684">
      <c r="A24" s="10" t="n"/>
      <c r="B24" s="3" t="n"/>
      <c r="C24" s="264" t="n"/>
      <c r="D24" s="264" t="n"/>
      <c r="E24" s="264" t="n"/>
      <c r="F24" s="264" t="n"/>
      <c r="G24" s="264" t="n"/>
      <c r="H24" s="264" t="n"/>
      <c r="I24" s="55" t="inlineStr">
        <is>
          <t>Evet</t>
        </is>
      </c>
      <c r="J24" s="55" t="inlineStr">
        <is>
          <t>ü</t>
        </is>
      </c>
      <c r="K24" s="264" t="n"/>
      <c r="L24" s="264" t="n"/>
      <c r="M24" s="264" t="n"/>
      <c r="N24" s="264" t="n"/>
      <c r="O24" s="264" t="n"/>
      <c r="P24" s="264" t="n"/>
      <c r="Q24" s="264" t="n"/>
      <c r="R24" s="55" t="inlineStr">
        <is>
          <t>Evet</t>
        </is>
      </c>
      <c r="S24" s="55" t="inlineStr">
        <is>
          <t>Hayır</t>
        </is>
      </c>
      <c r="T24" s="11" t="n"/>
    </row>
    <row r="25" ht="3.75" customHeight="1" s="684">
      <c r="A25" s="10" t="n"/>
      <c r="B25" s="3" t="n"/>
      <c r="C25" s="264" t="n"/>
      <c r="D25" s="264" t="n"/>
      <c r="E25" s="264" t="n"/>
      <c r="F25" s="264" t="n"/>
      <c r="G25" s="264" t="n"/>
      <c r="H25" s="264" t="n"/>
      <c r="I25" s="264" t="n"/>
      <c r="J25" s="264" t="inlineStr">
        <is>
          <t>ü</t>
        </is>
      </c>
      <c r="K25" s="264" t="n"/>
      <c r="L25" s="264" t="n"/>
      <c r="M25" s="264" t="n"/>
      <c r="N25" s="264" t="n"/>
      <c r="O25" s="264" t="n"/>
      <c r="P25" s="264" t="n"/>
      <c r="Q25" s="264" t="n"/>
      <c r="R25" s="264" t="n"/>
      <c r="S25" s="187" t="n"/>
      <c r="T25" s="11" t="n"/>
    </row>
    <row r="26">
      <c r="A26" s="10" t="n"/>
      <c r="B26" s="429" t="inlineStr">
        <is>
          <t xml:space="preserve">Trafo Sıcaklık Kontrolü </t>
        </is>
      </c>
      <c r="F26" s="113" t="inlineStr">
        <is>
          <t>:</t>
        </is>
      </c>
      <c r="G26" s="113" t="n">
        <v>35</v>
      </c>
      <c r="H26" s="413" t="inlineStr">
        <is>
          <t>°C</t>
        </is>
      </c>
      <c r="I26" s="119" t="inlineStr">
        <is>
          <t>ü</t>
        </is>
      </c>
      <c r="J26" s="119" t="inlineStr">
        <is>
          <t>ü</t>
        </is>
      </c>
      <c r="K26" s="430" t="inlineStr">
        <is>
          <t>Trafo Temizliği</t>
        </is>
      </c>
      <c r="O26" s="113" t="inlineStr">
        <is>
          <t>:</t>
        </is>
      </c>
      <c r="P26" s="413" t="inlineStr">
        <is>
          <t>YAPILDI</t>
        </is>
      </c>
      <c r="Q26" s="707" t="n"/>
      <c r="R26" s="119" t="inlineStr">
        <is>
          <t>ü</t>
        </is>
      </c>
      <c r="S26" s="119" t="n"/>
      <c r="T26" s="11" t="n"/>
    </row>
    <row r="27" ht="3.75" customHeight="1" s="684">
      <c r="A27" s="10" t="n"/>
      <c r="B27" s="96" t="n"/>
      <c r="C27" s="93" t="n"/>
      <c r="D27" s="93" t="n"/>
      <c r="E27" s="93" t="n"/>
      <c r="F27" s="93" t="n"/>
      <c r="G27" s="93" t="n"/>
      <c r="H27" s="93" t="n"/>
      <c r="I27" s="120" t="n"/>
      <c r="J27" s="120" t="n"/>
      <c r="K27" s="93" t="n"/>
      <c r="L27" s="93" t="n"/>
      <c r="M27" s="93" t="n"/>
      <c r="N27" s="93" t="n"/>
      <c r="O27" s="93" t="n"/>
      <c r="P27" s="120" t="n"/>
      <c r="Q27" s="120" t="n"/>
      <c r="R27" s="120" t="n"/>
      <c r="S27" s="152" t="n"/>
      <c r="T27" s="11" t="n"/>
    </row>
    <row r="28">
      <c r="A28" s="10" t="n"/>
      <c r="B28" s="429" t="inlineStr">
        <is>
          <t>Fan ON</t>
        </is>
      </c>
      <c r="F28" s="113" t="inlineStr">
        <is>
          <t>:</t>
        </is>
      </c>
      <c r="G28" s="413" t="inlineStr">
        <is>
          <t>UYGUN</t>
        </is>
      </c>
      <c r="H28" s="707" t="n"/>
      <c r="I28" s="119" t="inlineStr">
        <is>
          <t>ü</t>
        </is>
      </c>
      <c r="J28" s="119" t="n"/>
      <c r="K28" s="430" t="inlineStr">
        <is>
          <t>Bina Temizliği</t>
        </is>
      </c>
      <c r="O28" s="113" t="inlineStr">
        <is>
          <t>:</t>
        </is>
      </c>
      <c r="P28" s="413" t="inlineStr">
        <is>
          <t>UYGUN</t>
        </is>
      </c>
      <c r="Q28" s="707" t="n"/>
      <c r="R28" s="119" t="inlineStr">
        <is>
          <t>ü</t>
        </is>
      </c>
      <c r="S28" s="119" t="n"/>
      <c r="T28" s="11" t="n"/>
    </row>
    <row r="29" ht="3.75" customHeight="1" s="684">
      <c r="A29" s="10" t="n"/>
      <c r="B29" s="96" t="n"/>
      <c r="C29" s="93" t="n"/>
      <c r="D29" s="93" t="n"/>
      <c r="E29" s="93" t="n"/>
      <c r="F29" s="93" t="n"/>
      <c r="G29" s="93" t="n"/>
      <c r="H29" s="93" t="n"/>
      <c r="I29" s="120" t="n"/>
      <c r="J29" s="120" t="n"/>
      <c r="K29" s="93" t="n"/>
      <c r="L29" s="93" t="n"/>
      <c r="M29" s="93" t="n"/>
      <c r="N29" s="93" t="n"/>
      <c r="O29" s="93" t="n"/>
      <c r="P29" s="93" t="n"/>
      <c r="Q29" s="93" t="n"/>
      <c r="R29" s="120" t="n"/>
      <c r="S29" s="152" t="n"/>
      <c r="T29" s="11" t="n"/>
    </row>
    <row r="30">
      <c r="A30" s="10" t="n"/>
      <c r="B30" s="429" t="inlineStr">
        <is>
          <t>DC Redresör Kontrolü</t>
        </is>
      </c>
      <c r="F30" s="113" t="inlineStr">
        <is>
          <t>:</t>
        </is>
      </c>
      <c r="G30" s="113" t="n">
        <v>24</v>
      </c>
      <c r="H30" s="413" t="inlineStr">
        <is>
          <t>Vdc</t>
        </is>
      </c>
      <c r="I30" s="119" t="inlineStr">
        <is>
          <t>ü</t>
        </is>
      </c>
      <c r="J30" s="119" t="n"/>
      <c r="K30" s="430" t="inlineStr">
        <is>
          <t>Kablo Sıkılık Kontrolü</t>
        </is>
      </c>
      <c r="O30" s="113" t="inlineStr">
        <is>
          <t>:</t>
        </is>
      </c>
      <c r="P30" s="413" t="inlineStr">
        <is>
          <t>UYGUN</t>
        </is>
      </c>
      <c r="Q30" s="707" t="n"/>
      <c r="R30" s="119" t="inlineStr">
        <is>
          <t>ü</t>
        </is>
      </c>
      <c r="S30" s="119" t="n"/>
      <c r="T30" s="11" t="n"/>
    </row>
    <row r="31" ht="3.75" customHeight="1" s="684">
      <c r="A31" s="10" t="n"/>
      <c r="B31" s="96" t="n"/>
      <c r="C31" s="93" t="n"/>
      <c r="D31" s="93" t="n"/>
      <c r="E31" s="93" t="n"/>
      <c r="F31" s="93" t="n"/>
      <c r="G31" s="93" t="n"/>
      <c r="H31" s="93" t="n"/>
      <c r="I31" s="120" t="n"/>
      <c r="J31" s="120" t="n"/>
      <c r="K31" s="93" t="n"/>
      <c r="L31" s="93" t="n"/>
      <c r="M31" s="93" t="n"/>
      <c r="N31" s="93" t="n"/>
      <c r="O31" s="93" t="n"/>
      <c r="P31" s="93" t="n"/>
      <c r="Q31" s="93" t="n"/>
      <c r="R31" s="120" t="n"/>
      <c r="S31" s="152" t="n"/>
      <c r="T31" s="11" t="n"/>
    </row>
    <row r="32">
      <c r="A32" s="10" t="n"/>
      <c r="B32" s="429" t="inlineStr">
        <is>
          <t>Termometre Alarm</t>
        </is>
      </c>
      <c r="F32" s="113" t="inlineStr">
        <is>
          <t>:</t>
        </is>
      </c>
      <c r="G32" s="413" t="inlineStr">
        <is>
          <t>UYGUN</t>
        </is>
      </c>
      <c r="H32" s="707" t="n"/>
      <c r="I32" s="119" t="inlineStr">
        <is>
          <t>ü</t>
        </is>
      </c>
      <c r="J32" s="119" t="n"/>
      <c r="K32" s="429" t="inlineStr">
        <is>
          <t>Epoksi Kontrolü</t>
        </is>
      </c>
      <c r="O32" s="146" t="inlineStr">
        <is>
          <t xml:space="preserve">: </t>
        </is>
      </c>
      <c r="P32" s="413" t="inlineStr">
        <is>
          <t>UYGUN</t>
        </is>
      </c>
      <c r="Q32" s="707" t="n"/>
      <c r="R32" s="119" t="inlineStr">
        <is>
          <t>ü</t>
        </is>
      </c>
      <c r="S32" s="119" t="n"/>
      <c r="T32" s="11" t="n"/>
    </row>
    <row r="33" ht="3.75" customHeight="1" s="684">
      <c r="A33" s="10" t="n"/>
      <c r="B33" s="96" t="n"/>
      <c r="C33" s="93" t="n"/>
      <c r="D33" s="93" t="n"/>
      <c r="E33" s="93" t="n"/>
      <c r="F33" s="93" t="n"/>
      <c r="G33" s="93" t="n"/>
      <c r="H33" s="93" t="n"/>
      <c r="I33" s="120" t="n"/>
      <c r="J33" s="120" t="n"/>
      <c r="K33" s="96" t="n"/>
      <c r="L33" s="93" t="n"/>
      <c r="M33" s="93" t="n"/>
      <c r="N33" s="93" t="n"/>
      <c r="O33" s="93" t="n"/>
      <c r="P33" s="93" t="n"/>
      <c r="Q33" s="93" t="n"/>
      <c r="R33" s="120" t="n"/>
      <c r="S33" s="152" t="n"/>
      <c r="T33" s="11" t="n"/>
    </row>
    <row r="34">
      <c r="A34" s="10" t="n"/>
      <c r="B34" s="429" t="inlineStr">
        <is>
          <t>Termometre Trip</t>
        </is>
      </c>
      <c r="F34" s="113" t="inlineStr">
        <is>
          <t>:</t>
        </is>
      </c>
      <c r="G34" s="413" t="inlineStr">
        <is>
          <t>UYGUN</t>
        </is>
      </c>
      <c r="H34" s="707" t="n"/>
      <c r="I34" s="119" t="inlineStr">
        <is>
          <t>ü</t>
        </is>
      </c>
      <c r="J34" s="119" t="n"/>
      <c r="K34" s="429" t="inlineStr">
        <is>
          <t>Termistor Kontrolü</t>
        </is>
      </c>
      <c r="O34" s="113" t="inlineStr">
        <is>
          <t>:</t>
        </is>
      </c>
      <c r="P34" s="413" t="inlineStr">
        <is>
          <t>UYGUN</t>
        </is>
      </c>
      <c r="Q34" s="707" t="n"/>
      <c r="R34" s="119" t="inlineStr">
        <is>
          <t>ü</t>
        </is>
      </c>
      <c r="S34" s="119" t="n"/>
      <c r="T34" s="11" t="n"/>
    </row>
    <row r="35" ht="3.75" customHeight="1" s="684">
      <c r="A35" s="10" t="n"/>
      <c r="B35" s="96" t="n"/>
      <c r="C35" s="93" t="n"/>
      <c r="D35" s="93" t="n"/>
      <c r="E35" s="93" t="n"/>
      <c r="F35" s="93" t="n"/>
      <c r="G35" s="93" t="n"/>
      <c r="H35" s="93" t="n"/>
      <c r="I35" s="120" t="n"/>
      <c r="J35" s="120" t="n"/>
      <c r="K35" s="96" t="n"/>
      <c r="L35" s="93" t="n"/>
      <c r="M35" s="93" t="n"/>
      <c r="N35" s="93" t="n"/>
      <c r="O35" s="93" t="n"/>
      <c r="P35" s="93" t="n"/>
      <c r="Q35" s="93" t="n"/>
      <c r="R35" s="120" t="n"/>
      <c r="S35" s="152" t="n"/>
      <c r="T35" s="11" t="n"/>
    </row>
    <row r="36">
      <c r="A36" s="10" t="n"/>
      <c r="B36" s="429" t="inlineStr">
        <is>
          <t>Fan OFF</t>
        </is>
      </c>
      <c r="F36" s="140" t="inlineStr">
        <is>
          <t>:</t>
        </is>
      </c>
      <c r="G36" s="413" t="inlineStr">
        <is>
          <t>UYGUN</t>
        </is>
      </c>
      <c r="H36" s="707" t="n"/>
      <c r="I36" s="119" t="inlineStr">
        <is>
          <t>ü</t>
        </is>
      </c>
      <c r="J36" s="119" t="n"/>
      <c r="K36" s="370" t="inlineStr">
        <is>
          <t>Topraklama Bağlantısı</t>
        </is>
      </c>
      <c r="O36" s="141" t="inlineStr">
        <is>
          <t>:</t>
        </is>
      </c>
      <c r="P36" s="413" t="inlineStr">
        <is>
          <t>UYGUN</t>
        </is>
      </c>
      <c r="Q36" s="707" t="n"/>
      <c r="R36" s="119" t="inlineStr">
        <is>
          <t>ü</t>
        </is>
      </c>
      <c r="S36" s="119" t="n"/>
      <c r="T36" s="11" t="n"/>
    </row>
    <row r="37" ht="3" customHeight="1" s="684">
      <c r="A37" s="10" t="n"/>
      <c r="B37" s="96" t="n"/>
      <c r="C37" s="93" t="n"/>
      <c r="D37" s="93" t="n"/>
      <c r="E37" s="93" t="n"/>
      <c r="F37" s="93" t="n"/>
      <c r="G37" s="93" t="n"/>
      <c r="H37" s="93" t="n"/>
      <c r="I37" s="93" t="n"/>
      <c r="J37" s="93" t="n"/>
      <c r="K37" s="93" t="n"/>
      <c r="L37" s="93" t="n"/>
      <c r="M37" s="93" t="n"/>
      <c r="N37" s="93" t="n"/>
      <c r="O37" s="93" t="n"/>
      <c r="P37" s="93" t="n"/>
      <c r="Q37" s="93" t="n"/>
      <c r="R37" s="93" t="n"/>
      <c r="S37" s="97" t="n"/>
      <c r="T37" s="11" t="n"/>
    </row>
    <row r="38" ht="15.75" customHeight="1" s="684">
      <c r="A38" s="10" t="n"/>
      <c r="B38" s="705" t="inlineStr">
        <is>
          <t>TOPRAKLAMA ÖLÇÜMÜ ( Ω )</t>
        </is>
      </c>
      <c r="C38" s="125" t="n"/>
      <c r="D38" s="125" t="n"/>
      <c r="E38" s="125" t="n"/>
      <c r="F38" s="125" t="n"/>
      <c r="G38" s="125" t="n"/>
      <c r="H38" s="125" t="n"/>
      <c r="I38" s="125" t="n"/>
      <c r="J38" s="125" t="n"/>
      <c r="K38" s="125" t="n"/>
      <c r="L38" s="125" t="n"/>
      <c r="M38" s="125" t="n"/>
      <c r="N38" s="125" t="n"/>
      <c r="O38" s="125" t="n"/>
      <c r="P38" s="125" t="n"/>
      <c r="Q38" s="125" t="n"/>
      <c r="R38" s="125" t="n"/>
      <c r="S38" s="231" t="n"/>
      <c r="T38" s="11" t="n"/>
      <c r="V38" s="705" t="inlineStr">
        <is>
          <t>ÇEVİRME ORANI  ( TTR )</t>
        </is>
      </c>
      <c r="W38" s="125" t="n"/>
      <c r="X38" s="125" t="n"/>
      <c r="Y38" s="125" t="n"/>
      <c r="Z38" s="125" t="n"/>
      <c r="AA38" s="125" t="n"/>
      <c r="AB38" s="125" t="n"/>
      <c r="AC38" s="125" t="n"/>
      <c r="AD38" s="231" t="n"/>
      <c r="AF38" s="705" t="inlineStr">
        <is>
          <t>ÇEVİRME ORANI  ( TTR )</t>
        </is>
      </c>
      <c r="AG38" s="125" t="n"/>
      <c r="AH38" s="125" t="n"/>
      <c r="AI38" s="125" t="n"/>
      <c r="AJ38" s="125" t="n"/>
      <c r="AK38" s="125" t="n"/>
      <c r="AL38" s="125" t="n"/>
      <c r="AM38" s="125" t="n"/>
      <c r="AN38" s="231" t="n"/>
    </row>
    <row r="39" ht="3" customHeight="1" s="684">
      <c r="A39" s="10" t="n"/>
      <c r="B39" s="3" t="n"/>
      <c r="C39" s="264" t="n"/>
      <c r="D39" s="264" t="n"/>
      <c r="E39" s="264" t="n"/>
      <c r="F39" s="264" t="n"/>
      <c r="G39" s="264" t="n"/>
      <c r="H39" s="264" t="n"/>
      <c r="I39" s="264" t="n"/>
      <c r="J39" s="264" t="n"/>
      <c r="K39" s="264" t="n"/>
      <c r="L39" s="264" t="n"/>
      <c r="M39" s="264" t="n"/>
      <c r="N39" s="264" t="n"/>
      <c r="O39" s="264" t="n"/>
      <c r="P39" s="264" t="n"/>
      <c r="Q39" s="264" t="n"/>
      <c r="R39" s="264" t="n"/>
      <c r="S39" s="187" t="n"/>
      <c r="T39" s="11" t="n"/>
      <c r="V39" s="3" t="n"/>
      <c r="W39" s="264" t="n"/>
      <c r="X39" s="264" t="n"/>
      <c r="Y39" s="44" t="n"/>
      <c r="Z39" s="264" t="n"/>
      <c r="AA39" s="264" t="n"/>
      <c r="AB39" s="44" t="n"/>
      <c r="AC39" s="264" t="n"/>
      <c r="AD39" s="187" t="n"/>
      <c r="AF39" s="3" t="n"/>
      <c r="AG39" s="264" t="n"/>
      <c r="AH39" s="264" t="n"/>
      <c r="AI39" s="44" t="n"/>
      <c r="AJ39" s="264" t="n"/>
      <c r="AK39" s="264" t="n"/>
      <c r="AL39" s="44" t="n"/>
      <c r="AM39" s="264" t="n"/>
      <c r="AN39" s="187" t="n"/>
    </row>
    <row r="40">
      <c r="A40" s="10" t="n"/>
      <c r="B40" s="426" t="inlineStr">
        <is>
          <t>Trafo Topraklaması</t>
        </is>
      </c>
      <c r="G40" s="112" t="inlineStr">
        <is>
          <t>:</t>
        </is>
      </c>
      <c r="H40" s="421" t="n">
        <v>0.16</v>
      </c>
      <c r="I40" s="706" t="n"/>
      <c r="J40" s="646" t="inlineStr">
        <is>
          <t>Ω</t>
        </is>
      </c>
      <c r="K40" s="577" t="inlineStr">
        <is>
          <t>A.G Pano Topraklaması</t>
        </is>
      </c>
      <c r="P40" s="112" t="inlineStr">
        <is>
          <t>:</t>
        </is>
      </c>
      <c r="Q40" s="421" t="n">
        <v>0</v>
      </c>
      <c r="R40" s="706" t="n"/>
      <c r="S40" s="645" t="inlineStr">
        <is>
          <t>Ω</t>
        </is>
      </c>
      <c r="T40" s="11" t="n"/>
      <c r="V40" s="708" t="inlineStr">
        <is>
          <t>AB / an</t>
        </is>
      </c>
      <c r="W40" s="135" t="n"/>
      <c r="X40" s="345" t="n"/>
      <c r="Y40" s="408" t="inlineStr">
        <is>
          <t>BC / bn</t>
        </is>
      </c>
      <c r="Z40" s="135" t="n"/>
      <c r="AA40" s="345" t="n"/>
      <c r="AB40" s="708" t="inlineStr">
        <is>
          <t>CA / cn</t>
        </is>
      </c>
      <c r="AC40" s="135" t="n"/>
      <c r="AD40" s="345" t="n"/>
      <c r="AF40" s="708" t="inlineStr">
        <is>
          <t>AB / an</t>
        </is>
      </c>
      <c r="AG40" s="135" t="n"/>
      <c r="AH40" s="345" t="n"/>
      <c r="AI40" s="408" t="inlineStr">
        <is>
          <t>BC / bn</t>
        </is>
      </c>
      <c r="AJ40" s="135" t="n"/>
      <c r="AK40" s="345" t="n"/>
      <c r="AL40" s="708" t="inlineStr">
        <is>
          <t>CA / cn</t>
        </is>
      </c>
      <c r="AM40" s="135" t="n"/>
      <c r="AN40" s="345" t="n"/>
    </row>
    <row r="41" ht="3" customHeight="1" s="684">
      <c r="A41" s="10" t="n"/>
      <c r="B41" s="3" t="n"/>
      <c r="C41" s="264" t="n"/>
      <c r="D41" s="264" t="n"/>
      <c r="E41" s="264" t="n"/>
      <c r="F41" s="264" t="n"/>
      <c r="G41" s="264" t="n"/>
      <c r="H41" s="264" t="n"/>
      <c r="I41" s="264" t="n"/>
      <c r="J41" s="264" t="n"/>
      <c r="K41" s="264" t="n"/>
      <c r="L41" s="264" t="n"/>
      <c r="M41" s="264" t="n"/>
      <c r="N41" s="264" t="n"/>
      <c r="O41" s="264" t="n"/>
      <c r="P41" s="264" t="n"/>
      <c r="Q41" s="264" t="n"/>
      <c r="R41" s="264" t="n"/>
      <c r="S41" s="187" t="n"/>
      <c r="T41" s="11" t="n"/>
      <c r="V41" s="3" t="n"/>
      <c r="W41" s="264" t="n"/>
      <c r="X41" s="187" t="n"/>
      <c r="Y41" s="264" t="n"/>
      <c r="Z41" s="264" t="n"/>
      <c r="AA41" s="187" t="n"/>
      <c r="AB41" s="264" t="n"/>
      <c r="AC41" s="264" t="n"/>
      <c r="AD41" s="187" t="n"/>
      <c r="AF41" s="3" t="n"/>
      <c r="AG41" s="264" t="n"/>
      <c r="AH41" s="187" t="n"/>
      <c r="AI41" s="264" t="n"/>
      <c r="AJ41" s="264" t="n"/>
      <c r="AK41" s="187" t="n"/>
      <c r="AL41" s="264" t="n"/>
      <c r="AM41" s="264" t="n"/>
      <c r="AN41" s="187" t="n"/>
    </row>
    <row r="42">
      <c r="A42" s="10" t="n"/>
      <c r="B42" s="426" t="inlineStr">
        <is>
          <t>Nötr (işletme) Topraklaması</t>
        </is>
      </c>
      <c r="G42" s="112" t="inlineStr">
        <is>
          <t>:</t>
        </is>
      </c>
      <c r="H42" s="421" t="n">
        <v>0.15</v>
      </c>
      <c r="I42" s="706" t="n"/>
      <c r="J42" s="646" t="inlineStr">
        <is>
          <t>Ω</t>
        </is>
      </c>
      <c r="K42" s="577" t="inlineStr">
        <is>
          <t>Kapı Topraklaması</t>
        </is>
      </c>
      <c r="P42" s="112" t="inlineStr">
        <is>
          <t>:</t>
        </is>
      </c>
      <c r="Q42" s="421" t="n">
        <v>0.16</v>
      </c>
      <c r="R42" s="706" t="n"/>
      <c r="S42" s="645" t="inlineStr">
        <is>
          <t>Ω</t>
        </is>
      </c>
      <c r="T42" s="11" t="n"/>
      <c r="V42" s="709">
        <f>V51/1.0525889</f>
        <v/>
      </c>
      <c r="W42" s="706" t="n"/>
      <c r="X42" s="707" t="n"/>
      <c r="Y42" s="709">
        <f>Y51/1.0525889</f>
        <v/>
      </c>
      <c r="Z42" s="706" t="n"/>
      <c r="AA42" s="707" t="n"/>
      <c r="AB42" s="709">
        <f>AB51/1.0525889</f>
        <v/>
      </c>
      <c r="AC42" s="706" t="n"/>
      <c r="AD42" s="707" t="n"/>
      <c r="AF42" s="709">
        <f>AF51/1.045489</f>
        <v/>
      </c>
      <c r="AG42" s="706" t="n"/>
      <c r="AH42" s="707" t="n"/>
      <c r="AI42" s="709">
        <f>AI51/1.045489</f>
        <v/>
      </c>
      <c r="AJ42" s="706" t="n"/>
      <c r="AK42" s="707" t="n"/>
      <c r="AL42" s="709">
        <f>AL51/1.045489</f>
        <v/>
      </c>
      <c r="AM42" s="706" t="n"/>
      <c r="AN42" s="707" t="n"/>
    </row>
    <row r="43" ht="3" customHeight="1" s="684">
      <c r="A43" s="10" t="n"/>
      <c r="B43" s="3" t="n"/>
      <c r="C43" s="264" t="n"/>
      <c r="D43" s="264" t="n"/>
      <c r="E43" s="264" t="n"/>
      <c r="F43" s="264" t="n"/>
      <c r="G43" s="264" t="n"/>
      <c r="H43" s="264" t="n"/>
      <c r="I43" s="264" t="n"/>
      <c r="J43" s="264" t="n"/>
      <c r="K43" s="264" t="n"/>
      <c r="L43" s="264" t="n"/>
      <c r="M43" s="264" t="n"/>
      <c r="N43" s="264" t="n"/>
      <c r="O43" s="264" t="n"/>
      <c r="P43" s="264" t="n"/>
      <c r="Q43" s="264" t="n"/>
      <c r="R43" s="264" t="n"/>
      <c r="S43" s="187" t="n"/>
      <c r="T43" s="11" t="n"/>
      <c r="V43" s="47" t="n"/>
      <c r="W43" s="48" t="n"/>
      <c r="X43" s="98" t="n"/>
      <c r="Y43" s="47" t="n"/>
      <c r="Z43" s="48" t="n"/>
      <c r="AA43" s="98" t="n"/>
      <c r="AB43" s="48" t="n"/>
      <c r="AC43" s="48" t="n"/>
      <c r="AD43" s="98" t="n"/>
      <c r="AF43" s="47" t="n"/>
      <c r="AG43" s="48" t="n"/>
      <c r="AH43" s="98" t="n"/>
      <c r="AI43" s="47" t="n"/>
      <c r="AJ43" s="48" t="n"/>
      <c r="AK43" s="98" t="n"/>
      <c r="AL43" s="48" t="n"/>
      <c r="AM43" s="48" t="n"/>
      <c r="AN43" s="98" t="n"/>
    </row>
    <row r="44">
      <c r="A44" s="10" t="n"/>
      <c r="B44" s="426" t="inlineStr">
        <is>
          <t>Hücre Topraklaması</t>
        </is>
      </c>
      <c r="G44" s="112" t="inlineStr">
        <is>
          <t>:</t>
        </is>
      </c>
      <c r="H44" s="421" t="n">
        <v>0.16</v>
      </c>
      <c r="I44" s="706" t="n"/>
      <c r="J44" s="646" t="inlineStr">
        <is>
          <t>Ω</t>
        </is>
      </c>
      <c r="K44" s="577" t="inlineStr">
        <is>
          <t>Direk Topraklaması</t>
        </is>
      </c>
      <c r="P44" s="112" t="inlineStr">
        <is>
          <t>:</t>
        </is>
      </c>
      <c r="Q44" s="421" t="inlineStr">
        <is>
          <t>_</t>
        </is>
      </c>
      <c r="R44" s="706" t="n"/>
      <c r="S44" s="645" t="inlineStr">
        <is>
          <t>Ω</t>
        </is>
      </c>
      <c r="T44" s="11" t="n"/>
      <c r="V44" s="386" t="inlineStr">
        <is>
          <t xml:space="preserve">Kademe Bilgisi </t>
        </is>
      </c>
      <c r="W44" s="125" t="n"/>
      <c r="X44" s="125" t="n"/>
      <c r="Y44" s="125" t="inlineStr">
        <is>
          <t>:</t>
        </is>
      </c>
      <c r="Z44" s="389" t="inlineStr">
        <is>
          <t>28500 / 400</t>
        </is>
      </c>
      <c r="AA44" s="125" t="n"/>
      <c r="AB44" s="125" t="n"/>
      <c r="AC44" s="125" t="n"/>
      <c r="AD44" s="231" t="n"/>
      <c r="AF44" s="386" t="inlineStr">
        <is>
          <t xml:space="preserve">Kademe Bilgisi </t>
        </is>
      </c>
      <c r="AG44" s="125" t="n"/>
      <c r="AH44" s="125" t="n"/>
      <c r="AI44" s="125" t="inlineStr">
        <is>
          <t>:</t>
        </is>
      </c>
      <c r="AJ44" s="389" t="inlineStr">
        <is>
          <t>33000 / 400</t>
        </is>
      </c>
      <c r="AK44" s="125" t="n"/>
      <c r="AL44" s="125" t="n"/>
      <c r="AM44" s="125" t="n"/>
      <c r="AN44" s="231" t="n"/>
    </row>
    <row r="45" ht="3" customHeight="1" s="684">
      <c r="A45" s="10" t="n"/>
      <c r="B45" s="47" t="n"/>
      <c r="C45" s="48" t="n"/>
      <c r="D45" s="48" t="n"/>
      <c r="E45" s="48" t="n"/>
      <c r="F45" s="48" t="n"/>
      <c r="G45" s="48" t="n"/>
      <c r="H45" s="48" t="n"/>
      <c r="I45" s="48" t="n"/>
      <c r="J45" s="48" t="n"/>
      <c r="K45" s="48" t="n"/>
      <c r="L45" s="48" t="n"/>
      <c r="M45" s="48" t="n"/>
      <c r="N45" s="48" t="n"/>
      <c r="O45" s="48" t="n"/>
      <c r="P45" s="48" t="n"/>
      <c r="Q45" s="48" t="n"/>
      <c r="R45" s="48" t="n"/>
      <c r="S45" s="98" t="n"/>
      <c r="T45" s="11" t="n"/>
    </row>
    <row r="46" ht="3" customHeight="1" s="684">
      <c r="A46" s="10" t="n"/>
      <c r="B46" s="3" t="n"/>
      <c r="C46" s="264" t="n"/>
      <c r="D46" s="264" t="n"/>
      <c r="E46" s="264" t="n"/>
      <c r="F46" s="264" t="n"/>
      <c r="G46" s="264" t="n"/>
      <c r="H46" s="264" t="n"/>
      <c r="I46" s="264" t="n"/>
      <c r="J46" s="264" t="n"/>
      <c r="K46" s="264" t="n"/>
      <c r="L46" s="264" t="n"/>
      <c r="M46" s="264" t="n"/>
      <c r="N46" s="264" t="n"/>
      <c r="O46" s="264" t="n"/>
      <c r="P46" s="264" t="n"/>
      <c r="Q46" s="264" t="n"/>
      <c r="R46" s="264" t="n"/>
      <c r="S46" s="187" t="n"/>
      <c r="T46" s="11" t="n"/>
    </row>
    <row r="47" ht="15.75" customHeight="1" s="684">
      <c r="A47" s="10" t="n"/>
      <c r="B47" s="283" t="n">
        <v>2</v>
      </c>
      <c r="C47" s="284" t="inlineStr">
        <is>
          <t>A</t>
        </is>
      </c>
      <c r="D47" s="423" t="inlineStr">
        <is>
          <t>SARGI DİRENÇLERİ ( Ω )</t>
        </is>
      </c>
      <c r="E47" s="125" t="n"/>
      <c r="F47" s="125" t="n"/>
      <c r="G47" s="125" t="n"/>
      <c r="H47" s="125" t="n"/>
      <c r="I47" s="284" t="n">
        <v>100</v>
      </c>
      <c r="J47" s="285" t="inlineStr">
        <is>
          <t>A</t>
        </is>
      </c>
      <c r="K47" s="705" t="inlineStr">
        <is>
          <t>ÇEVİRME ORANI  ( TTR )</t>
        </is>
      </c>
      <c r="L47" s="125" t="n"/>
      <c r="M47" s="125" t="n"/>
      <c r="N47" s="125" t="n"/>
      <c r="O47" s="125" t="n"/>
      <c r="P47" s="125" t="n"/>
      <c r="Q47" s="125" t="n"/>
      <c r="R47" s="125" t="n"/>
      <c r="S47" s="231" t="n"/>
      <c r="T47" s="11" t="n"/>
      <c r="V47" s="705" t="inlineStr">
        <is>
          <t>ÇEVİRME ORANI  ( TTR )</t>
        </is>
      </c>
      <c r="W47" s="125" t="n"/>
      <c r="X47" s="125" t="n"/>
      <c r="Y47" s="125" t="n"/>
      <c r="Z47" s="125" t="n"/>
      <c r="AA47" s="125" t="n"/>
      <c r="AB47" s="125" t="n"/>
      <c r="AC47" s="125" t="n"/>
      <c r="AD47" s="231" t="n"/>
      <c r="AF47" s="705" t="inlineStr">
        <is>
          <t>ÇEVİRME ORANI  ( TTR )</t>
        </is>
      </c>
      <c r="AG47" s="125" t="n"/>
      <c r="AH47" s="125" t="n"/>
      <c r="AI47" s="125" t="n"/>
      <c r="AJ47" s="125" t="n"/>
      <c r="AK47" s="125" t="n"/>
      <c r="AL47" s="125" t="n"/>
      <c r="AM47" s="125" t="n"/>
      <c r="AN47" s="231" t="n"/>
    </row>
    <row r="48" ht="3" customHeight="1" s="684">
      <c r="A48" s="10" t="n"/>
      <c r="B48" s="3" t="n"/>
      <c r="C48" s="264" t="n"/>
      <c r="D48" s="264" t="n"/>
      <c r="E48" s="264" t="n"/>
      <c r="F48" s="264" t="n"/>
      <c r="G48" s="264" t="n"/>
      <c r="H48" s="264" t="n"/>
      <c r="I48" s="264" t="n"/>
      <c r="J48" s="187" t="n"/>
      <c r="K48" s="3" t="n"/>
      <c r="L48" s="264" t="n"/>
      <c r="M48" s="264" t="n"/>
      <c r="N48" s="44" t="n"/>
      <c r="O48" s="264" t="n"/>
      <c r="P48" s="264" t="n"/>
      <c r="Q48" s="44" t="n"/>
      <c r="R48" s="264" t="n"/>
      <c r="S48" s="187" t="n"/>
      <c r="T48" s="11" t="n"/>
      <c r="V48" s="3" t="n"/>
      <c r="W48" s="264" t="n"/>
      <c r="X48" s="264" t="n"/>
      <c r="Y48" s="44" t="n"/>
      <c r="Z48" s="264" t="n"/>
      <c r="AA48" s="264" t="n"/>
      <c r="AB48" s="44" t="n"/>
      <c r="AC48" s="264" t="n"/>
      <c r="AD48" s="187" t="n"/>
      <c r="AF48" s="3" t="n"/>
      <c r="AG48" s="264" t="n"/>
      <c r="AH48" s="264" t="n"/>
      <c r="AI48" s="44" t="n"/>
      <c r="AJ48" s="264" t="n"/>
      <c r="AK48" s="264" t="n"/>
      <c r="AL48" s="44" t="n"/>
      <c r="AM48" s="264" t="n"/>
      <c r="AN48" s="187" t="n"/>
    </row>
    <row r="49" ht="15" customHeight="1" s="684">
      <c r="A49" s="10" t="n"/>
      <c r="B49" s="99" t="inlineStr">
        <is>
          <t>RAB  :</t>
        </is>
      </c>
      <c r="C49" s="710" t="n">
        <v>50.1</v>
      </c>
      <c r="D49" s="706" t="n"/>
      <c r="E49" s="706" t="n"/>
      <c r="F49" s="100" t="inlineStr">
        <is>
          <t>Ran  :</t>
        </is>
      </c>
      <c r="G49" s="711" t="n">
        <v>0.000256</v>
      </c>
      <c r="H49" s="706" t="n"/>
      <c r="I49" s="706" t="n"/>
      <c r="J49" s="707" t="n"/>
      <c r="K49" s="708" t="inlineStr">
        <is>
          <t>AB / an</t>
        </is>
      </c>
      <c r="L49" s="135" t="n"/>
      <c r="M49" s="345" t="n"/>
      <c r="N49" s="408" t="inlineStr">
        <is>
          <t>BC / bn</t>
        </is>
      </c>
      <c r="O49" s="135" t="n"/>
      <c r="P49" s="345" t="n"/>
      <c r="Q49" s="708" t="inlineStr">
        <is>
          <t>CA / cn</t>
        </is>
      </c>
      <c r="R49" s="135" t="n"/>
      <c r="S49" s="345" t="n"/>
      <c r="T49" s="95" t="n"/>
      <c r="V49" s="708" t="inlineStr">
        <is>
          <t>AB / an</t>
        </is>
      </c>
      <c r="W49" s="135" t="n"/>
      <c r="X49" s="345" t="n"/>
      <c r="Y49" s="408" t="inlineStr">
        <is>
          <t>BC / bn</t>
        </is>
      </c>
      <c r="Z49" s="135" t="n"/>
      <c r="AA49" s="345" t="n"/>
      <c r="AB49" s="708" t="inlineStr">
        <is>
          <t>CA / cn</t>
        </is>
      </c>
      <c r="AC49" s="135" t="n"/>
      <c r="AD49" s="345" t="n"/>
      <c r="AF49" s="708" t="inlineStr">
        <is>
          <t>AB / an</t>
        </is>
      </c>
      <c r="AG49" s="135" t="n"/>
      <c r="AH49" s="345" t="n"/>
      <c r="AI49" s="408" t="inlineStr">
        <is>
          <t>BC / bn</t>
        </is>
      </c>
      <c r="AJ49" s="135" t="n"/>
      <c r="AK49" s="345" t="n"/>
      <c r="AL49" s="708" t="inlineStr">
        <is>
          <t>CA / cn</t>
        </is>
      </c>
      <c r="AM49" s="135" t="n"/>
      <c r="AN49" s="345" t="n"/>
    </row>
    <row r="50" ht="3" customHeight="1" s="684">
      <c r="A50" s="10" t="n"/>
      <c r="B50" s="85" t="n"/>
      <c r="C50" s="24" t="n"/>
      <c r="D50" s="24" t="n"/>
      <c r="E50" s="24" t="n"/>
      <c r="G50" s="32" t="n"/>
      <c r="H50" s="32" t="n"/>
      <c r="I50" s="32" t="n"/>
      <c r="J50" s="153" t="n"/>
      <c r="K50" s="3" t="n"/>
      <c r="L50" s="264" t="n"/>
      <c r="M50" s="187" t="n"/>
      <c r="N50" s="264" t="n"/>
      <c r="O50" s="264" t="n"/>
      <c r="P50" s="187" t="n"/>
      <c r="Q50" s="264" t="n"/>
      <c r="R50" s="264" t="n"/>
      <c r="S50" s="187" t="n"/>
      <c r="T50" s="11" t="n"/>
      <c r="V50" s="3" t="n"/>
      <c r="W50" s="264" t="n"/>
      <c r="X50" s="187" t="n"/>
      <c r="Y50" s="264" t="n"/>
      <c r="Z50" s="264" t="n"/>
      <c r="AA50" s="187" t="n"/>
      <c r="AB50" s="264" t="n"/>
      <c r="AC50" s="264" t="n"/>
      <c r="AD50" s="187" t="n"/>
      <c r="AF50" s="3" t="n"/>
      <c r="AG50" s="264" t="n"/>
      <c r="AH50" s="187" t="n"/>
      <c r="AI50" s="264" t="n"/>
      <c r="AJ50" s="264" t="n"/>
      <c r="AK50" s="187" t="n"/>
      <c r="AL50" s="264" t="n"/>
      <c r="AM50" s="264" t="n"/>
      <c r="AN50" s="187" t="n"/>
    </row>
    <row r="51" ht="15" customHeight="1" s="684">
      <c r="A51" s="10" t="n"/>
      <c r="B51" s="99" t="inlineStr">
        <is>
          <t>RAC  :</t>
        </is>
      </c>
      <c r="C51" s="710" t="n">
        <v>50</v>
      </c>
      <c r="D51" s="706" t="n"/>
      <c r="E51" s="706" t="n"/>
      <c r="F51" s="100" t="inlineStr">
        <is>
          <t>Rbn  :</t>
        </is>
      </c>
      <c r="G51" s="711" t="n">
        <v>0.000257</v>
      </c>
      <c r="H51" s="706" t="n"/>
      <c r="I51" s="706" t="n"/>
      <c r="J51" s="707" t="n"/>
      <c r="K51" s="709" t="n">
        <v>149.539</v>
      </c>
      <c r="L51" s="706" t="n"/>
      <c r="M51" s="707" t="n"/>
      <c r="N51" s="709" t="n">
        <v>149.785</v>
      </c>
      <c r="O51" s="706" t="n"/>
      <c r="P51" s="707" t="n"/>
      <c r="Q51" s="709" t="n">
        <v>149.585</v>
      </c>
      <c r="R51" s="706" t="n"/>
      <c r="S51" s="707" t="n"/>
      <c r="T51" s="11" t="n"/>
      <c r="V51" s="709">
        <f>V60/1.050038</f>
        <v/>
      </c>
      <c r="W51" s="706" t="n"/>
      <c r="X51" s="707" t="n"/>
      <c r="Y51" s="709">
        <f>Y60/1.050038</f>
        <v/>
      </c>
      <c r="Z51" s="706" t="n"/>
      <c r="AA51" s="707" t="n"/>
      <c r="AB51" s="709">
        <f>AB60/1.050038</f>
        <v/>
      </c>
      <c r="AC51" s="706" t="n"/>
      <c r="AD51" s="707" t="n"/>
      <c r="AF51" s="709">
        <f>K51</f>
        <v/>
      </c>
      <c r="AG51" s="706" t="n"/>
      <c r="AH51" s="707" t="n"/>
      <c r="AI51" s="709">
        <f>N51</f>
        <v/>
      </c>
      <c r="AJ51" s="706" t="n"/>
      <c r="AK51" s="707" t="n"/>
      <c r="AL51" s="709">
        <f>Q51</f>
        <v/>
      </c>
      <c r="AM51" s="706" t="n"/>
      <c r="AN51" s="707" t="n"/>
    </row>
    <row r="52" ht="3" customHeight="1" s="684">
      <c r="A52" s="10" t="n"/>
      <c r="B52" s="85" t="n"/>
      <c r="C52" s="24" t="n"/>
      <c r="D52" s="24" t="n"/>
      <c r="E52" s="24" t="n"/>
      <c r="G52" s="32" t="n"/>
      <c r="H52" s="32" t="n"/>
      <c r="I52" s="32" t="n"/>
      <c r="J52" s="153" t="n"/>
      <c r="K52" s="47" t="n"/>
      <c r="L52" s="48" t="n"/>
      <c r="M52" s="98" t="n"/>
      <c r="N52" s="47" t="n"/>
      <c r="O52" s="48" t="n"/>
      <c r="P52" s="98" t="n"/>
      <c r="Q52" s="48" t="n"/>
      <c r="R52" s="48" t="n"/>
      <c r="S52" s="98" t="n"/>
      <c r="T52" s="11" t="n"/>
      <c r="V52" s="47" t="n"/>
      <c r="W52" s="48" t="n"/>
      <c r="X52" s="98" t="n"/>
      <c r="Y52" s="47" t="n"/>
      <c r="Z52" s="48" t="n"/>
      <c r="AA52" s="98" t="n"/>
      <c r="AB52" s="48" t="n"/>
      <c r="AC52" s="48" t="n"/>
      <c r="AD52" s="98" t="n"/>
      <c r="AF52" s="47" t="n"/>
      <c r="AG52" s="48" t="n"/>
      <c r="AH52" s="98" t="n"/>
      <c r="AI52" s="47" t="n"/>
      <c r="AJ52" s="48" t="n"/>
      <c r="AK52" s="98" t="n"/>
      <c r="AL52" s="48" t="n"/>
      <c r="AM52" s="48" t="n"/>
      <c r="AN52" s="98" t="n"/>
    </row>
    <row r="53" ht="17.25" customHeight="1" s="684">
      <c r="A53" s="10" t="n"/>
      <c r="B53" s="99" t="inlineStr">
        <is>
          <t>RBC  :</t>
        </is>
      </c>
      <c r="C53" s="710" t="n">
        <v>50.2</v>
      </c>
      <c r="D53" s="706" t="n"/>
      <c r="E53" s="706" t="n"/>
      <c r="F53" s="100" t="inlineStr">
        <is>
          <t>Rcn  :</t>
        </is>
      </c>
      <c r="G53" s="711" t="n">
        <v>0.000251</v>
      </c>
      <c r="H53" s="706" t="n"/>
      <c r="I53" s="706" t="n"/>
      <c r="J53" s="707" t="n"/>
      <c r="K53" s="427" t="inlineStr">
        <is>
          <t xml:space="preserve">Kademe Bilgisi </t>
        </is>
      </c>
      <c r="L53" s="70" t="n"/>
      <c r="M53" s="70" t="n"/>
      <c r="N53" s="116" t="inlineStr">
        <is>
          <t>:</t>
        </is>
      </c>
      <c r="O53" s="463" t="n">
        <v>34500</v>
      </c>
      <c r="P53" s="116" t="n"/>
      <c r="Q53" s="175" t="inlineStr">
        <is>
          <t>/</t>
        </is>
      </c>
      <c r="R53" s="181" t="n">
        <v>230.9494</v>
      </c>
      <c r="S53" s="180" t="n"/>
      <c r="T53" s="95" t="n"/>
      <c r="V53" s="386" t="inlineStr">
        <is>
          <t xml:space="preserve">Kademe Bilgisi </t>
        </is>
      </c>
      <c r="W53" s="125" t="n"/>
      <c r="X53" s="125" t="n"/>
      <c r="Y53" s="125" t="inlineStr">
        <is>
          <t>:</t>
        </is>
      </c>
      <c r="Z53" s="389" t="inlineStr">
        <is>
          <t>30000 / 400</t>
        </is>
      </c>
      <c r="AA53" s="125" t="n"/>
      <c r="AB53" s="125" t="n"/>
      <c r="AC53" s="125" t="n"/>
      <c r="AD53" s="231" t="n"/>
      <c r="AF53" s="386" t="inlineStr">
        <is>
          <t xml:space="preserve">Kademe Bilgisi </t>
        </is>
      </c>
      <c r="AG53" s="125" t="n"/>
      <c r="AH53" s="125" t="n"/>
      <c r="AI53" s="125" t="inlineStr">
        <is>
          <t>:</t>
        </is>
      </c>
      <c r="AJ53" s="389" t="inlineStr">
        <is>
          <t>34500 / 400</t>
        </is>
      </c>
      <c r="AK53" s="125" t="n"/>
      <c r="AL53" s="125" t="n"/>
      <c r="AM53" s="125" t="n"/>
      <c r="AN53" s="231" t="n"/>
    </row>
    <row r="54" ht="3" customHeight="1" s="684">
      <c r="A54" s="10" t="n"/>
      <c r="B54" s="47" t="n"/>
      <c r="C54" s="48" t="n"/>
      <c r="D54" s="48" t="n"/>
      <c r="E54" s="48" t="n"/>
      <c r="F54" s="48" t="n"/>
      <c r="G54" s="48" t="n"/>
      <c r="H54" s="48" t="n"/>
      <c r="I54" s="48" t="n"/>
      <c r="J54" s="98" t="n"/>
      <c r="K54" s="712" t="n"/>
      <c r="L54" s="135" t="n"/>
      <c r="M54" s="135" t="n"/>
      <c r="N54" s="135" t="n"/>
      <c r="O54" s="135" t="n"/>
      <c r="P54" s="135" t="n"/>
      <c r="Q54" s="135" t="n"/>
      <c r="R54" s="135" t="n"/>
      <c r="S54" s="345" t="n"/>
      <c r="T54" s="11" t="n"/>
    </row>
    <row r="55" ht="3" customHeight="1" s="684">
      <c r="A55" s="10" t="n"/>
      <c r="B55" s="3" t="n"/>
      <c r="C55" s="264" t="n"/>
      <c r="D55" s="264" t="n"/>
      <c r="E55" s="264" t="n"/>
      <c r="F55" s="264" t="n"/>
      <c r="G55" s="264" t="n"/>
      <c r="H55" s="264" t="n"/>
      <c r="I55" s="264" t="n"/>
      <c r="J55" s="264" t="n"/>
      <c r="K55" s="264" t="n"/>
      <c r="L55" s="264" t="n"/>
      <c r="M55" s="264" t="n"/>
      <c r="N55" s="264" t="n"/>
      <c r="O55" s="264" t="n"/>
      <c r="P55" s="264" t="n"/>
      <c r="Q55" s="264" t="n"/>
      <c r="R55" s="264" t="n"/>
      <c r="S55" s="187" t="n"/>
      <c r="T55" s="11" t="n"/>
    </row>
    <row r="56" ht="15.75" customHeight="1" s="684">
      <c r="A56" s="10" t="n"/>
      <c r="B56" s="705" t="inlineStr">
        <is>
          <t>İZOLASYON (YALITIM) DİRENÇLERİ ( Ω )</t>
        </is>
      </c>
      <c r="C56" s="125" t="n"/>
      <c r="D56" s="125" t="n"/>
      <c r="E56" s="125" t="n"/>
      <c r="F56" s="125" t="n"/>
      <c r="G56" s="125" t="n"/>
      <c r="H56" s="125" t="n"/>
      <c r="I56" s="125" t="n"/>
      <c r="J56" s="125" t="n"/>
      <c r="K56" s="125" t="n"/>
      <c r="L56" s="125" t="n"/>
      <c r="M56" s="125" t="n"/>
      <c r="N56" s="125" t="n"/>
      <c r="O56" s="125" t="n"/>
      <c r="P56" s="125" t="n"/>
      <c r="Q56" s="125" t="n"/>
      <c r="R56" s="125" t="n"/>
      <c r="S56" s="231" t="n"/>
      <c r="T56" s="11" t="n"/>
      <c r="V56" s="705" t="inlineStr">
        <is>
          <t>ÇEVİRME ORANI  ( TTR )</t>
        </is>
      </c>
      <c r="W56" s="125" t="n"/>
      <c r="X56" s="125" t="n"/>
      <c r="Y56" s="125" t="n"/>
      <c r="Z56" s="125" t="n"/>
      <c r="AA56" s="125" t="n"/>
      <c r="AB56" s="125" t="n"/>
      <c r="AC56" s="125" t="n"/>
      <c r="AD56" s="231" t="n"/>
      <c r="AF56" s="705" t="inlineStr">
        <is>
          <t>ÇEVİRME ORANI  ( TTR )</t>
        </is>
      </c>
      <c r="AG56" s="125" t="n"/>
      <c r="AH56" s="125" t="n"/>
      <c r="AI56" s="125" t="n"/>
      <c r="AJ56" s="125" t="n"/>
      <c r="AK56" s="125" t="n"/>
      <c r="AL56" s="125" t="n"/>
      <c r="AM56" s="125" t="n"/>
      <c r="AN56" s="231" t="n"/>
    </row>
    <row r="57" ht="3" customHeight="1" s="684">
      <c r="A57" s="10" t="n"/>
      <c r="B57" s="3" t="n"/>
      <c r="C57" s="264" t="n"/>
      <c r="D57" s="264" t="n"/>
      <c r="E57" s="264" t="n"/>
      <c r="F57" s="264" t="n"/>
      <c r="G57" s="24" t="n"/>
      <c r="H57" s="264" t="n"/>
      <c r="I57" s="264" t="n"/>
      <c r="J57" s="264" t="n"/>
      <c r="K57" s="264" t="n"/>
      <c r="L57" s="264" t="n"/>
      <c r="M57" s="264" t="n"/>
      <c r="N57" s="264" t="n"/>
      <c r="O57" s="264" t="n"/>
      <c r="P57" s="264" t="n"/>
      <c r="Q57" s="264" t="n"/>
      <c r="R57" s="264" t="n"/>
      <c r="S57" s="187" t="n"/>
      <c r="T57" s="11" t="n"/>
      <c r="V57" s="3" t="n"/>
      <c r="W57" s="264" t="n"/>
      <c r="X57" s="264" t="n"/>
      <c r="Y57" s="44" t="n"/>
      <c r="Z57" s="264" t="n"/>
      <c r="AA57" s="264" t="n"/>
      <c r="AB57" s="44" t="n"/>
      <c r="AC57" s="264" t="n"/>
      <c r="AD57" s="187" t="n"/>
      <c r="AF57" s="3" t="n"/>
      <c r="AG57" s="264" t="n"/>
      <c r="AH57" s="264" t="n"/>
      <c r="AI57" s="44" t="n"/>
      <c r="AJ57" s="264" t="n"/>
      <c r="AK57" s="264" t="n"/>
      <c r="AL57" s="44" t="n"/>
      <c r="AM57" s="264" t="n"/>
      <c r="AN57" s="187" t="n"/>
    </row>
    <row r="58">
      <c r="A58" s="10" t="n"/>
      <c r="B58" s="3" t="n"/>
      <c r="C58" s="264" t="n"/>
      <c r="D58" s="264" t="n"/>
      <c r="E58" s="264" t="n"/>
      <c r="F58" s="417" t="inlineStr">
        <is>
          <t>30 sn</t>
        </is>
      </c>
      <c r="H58" s="264" t="n"/>
      <c r="I58" s="417" t="inlineStr">
        <is>
          <t>45 sn</t>
        </is>
      </c>
      <c r="K58" s="264" t="n"/>
      <c r="L58" s="417" t="inlineStr">
        <is>
          <t>60 sn</t>
        </is>
      </c>
      <c r="O58" s="418" t="inlineStr">
        <is>
          <t>Birim</t>
        </is>
      </c>
      <c r="Q58" s="420" t="inlineStr">
        <is>
          <t xml:space="preserve">       DAR</t>
        </is>
      </c>
      <c r="S58" s="344" t="n"/>
      <c r="T58" s="11" t="n"/>
      <c r="V58" s="708" t="inlineStr">
        <is>
          <t>AB / an</t>
        </is>
      </c>
      <c r="W58" s="135" t="n"/>
      <c r="X58" s="345" t="n"/>
      <c r="Y58" s="408" t="inlineStr">
        <is>
          <t>BC / bn</t>
        </is>
      </c>
      <c r="Z58" s="135" t="n"/>
      <c r="AA58" s="345" t="n"/>
      <c r="AB58" s="708" t="inlineStr">
        <is>
          <t>CA / cn</t>
        </is>
      </c>
      <c r="AC58" s="135" t="n"/>
      <c r="AD58" s="345" t="n"/>
      <c r="AF58" s="708" t="inlineStr">
        <is>
          <t>AB / an</t>
        </is>
      </c>
      <c r="AG58" s="135" t="n"/>
      <c r="AH58" s="345" t="n"/>
      <c r="AI58" s="408" t="inlineStr">
        <is>
          <t>BC / bn</t>
        </is>
      </c>
      <c r="AJ58" s="135" t="n"/>
      <c r="AK58" s="345" t="n"/>
      <c r="AL58" s="708" t="inlineStr">
        <is>
          <t>CA / cn</t>
        </is>
      </c>
      <c r="AM58" s="135" t="n"/>
      <c r="AN58" s="345" t="n"/>
    </row>
    <row r="59" ht="3" customHeight="1" s="684">
      <c r="A59" s="10" t="n"/>
      <c r="B59" s="75" t="n"/>
      <c r="C59" s="76" t="n"/>
      <c r="D59" s="76" t="n"/>
      <c r="E59" s="76" t="n"/>
      <c r="F59" s="76" t="n"/>
      <c r="G59" s="76" t="n"/>
      <c r="H59" s="76" t="n"/>
      <c r="I59" s="76" t="n"/>
      <c r="J59" s="76" t="n"/>
      <c r="K59" s="76" t="n"/>
      <c r="L59" s="76" t="n"/>
      <c r="M59" s="76" t="n"/>
      <c r="N59" s="76" t="n"/>
      <c r="O59" s="76" t="n"/>
      <c r="P59" s="76" t="n"/>
      <c r="Q59" s="76" t="n"/>
      <c r="R59" s="76" t="n"/>
      <c r="S59" s="77" t="n"/>
      <c r="T59" s="11" t="n"/>
      <c r="V59" s="3" t="n"/>
      <c r="W59" s="264" t="n"/>
      <c r="X59" s="187" t="n"/>
      <c r="Y59" s="264" t="n"/>
      <c r="Z59" s="264" t="n"/>
      <c r="AA59" s="187" t="n"/>
      <c r="AB59" s="264" t="n"/>
      <c r="AC59" s="264" t="n"/>
      <c r="AD59" s="187" t="n"/>
      <c r="AF59" s="3" t="n"/>
      <c r="AG59" s="264" t="n"/>
      <c r="AH59" s="187" t="n"/>
      <c r="AI59" s="264" t="n"/>
      <c r="AJ59" s="264" t="n"/>
      <c r="AK59" s="187" t="n"/>
      <c r="AL59" s="264" t="n"/>
      <c r="AM59" s="264" t="n"/>
      <c r="AN59" s="187" t="n"/>
    </row>
    <row r="60" ht="15" customHeight="1" s="684">
      <c r="A60" s="10" t="n"/>
      <c r="B60" s="390" t="inlineStr">
        <is>
          <t>Y.G - TANK</t>
        </is>
      </c>
      <c r="E60" s="699" t="n"/>
      <c r="F60" s="396" t="n">
        <v>1111</v>
      </c>
      <c r="G60" s="706" t="n"/>
      <c r="H60" s="142" t="n"/>
      <c r="I60" s="396" t="n">
        <v>2311</v>
      </c>
      <c r="J60" s="706" t="n"/>
      <c r="K60" s="142" t="n"/>
      <c r="L60" s="396" t="n">
        <v>3456</v>
      </c>
      <c r="M60" s="706" t="n"/>
      <c r="N60" s="699" t="n"/>
      <c r="O60" s="665" t="inlineStr">
        <is>
          <t>G</t>
        </is>
      </c>
      <c r="P60" s="121" t="inlineStr">
        <is>
          <t>Ω</t>
        </is>
      </c>
      <c r="Q60" s="464">
        <f>L60/F60</f>
        <v/>
      </c>
      <c r="R60" s="706" t="n"/>
      <c r="S60" s="139" t="n"/>
      <c r="T60" s="11" t="n"/>
      <c r="V60" s="709">
        <f>AF42/1.04758</f>
        <v/>
      </c>
      <c r="W60" s="706" t="n"/>
      <c r="X60" s="707" t="n"/>
      <c r="Y60" s="709">
        <f>AI42/1.04758</f>
        <v/>
      </c>
      <c r="Z60" s="706" t="n"/>
      <c r="AA60" s="707" t="n"/>
      <c r="AB60" s="709">
        <f>AL42/1.04758</f>
        <v/>
      </c>
      <c r="AC60" s="706" t="n"/>
      <c r="AD60" s="707" t="n"/>
      <c r="AF60" s="709">
        <f>AF51*1.043443</f>
        <v/>
      </c>
      <c r="AG60" s="706" t="n"/>
      <c r="AH60" s="707" t="n"/>
      <c r="AI60" s="709">
        <f>AI51*1.043443</f>
        <v/>
      </c>
      <c r="AJ60" s="706" t="n"/>
      <c r="AK60" s="707" t="n"/>
      <c r="AL60" s="709">
        <f>AL51*1.043443</f>
        <v/>
      </c>
      <c r="AM60" s="706" t="n"/>
      <c r="AN60" s="707" t="n"/>
    </row>
    <row r="61" ht="3" customHeight="1" s="684">
      <c r="A61" s="10" t="n"/>
      <c r="B61" s="107" t="n"/>
      <c r="C61" s="108" t="n"/>
      <c r="D61" s="108" t="n"/>
      <c r="E61" s="264" t="n"/>
      <c r="F61" s="143" t="n"/>
      <c r="G61" s="143" t="n"/>
      <c r="H61" s="143" t="n"/>
      <c r="I61" s="143" t="n"/>
      <c r="J61" s="143" t="n"/>
      <c r="K61" s="143" t="n"/>
      <c r="L61" s="143" t="n"/>
      <c r="M61" s="143" t="n"/>
      <c r="N61" s="264" t="n"/>
      <c r="O61" s="665" t="n"/>
      <c r="P61" s="122" t="n"/>
      <c r="Q61" s="137" t="n"/>
      <c r="R61" s="137" t="n"/>
      <c r="S61" s="138" t="n"/>
      <c r="T61" s="11" t="n"/>
      <c r="V61" s="47" t="n"/>
      <c r="W61" s="48" t="n"/>
      <c r="X61" s="98" t="n"/>
      <c r="Y61" s="47" t="n"/>
      <c r="Z61" s="48" t="n"/>
      <c r="AA61" s="98" t="n"/>
      <c r="AB61" s="48" t="n"/>
      <c r="AC61" s="48" t="n"/>
      <c r="AD61" s="98" t="n"/>
      <c r="AF61" s="47" t="n"/>
      <c r="AG61" s="48" t="n"/>
      <c r="AH61" s="98" t="n"/>
      <c r="AI61" s="47" t="n"/>
      <c r="AJ61" s="48" t="n"/>
      <c r="AK61" s="98" t="n"/>
      <c r="AL61" s="48" t="n"/>
      <c r="AM61" s="48" t="n"/>
      <c r="AN61" s="98" t="n"/>
    </row>
    <row r="62" ht="15.75" customHeight="1" s="684">
      <c r="A62" s="10" t="n"/>
      <c r="B62" s="390" t="inlineStr">
        <is>
          <t>A.G - TANK</t>
        </is>
      </c>
      <c r="E62" s="264" t="n"/>
      <c r="F62" s="396" t="n">
        <v>1111</v>
      </c>
      <c r="G62" s="706" t="n"/>
      <c r="H62" s="143" t="n"/>
      <c r="I62" s="396" t="n">
        <v>3232</v>
      </c>
      <c r="J62" s="706" t="n"/>
      <c r="K62" s="143" t="n"/>
      <c r="L62" s="396" t="n">
        <v>3456</v>
      </c>
      <c r="M62" s="706" t="n"/>
      <c r="N62" s="57" t="n"/>
      <c r="O62" s="665" t="inlineStr">
        <is>
          <t>G</t>
        </is>
      </c>
      <c r="P62" s="121" t="inlineStr">
        <is>
          <t>Ω</t>
        </is>
      </c>
      <c r="Q62" s="464">
        <f>L62/F62</f>
        <v/>
      </c>
      <c r="R62" s="706" t="n"/>
      <c r="S62" s="139" t="n"/>
      <c r="T62" s="11" t="n"/>
      <c r="V62" s="386" t="inlineStr">
        <is>
          <t xml:space="preserve">Kademe Bilgisi </t>
        </is>
      </c>
      <c r="W62" s="125" t="n"/>
      <c r="X62" s="125" t="n"/>
      <c r="Y62" s="125" t="inlineStr">
        <is>
          <t>:</t>
        </is>
      </c>
      <c r="Z62" s="389" t="inlineStr">
        <is>
          <t>31500 / 400</t>
        </is>
      </c>
      <c r="AA62" s="125" t="n"/>
      <c r="AB62" s="125" t="n"/>
      <c r="AC62" s="125" t="n"/>
      <c r="AD62" s="231" t="n"/>
      <c r="AF62" s="386" t="inlineStr">
        <is>
          <t xml:space="preserve">Kademe Bilgisi </t>
        </is>
      </c>
      <c r="AG62" s="125" t="n"/>
      <c r="AH62" s="125" t="n"/>
      <c r="AI62" s="125" t="inlineStr">
        <is>
          <t>:</t>
        </is>
      </c>
      <c r="AJ62" s="389" t="inlineStr">
        <is>
          <t>36000 / 400</t>
        </is>
      </c>
      <c r="AK62" s="125" t="n"/>
      <c r="AL62" s="125" t="n"/>
      <c r="AM62" s="125" t="n"/>
      <c r="AN62" s="231" t="n"/>
    </row>
    <row r="63" ht="3" customHeight="1" s="684">
      <c r="A63" s="10" t="n"/>
      <c r="B63" s="390" t="n"/>
      <c r="C63" s="108" t="n"/>
      <c r="D63" s="108" t="n"/>
      <c r="E63" s="264" t="n"/>
      <c r="F63" s="143" t="n"/>
      <c r="G63" s="143" t="n"/>
      <c r="H63" s="143" t="n"/>
      <c r="I63" s="143" t="n"/>
      <c r="J63" s="143" t="n"/>
      <c r="K63" s="143" t="n"/>
      <c r="L63" s="143" t="n"/>
      <c r="M63" s="143" t="n"/>
      <c r="N63" s="57" t="n"/>
      <c r="O63" s="665" t="n"/>
      <c r="P63" s="123" t="n"/>
      <c r="Q63" s="137" t="n"/>
      <c r="R63" s="137" t="n"/>
      <c r="S63" s="138" t="n"/>
      <c r="T63" s="11" t="n"/>
    </row>
    <row r="64" ht="15.75" customHeight="1" s="684">
      <c r="A64" s="10" t="n"/>
      <c r="B64" s="390" t="inlineStr">
        <is>
          <t>Y.G - A.G</t>
        </is>
      </c>
      <c r="E64" s="264" t="n"/>
      <c r="F64" s="396" t="n">
        <v>1111</v>
      </c>
      <c r="G64" s="706" t="n"/>
      <c r="H64" s="143" t="n"/>
      <c r="I64" s="396" t="n">
        <v>3232</v>
      </c>
      <c r="J64" s="706" t="n"/>
      <c r="K64" s="143" t="n"/>
      <c r="L64" s="396" t="n">
        <v>3345</v>
      </c>
      <c r="M64" s="706" t="n"/>
      <c r="N64" s="264" t="n"/>
      <c r="O64" s="665" t="inlineStr">
        <is>
          <t>G</t>
        </is>
      </c>
      <c r="P64" s="121" t="inlineStr">
        <is>
          <t>Ω</t>
        </is>
      </c>
      <c r="Q64" s="464">
        <f>L64/F64</f>
        <v/>
      </c>
      <c r="R64" s="706" t="n"/>
      <c r="S64" s="139" t="n"/>
      <c r="T64" s="11" t="n"/>
    </row>
    <row r="65" ht="3" customHeight="1" s="684">
      <c r="A65" s="10" t="n"/>
      <c r="B65" s="110" t="n"/>
      <c r="C65" s="111" t="n"/>
      <c r="D65" s="111" t="n"/>
      <c r="E65" s="48" t="n"/>
      <c r="F65" s="48" t="n"/>
      <c r="G65" s="48" t="n"/>
      <c r="H65" s="48" t="n"/>
      <c r="I65" s="48" t="n"/>
      <c r="J65" s="48" t="n"/>
      <c r="K65" s="48" t="n"/>
      <c r="L65" s="48" t="n"/>
      <c r="M65" s="48" t="n"/>
      <c r="N65" s="48" t="n"/>
      <c r="O65" s="135" t="n"/>
      <c r="P65" s="101" t="n"/>
      <c r="Q65" s="407" t="n"/>
      <c r="R65" s="407" t="n"/>
      <c r="S65" s="408" t="n"/>
      <c r="T65" s="11" t="n"/>
    </row>
    <row r="66" ht="3" customHeight="1" s="684">
      <c r="A66" s="10" t="n"/>
      <c r="B66" s="145" t="n"/>
      <c r="C66" s="68" t="n"/>
      <c r="D66" s="68" t="n"/>
      <c r="E66" s="68" t="n"/>
      <c r="F66" s="68" t="n"/>
      <c r="G66" s="68" t="n"/>
      <c r="H66" s="68" t="n"/>
      <c r="I66" s="68" t="n"/>
      <c r="J66" s="68" t="n"/>
      <c r="K66" s="68" t="n"/>
      <c r="L66" s="68" t="n"/>
      <c r="M66" s="68" t="n"/>
      <c r="N66" s="68" t="n"/>
      <c r="O66" s="68" t="n"/>
      <c r="P66" s="68" t="n"/>
      <c r="Q66" s="68" t="n"/>
      <c r="R66" s="68" t="n"/>
      <c r="S66" s="693" t="n"/>
      <c r="T66" s="11" t="n"/>
    </row>
    <row r="67" ht="15.75" customHeight="1" s="684">
      <c r="A67" s="10" t="n"/>
      <c r="B67" s="713" t="inlineStr">
        <is>
          <t>NOTLAR : Trafonun rutin bakımları ve izolasyon testleri yapıldı. Herhangi bir olumsuzluğa rastlanmadı.</t>
        </is>
      </c>
      <c r="S67" s="344" t="n"/>
      <c r="T67" s="11" t="n"/>
    </row>
    <row r="68" ht="15" customHeight="1" s="684">
      <c r="A68" s="10" t="n"/>
      <c r="B68" s="85" t="n"/>
      <c r="S68" s="344" t="n"/>
      <c r="T68" s="11" t="n"/>
    </row>
    <row r="69" ht="15.75" customHeight="1" s="684">
      <c r="A69" s="10" t="n"/>
      <c r="B69" s="85" t="n"/>
      <c r="S69" s="344" t="n"/>
      <c r="T69" s="11" t="n"/>
    </row>
    <row r="70" ht="15.75" customHeight="1" s="684">
      <c r="A70" s="10" t="n"/>
      <c r="B70" s="85" t="n"/>
      <c r="S70" s="344" t="n"/>
      <c r="T70" s="11" t="n"/>
      <c r="U70" s="10" t="n"/>
    </row>
    <row r="71" ht="4.5" customHeight="1" s="684">
      <c r="A71" s="10" t="n"/>
      <c r="B71" s="313" t="n"/>
      <c r="C71" s="340" t="n"/>
      <c r="D71" s="340" t="n"/>
      <c r="E71" s="340" t="n"/>
      <c r="F71" s="340" t="n"/>
      <c r="G71" s="340" t="n"/>
      <c r="H71" s="340" t="n"/>
      <c r="I71" s="340" t="n"/>
      <c r="J71" s="340" t="n"/>
      <c r="K71" s="340" t="n"/>
      <c r="L71" s="340" t="n"/>
      <c r="M71" s="340" t="n"/>
      <c r="N71" s="340" t="n"/>
      <c r="O71" s="340" t="n"/>
      <c r="P71" s="340" t="n"/>
      <c r="Q71" s="340" t="n"/>
      <c r="R71" s="340" t="n"/>
      <c r="S71" s="315" t="n"/>
      <c r="T71" s="11" t="n"/>
    </row>
    <row r="72" ht="16.5" customHeight="1" s="684">
      <c r="A72" s="10" t="n"/>
      <c r="B72" s="392" t="inlineStr">
        <is>
          <t>Rapor Tarihi</t>
        </is>
      </c>
      <c r="C72" s="70" t="n"/>
      <c r="D72" s="70" t="n"/>
      <c r="E72" s="333" t="inlineStr">
        <is>
          <t>:</t>
        </is>
      </c>
      <c r="F72" s="395">
        <f>'KAPAK SAYFASI'!D55</f>
        <v/>
      </c>
      <c r="G72" s="70" t="n"/>
      <c r="H72" s="70" t="n"/>
      <c r="I72" s="70" t="n"/>
      <c r="J72" s="343" t="n"/>
      <c r="K72" s="541" t="inlineStr">
        <is>
          <t>ONAYLAYAN</t>
        </is>
      </c>
      <c r="L72" s="125" t="n"/>
      <c r="M72" s="125" t="n"/>
      <c r="N72" s="125" t="n"/>
      <c r="O72" s="125" t="n"/>
      <c r="P72" s="125" t="n"/>
      <c r="Q72" s="125" t="n"/>
      <c r="R72" s="125" t="n"/>
      <c r="S72" s="231" t="n"/>
      <c r="T72" s="11" t="n"/>
    </row>
    <row r="73" ht="16.5" customHeight="1" s="684">
      <c r="A73" s="10" t="n"/>
      <c r="B73" s="459" t="inlineStr">
        <is>
          <t>Test Tarihi</t>
        </is>
      </c>
      <c r="E73" s="291" t="inlineStr">
        <is>
          <t>:</t>
        </is>
      </c>
      <c r="F73" s="714">
        <f>'KAPAK SAYFASI'!D54</f>
        <v/>
      </c>
      <c r="J73" s="344" t="n"/>
      <c r="K73" s="292" t="inlineStr">
        <is>
          <t>Ahmet YILMAZ</t>
        </is>
      </c>
      <c r="L73" s="293" t="n"/>
      <c r="M73" s="291" t="n"/>
      <c r="N73" s="715" t="n"/>
      <c r="O73" s="715" t="n"/>
      <c r="P73" s="715" t="n"/>
      <c r="Q73" s="715" t="n"/>
      <c r="R73" s="715" t="n"/>
      <c r="S73" s="716" t="n"/>
      <c r="T73" s="11" t="n"/>
    </row>
    <row r="74" ht="16.5" customHeight="1" s="684">
      <c r="A74" s="10" t="n"/>
      <c r="B74" s="459" t="inlineStr">
        <is>
          <t>Unvan</t>
        </is>
      </c>
      <c r="E74" s="291" t="inlineStr">
        <is>
          <t>:</t>
        </is>
      </c>
      <c r="F74" s="618" t="inlineStr">
        <is>
          <t>Elektrik Mühendisi</t>
        </is>
      </c>
      <c r="J74" s="344" t="n"/>
      <c r="K74" s="292" t="n"/>
      <c r="L74" s="293" t="n"/>
      <c r="M74" s="291" t="n"/>
      <c r="N74" s="291" t="n"/>
      <c r="O74" s="291" t="n"/>
      <c r="P74" s="291" t="n"/>
      <c r="Q74" s="291" t="n"/>
      <c r="R74" s="291" t="n"/>
      <c r="S74" s="301" t="n"/>
      <c r="T74" s="11" t="n"/>
    </row>
    <row r="75" ht="16.5" customHeight="1" s="684">
      <c r="A75" s="10" t="n"/>
      <c r="B75" s="459" t="inlineStr">
        <is>
          <t>Sicil No</t>
        </is>
      </c>
      <c r="E75" s="291" t="inlineStr">
        <is>
          <t>:</t>
        </is>
      </c>
      <c r="F75" s="466" t="n">
        <v>12345</v>
      </c>
      <c r="J75" s="344" t="n"/>
      <c r="K75" s="459" t="n"/>
      <c r="L75" s="435" t="n"/>
      <c r="M75" s="291" t="n"/>
      <c r="N75" s="465" t="n"/>
      <c r="O75" s="465" t="n"/>
      <c r="P75" s="465" t="n"/>
      <c r="Q75" s="465" t="n"/>
      <c r="R75" s="465" t="n"/>
      <c r="S75" s="466" t="n"/>
      <c r="T75" s="11" t="n"/>
    </row>
    <row r="76" ht="16.5" customHeight="1" s="684">
      <c r="A76" s="10" t="n"/>
      <c r="B76" s="467" t="inlineStr">
        <is>
          <t>Ekipnet No</t>
        </is>
      </c>
      <c r="C76" s="135" t="n"/>
      <c r="D76" s="135" t="n"/>
      <c r="E76" s="296" t="inlineStr">
        <is>
          <t>:</t>
        </is>
      </c>
      <c r="F76" s="616" t="inlineStr">
        <is>
          <t>K202439698</t>
        </is>
      </c>
      <c r="G76" s="135" t="n"/>
      <c r="H76" s="135" t="n"/>
      <c r="I76" s="135" t="n"/>
      <c r="J76" s="345" t="n"/>
      <c r="K76" s="467" t="n"/>
      <c r="L76" s="468" t="n"/>
      <c r="M76" s="296" t="n"/>
      <c r="N76" s="457" t="n"/>
      <c r="O76" s="457" t="n"/>
      <c r="P76" s="457" t="n"/>
      <c r="Q76" s="457" t="n"/>
      <c r="R76" s="457" t="n"/>
      <c r="S76" s="458" t="n"/>
      <c r="T76" s="11" t="n"/>
    </row>
    <row r="77" ht="6" customHeight="1" s="684" thickBot="1">
      <c r="A77" s="15" t="n"/>
      <c r="B77" s="16" t="n"/>
      <c r="C77" s="16" t="n"/>
      <c r="D77" s="16" t="n"/>
      <c r="E77" s="16" t="n"/>
      <c r="F77" s="16" t="n"/>
      <c r="G77" s="16" t="n"/>
      <c r="H77" s="16" t="n"/>
      <c r="I77" s="16" t="n"/>
      <c r="J77" s="16" t="n"/>
      <c r="K77" s="16" t="n"/>
      <c r="L77" s="16" t="n"/>
      <c r="M77" s="16" t="n"/>
      <c r="N77" s="16" t="n"/>
      <c r="O77" s="16" t="n"/>
      <c r="P77" s="16" t="n"/>
      <c r="Q77" s="16" t="n"/>
      <c r="R77" s="16" t="n"/>
      <c r="S77" s="16" t="n"/>
      <c r="T77" s="17" t="n"/>
    </row>
  </sheetData>
  <mergeCells count="163">
    <mergeCell ref="B60:D60"/>
    <mergeCell ref="O53:P53"/>
    <mergeCell ref="Q62:R62"/>
    <mergeCell ref="B23:S23"/>
    <mergeCell ref="Y40:AA40"/>
    <mergeCell ref="C51:E51"/>
    <mergeCell ref="B36:E36"/>
    <mergeCell ref="F74:J74"/>
    <mergeCell ref="V49:X49"/>
    <mergeCell ref="B38:S38"/>
    <mergeCell ref="Q64:R64"/>
    <mergeCell ref="AL42:AN42"/>
    <mergeCell ref="B42:F42"/>
    <mergeCell ref="AF42:AH42"/>
    <mergeCell ref="K5:S6"/>
    <mergeCell ref="F76:J76"/>
    <mergeCell ref="K17:M17"/>
    <mergeCell ref="V53:X53"/>
    <mergeCell ref="I58:J58"/>
    <mergeCell ref="AI58:AK58"/>
    <mergeCell ref="B44:F44"/>
    <mergeCell ref="G34:H34"/>
    <mergeCell ref="F75:J75"/>
    <mergeCell ref="D47:H47"/>
    <mergeCell ref="K26:N26"/>
    <mergeCell ref="AF38:AN38"/>
    <mergeCell ref="AI42:AK42"/>
    <mergeCell ref="P32:Q32"/>
    <mergeCell ref="C49:E49"/>
    <mergeCell ref="V47:AD47"/>
    <mergeCell ref="V56:AD56"/>
    <mergeCell ref="B62:D62"/>
    <mergeCell ref="B72:D72"/>
    <mergeCell ref="G53:J53"/>
    <mergeCell ref="B13:E13"/>
    <mergeCell ref="AI60:AK60"/>
    <mergeCell ref="AB40:AD40"/>
    <mergeCell ref="AJ44:AN44"/>
    <mergeCell ref="K11:M11"/>
    <mergeCell ref="Q58:S58"/>
    <mergeCell ref="P26:Q26"/>
    <mergeCell ref="F73:J73"/>
    <mergeCell ref="K72:S72"/>
    <mergeCell ref="B73:D73"/>
    <mergeCell ref="B32:E32"/>
    <mergeCell ref="P34:Q34"/>
    <mergeCell ref="B26:E26"/>
    <mergeCell ref="AF58:AH58"/>
    <mergeCell ref="B74:D74"/>
    <mergeCell ref="P36:Q36"/>
    <mergeCell ref="K44:O44"/>
    <mergeCell ref="Z62:AD62"/>
    <mergeCell ref="AF60:AH60"/>
    <mergeCell ref="K40:O40"/>
    <mergeCell ref="AL58:AN58"/>
    <mergeCell ref="Q40:R40"/>
    <mergeCell ref="B76:D76"/>
    <mergeCell ref="N49:P49"/>
    <mergeCell ref="H2:J3"/>
    <mergeCell ref="F62:G62"/>
    <mergeCell ref="AB42:AD42"/>
    <mergeCell ref="B11:E11"/>
    <mergeCell ref="P28:Q28"/>
    <mergeCell ref="K49:M49"/>
    <mergeCell ref="AL60:AN60"/>
    <mergeCell ref="B75:D75"/>
    <mergeCell ref="K32:N32"/>
    <mergeCell ref="B67:S70"/>
    <mergeCell ref="AF56:AN56"/>
    <mergeCell ref="O58:P58"/>
    <mergeCell ref="V58:X58"/>
    <mergeCell ref="Z44:AD44"/>
    <mergeCell ref="P30:Q30"/>
    <mergeCell ref="AF49:AH49"/>
    <mergeCell ref="G49:J49"/>
    <mergeCell ref="V38:AD38"/>
    <mergeCell ref="K54:S54"/>
    <mergeCell ref="B56:S56"/>
    <mergeCell ref="I60:J60"/>
    <mergeCell ref="O13:S13"/>
    <mergeCell ref="F64:G64"/>
    <mergeCell ref="Q51:S51"/>
    <mergeCell ref="K47:S47"/>
    <mergeCell ref="V44:X44"/>
    <mergeCell ref="AI49:AK49"/>
    <mergeCell ref="AF62:AH62"/>
    <mergeCell ref="AF44:AH44"/>
    <mergeCell ref="O15:S15"/>
    <mergeCell ref="B15:E15"/>
    <mergeCell ref="V40:X40"/>
    <mergeCell ref="Q42:R42"/>
    <mergeCell ref="Y60:AA60"/>
    <mergeCell ref="AI51:AK51"/>
    <mergeCell ref="H40:I40"/>
    <mergeCell ref="V51:X51"/>
    <mergeCell ref="K28:N28"/>
    <mergeCell ref="V60:X60"/>
    <mergeCell ref="AF51:AH51"/>
    <mergeCell ref="Q49:S49"/>
    <mergeCell ref="K30:N30"/>
    <mergeCell ref="B9:S9"/>
    <mergeCell ref="G11:J11"/>
    <mergeCell ref="AL51:AN51"/>
    <mergeCell ref="AF47:AN47"/>
    <mergeCell ref="L58:M58"/>
    <mergeCell ref="V62:X62"/>
    <mergeCell ref="K13:M13"/>
    <mergeCell ref="I62:J62"/>
    <mergeCell ref="AJ62:AN62"/>
    <mergeCell ref="Y42:AA42"/>
    <mergeCell ref="L60:M60"/>
    <mergeCell ref="K15:M15"/>
    <mergeCell ref="I64:J64"/>
    <mergeCell ref="G13:J13"/>
    <mergeCell ref="B17:E17"/>
    <mergeCell ref="V42:X42"/>
    <mergeCell ref="AB58:AD58"/>
    <mergeCell ref="K2:S3"/>
    <mergeCell ref="G32:H32"/>
    <mergeCell ref="H42:I42"/>
    <mergeCell ref="AL49:AN49"/>
    <mergeCell ref="Y58:AA58"/>
    <mergeCell ref="AI40:AK40"/>
    <mergeCell ref="G15:J15"/>
    <mergeCell ref="B19:E19"/>
    <mergeCell ref="K51:M51"/>
    <mergeCell ref="B34:E34"/>
    <mergeCell ref="B28:E28"/>
    <mergeCell ref="AB60:AD60"/>
    <mergeCell ref="AF53:AH53"/>
    <mergeCell ref="Y51:AA51"/>
    <mergeCell ref="G51:J51"/>
    <mergeCell ref="B30:E30"/>
    <mergeCell ref="H5:J6"/>
    <mergeCell ref="G36:H36"/>
    <mergeCell ref="H44:I44"/>
    <mergeCell ref="Z53:AD53"/>
    <mergeCell ref="L62:M62"/>
    <mergeCell ref="Y49:AA49"/>
    <mergeCell ref="K34:N34"/>
    <mergeCell ref="G28:H28"/>
    <mergeCell ref="K53:M53"/>
    <mergeCell ref="AF40:AH40"/>
    <mergeCell ref="B64:D64"/>
    <mergeCell ref="B6:G6"/>
    <mergeCell ref="L64:M64"/>
    <mergeCell ref="Q60:R60"/>
    <mergeCell ref="K19:M19"/>
    <mergeCell ref="K36:N36"/>
    <mergeCell ref="G17:J17"/>
    <mergeCell ref="C53:E53"/>
    <mergeCell ref="F72:J72"/>
    <mergeCell ref="Q44:R44"/>
    <mergeCell ref="AJ53:AN53"/>
    <mergeCell ref="K42:O42"/>
    <mergeCell ref="AB49:AD49"/>
    <mergeCell ref="AL40:AN40"/>
    <mergeCell ref="F58:G58"/>
    <mergeCell ref="B40:F40"/>
    <mergeCell ref="AB51:AD51"/>
    <mergeCell ref="O17:S17"/>
    <mergeCell ref="F60:G60"/>
    <mergeCell ref="N51:P5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1" zoomScaleNormal="100" workbookViewId="0">
      <selection activeCell="F19" sqref="F19:I19"/>
    </sheetView>
  </sheetViews>
  <sheetFormatPr baseColWidth="8" defaultRowHeight="15"/>
  <cols>
    <col width="3.5703125" customWidth="1" style="684" min="1" max="1"/>
    <col width="5.5703125" customWidth="1" style="684" min="2" max="17"/>
    <col width="3.5703125" customWidth="1" style="684" min="18" max="18"/>
    <col width="9.140625" customWidth="1" style="684"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229"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PRİMER SARGI DİRENCİ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27">
        <f>'ANA SAYFA'!G11</f>
        <v/>
      </c>
      <c r="E7" s="125" t="n"/>
      <c r="F7" s="231" t="n"/>
      <c r="G7" s="527" t="inlineStr">
        <is>
          <t>Model :</t>
        </is>
      </c>
      <c r="H7" s="231" t="n"/>
      <c r="I7" s="504">
        <f>'ANA SAYFA'!O13</f>
        <v/>
      </c>
      <c r="J7" s="125" t="n"/>
      <c r="K7" s="231" t="n"/>
      <c r="L7" s="504" t="inlineStr">
        <is>
          <t>Seri Numarası :</t>
        </is>
      </c>
      <c r="M7" s="125" t="n"/>
      <c r="N7" s="231" t="n"/>
      <c r="O7" s="504">
        <f>'ANA SAYFA'!O15</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row>
    <row r="10">
      <c r="A10" s="10" t="n"/>
      <c r="B10" s="3" t="n"/>
      <c r="C10" s="264" t="n"/>
      <c r="D10" s="264" t="n"/>
      <c r="E10" s="264" t="n"/>
      <c r="F10" s="264" t="n"/>
      <c r="G10" s="264" t="n"/>
      <c r="H10" s="264" t="n"/>
      <c r="I10" s="264" t="n"/>
      <c r="J10" s="264" t="n"/>
      <c r="K10" s="264" t="n"/>
      <c r="L10" s="264" t="n"/>
      <c r="M10" s="264" t="n"/>
      <c r="N10" s="264" t="n"/>
      <c r="O10" s="264" t="n"/>
      <c r="P10" s="264" t="n"/>
      <c r="Q10" s="187" t="n"/>
      <c r="R10" s="11" t="n"/>
    </row>
    <row r="11">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c r="U11" s="124" t="n"/>
    </row>
    <row r="12">
      <c r="A12" s="10" t="n"/>
      <c r="B12" s="3" t="n"/>
      <c r="C12" s="264" t="n"/>
      <c r="D12" s="264" t="n"/>
      <c r="E12" s="264" t="n"/>
      <c r="F12" s="264" t="n"/>
      <c r="G12" s="264" t="n"/>
      <c r="H12" s="264" t="n"/>
      <c r="I12" s="264" t="n"/>
      <c r="J12" s="264" t="n"/>
      <c r="K12" s="264" t="n"/>
      <c r="L12" s="264" t="n"/>
      <c r="M12" s="264" t="n"/>
      <c r="N12" s="264" t="n"/>
      <c r="O12" s="264" t="n"/>
      <c r="P12" s="264" t="n"/>
      <c r="Q12" s="187" t="n"/>
      <c r="R12" s="11" t="n"/>
      <c r="S12" s="124" t="n"/>
      <c r="U12" s="124"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f>'ANA SAYFA'!G13</f>
        <v/>
      </c>
    </row>
    <row r="14">
      <c r="A14" s="10" t="n"/>
      <c r="B14" s="3" t="n"/>
      <c r="C14" s="264" t="n"/>
      <c r="D14" s="264" t="n"/>
      <c r="E14" s="264" t="n"/>
      <c r="F14" s="264" t="n"/>
      <c r="G14" s="264" t="n"/>
      <c r="H14" s="264" t="n"/>
      <c r="I14" s="264" t="n"/>
      <c r="J14" s="264" t="n"/>
      <c r="K14" s="264" t="n"/>
      <c r="L14" s="264" t="n"/>
      <c r="M14" s="264" t="n"/>
      <c r="N14" s="264" t="n"/>
      <c r="O14" s="264" t="n"/>
      <c r="P14" s="264" t="n"/>
      <c r="Q14" s="187" t="n"/>
      <c r="R14" s="11" t="n"/>
      <c r="V14">
        <f>V13/59.75575286</f>
        <v/>
      </c>
    </row>
    <row r="15" ht="18.75" customHeight="1" s="684">
      <c r="A15" s="10" t="n"/>
      <c r="B15" s="528" t="inlineStr">
        <is>
          <t>PT Sargı Otomatik</t>
        </is>
      </c>
      <c r="C15" s="125" t="n"/>
      <c r="D15" s="125" t="n"/>
      <c r="E15" s="125" t="n"/>
      <c r="F15" s="125" t="n"/>
      <c r="G15" s="125" t="n"/>
      <c r="H15" s="125" t="n"/>
      <c r="I15" s="231" t="n"/>
      <c r="J15" s="500" t="inlineStr">
        <is>
          <t>HV Mevcut Kademe Tap</t>
        </is>
      </c>
      <c r="K15" s="125" t="n"/>
      <c r="L15" s="125" t="n"/>
      <c r="M15" s="125" t="n"/>
      <c r="N15" s="125" t="n"/>
      <c r="O15" s="102">
        <f>'ANA SAYFA'!S11</f>
        <v/>
      </c>
      <c r="P15" s="102" t="n"/>
      <c r="Q15" s="40" t="n"/>
      <c r="R15" s="11" t="n"/>
    </row>
    <row r="16">
      <c r="A16" s="10" t="n"/>
      <c r="B16" s="3" t="n"/>
      <c r="C16" s="264" t="n"/>
      <c r="D16" s="264" t="n"/>
      <c r="E16" s="264" t="n"/>
      <c r="F16" s="264" t="n"/>
      <c r="G16" s="264" t="n"/>
      <c r="H16" s="264" t="n"/>
      <c r="I16" s="264" t="n"/>
      <c r="J16" s="264" t="n"/>
      <c r="K16" s="264" t="n"/>
      <c r="L16" s="264" t="n"/>
      <c r="M16" s="264" t="n"/>
      <c r="N16" s="264" t="n"/>
      <c r="O16" s="264" t="n"/>
      <c r="P16" s="264" t="n"/>
      <c r="Q16" s="187" t="n"/>
      <c r="R16" s="11" t="n"/>
    </row>
    <row r="17">
      <c r="A17" s="10" t="n"/>
      <c r="B17" s="498" t="inlineStr">
        <is>
          <t>Nominal Direnç</t>
        </is>
      </c>
      <c r="F17" s="577" t="n"/>
      <c r="J17" s="577" t="inlineStr">
        <is>
          <t>Sıcaklık Kompan.</t>
        </is>
      </c>
      <c r="N17" s="420" t="inlineStr">
        <is>
          <t>Hayır</t>
        </is>
      </c>
      <c r="Q17" s="344" t="n"/>
      <c r="R17" s="11" t="n"/>
    </row>
    <row r="18">
      <c r="A18" s="10" t="n"/>
      <c r="B18" s="426" t="inlineStr">
        <is>
          <t>Vektör Grubu</t>
        </is>
      </c>
      <c r="F18" s="577">
        <f>'ANA SAYFA'!G17</f>
        <v/>
      </c>
      <c r="J18" s="577" t="inlineStr">
        <is>
          <t>Malzeme</t>
        </is>
      </c>
      <c r="N18" s="420" t="inlineStr">
        <is>
          <t>Cu</t>
        </is>
      </c>
      <c r="Q18" s="344" t="n"/>
      <c r="R18" s="11" t="n"/>
    </row>
    <row r="19">
      <c r="A19" s="10" t="n"/>
      <c r="B19" s="426" t="inlineStr">
        <is>
          <t>3-faz</t>
        </is>
      </c>
      <c r="F19" s="577" t="n"/>
      <c r="J19" s="577" t="n"/>
      <c r="N19" s="420" t="n"/>
      <c r="Q19" s="344" t="n"/>
      <c r="R19" s="11" t="n"/>
    </row>
    <row r="20">
      <c r="A20" s="10" t="n"/>
      <c r="B20" s="426" t="inlineStr">
        <is>
          <t>Nominal Değerler</t>
        </is>
      </c>
      <c r="F20" s="503">
        <f>(K24+K25+K26)/3</f>
        <v/>
      </c>
      <c r="H20" s="264" t="inlineStr">
        <is>
          <t>Ω</t>
        </is>
      </c>
      <c r="I20" s="264" t="n"/>
      <c r="J20" s="577" t="n"/>
      <c r="N20" s="420" t="n"/>
      <c r="Q20" s="344" t="n"/>
      <c r="R20" s="11" t="n"/>
    </row>
    <row r="21">
      <c r="A21" s="10" t="n"/>
      <c r="B21" s="426" t="inlineStr">
        <is>
          <t>Çıkış Kademesi</t>
        </is>
      </c>
      <c r="F21" s="577" t="inlineStr">
        <is>
          <t>DC 6A</t>
        </is>
      </c>
      <c r="J21" s="577" t="n"/>
      <c r="N21" s="420" t="n"/>
      <c r="Q21" s="344" t="n"/>
      <c r="R21" s="11" t="n"/>
      <c r="T21" t="inlineStr">
        <is>
          <t>A</t>
        </is>
      </c>
      <c r="U21" s="718">
        <f>MAX(T32:T33)</f>
        <v/>
      </c>
    </row>
    <row r="22">
      <c r="A22" s="10" t="n"/>
      <c r="B22" s="3" t="n"/>
      <c r="C22" s="264" t="n"/>
      <c r="D22" s="264" t="n"/>
      <c r="E22" s="264" t="n"/>
      <c r="F22" s="264" t="n"/>
      <c r="G22" s="264" t="n"/>
      <c r="H22" s="264" t="n"/>
      <c r="I22" s="264" t="n"/>
      <c r="J22" s="264" t="n"/>
      <c r="K22" s="264" t="n"/>
      <c r="L22" s="264" t="n"/>
      <c r="M22" s="264" t="n"/>
      <c r="N22" s="264" t="n"/>
      <c r="O22" s="264" t="n"/>
      <c r="P22" s="264" t="n"/>
      <c r="Q22" s="187" t="n"/>
      <c r="R22" s="11" t="n"/>
      <c r="T22" t="inlineStr">
        <is>
          <t>B</t>
        </is>
      </c>
      <c r="U22" s="718">
        <f>MAX(U32:U33)</f>
        <v/>
      </c>
    </row>
    <row r="23">
      <c r="A23" s="10" t="n"/>
      <c r="B23" s="504" t="n"/>
      <c r="C23" s="511" t="inlineStr">
        <is>
          <t>I Testi [A]</t>
        </is>
      </c>
      <c r="D23" s="231" t="n"/>
      <c r="E23" s="504" t="inlineStr">
        <is>
          <t>I DC [A]</t>
        </is>
      </c>
      <c r="F23" s="231" t="n"/>
      <c r="G23" s="504" t="inlineStr">
        <is>
          <t>V DC [V]</t>
        </is>
      </c>
      <c r="H23" s="231" t="n"/>
      <c r="I23" s="504" t="inlineStr">
        <is>
          <t>Zaman [S]</t>
        </is>
      </c>
      <c r="J23" s="231" t="n"/>
      <c r="K23" s="504" t="inlineStr">
        <is>
          <t>R.ölç[Ω]</t>
        </is>
      </c>
      <c r="L23" s="231" t="n"/>
      <c r="M23" s="504" t="inlineStr">
        <is>
          <t>R. Nom</t>
        </is>
      </c>
      <c r="N23" s="231" t="n"/>
      <c r="O23" s="504" t="inlineStr">
        <is>
          <t>Hata[%]</t>
        </is>
      </c>
      <c r="P23" s="231" t="n"/>
      <c r="Q23" s="504" t="n"/>
      <c r="R23" s="11" t="n"/>
      <c r="T23" t="inlineStr">
        <is>
          <t>C</t>
        </is>
      </c>
      <c r="U23" s="718">
        <f>MAX(V32:V33)</f>
        <v/>
      </c>
    </row>
    <row r="24">
      <c r="A24" s="10" t="n"/>
      <c r="B24" s="504" t="inlineStr">
        <is>
          <t>A</t>
        </is>
      </c>
      <c r="C24" s="505">
        <f>'ANA SAYFA'!B47</f>
        <v/>
      </c>
      <c r="D24" s="231" t="n"/>
      <c r="E24" s="719">
        <f>C24</f>
        <v/>
      </c>
      <c r="F24" s="231" t="n"/>
      <c r="G24" s="509">
        <f>(E24*K24)*0.98</f>
        <v/>
      </c>
      <c r="H24" s="231" t="n"/>
      <c r="I24" s="505" t="n">
        <v>40</v>
      </c>
      <c r="J24" s="231" t="n"/>
      <c r="K24" s="505">
        <f>'ANA SAYFA'!C49</f>
        <v/>
      </c>
      <c r="L24" s="231" t="n"/>
      <c r="M24" s="505">
        <f>F20</f>
        <v/>
      </c>
      <c r="N24" s="231" t="n"/>
      <c r="O24" s="510">
        <f>U21</f>
        <v/>
      </c>
      <c r="P24" s="231" t="n"/>
      <c r="Q24" s="504">
        <f>IF(O24&gt;0.05,1,0)</f>
        <v/>
      </c>
      <c r="R24" s="11" t="n"/>
      <c r="T24" t="inlineStr">
        <is>
          <t>SINIR DEĞER</t>
        </is>
      </c>
      <c r="U24" s="718" t="n">
        <v>0.05</v>
      </c>
    </row>
    <row r="25">
      <c r="A25" s="10" t="n"/>
      <c r="B25" s="504" t="inlineStr">
        <is>
          <t>B</t>
        </is>
      </c>
      <c r="C25" s="505">
        <f>'ANA SAYFA'!B47</f>
        <v/>
      </c>
      <c r="D25" s="231" t="n"/>
      <c r="E25" s="719">
        <f>C25</f>
        <v/>
      </c>
      <c r="F25" s="231" t="n"/>
      <c r="G25" s="509">
        <f>(E25*K25)*0.98</f>
        <v/>
      </c>
      <c r="H25" s="231" t="n"/>
      <c r="I25" s="505" t="n">
        <v>40</v>
      </c>
      <c r="J25" s="231" t="n"/>
      <c r="K25" s="505">
        <f>'ANA SAYFA'!C53</f>
        <v/>
      </c>
      <c r="L25" s="231" t="n"/>
      <c r="M25" s="505">
        <f>M24</f>
        <v/>
      </c>
      <c r="N25" s="231" t="n"/>
      <c r="O25" s="510">
        <f>U22</f>
        <v/>
      </c>
      <c r="P25" s="231" t="n"/>
      <c r="Q25" s="504">
        <f>IF(O25&gt;0.05,1,0)</f>
        <v/>
      </c>
      <c r="R25" s="11" t="n"/>
    </row>
    <row r="26">
      <c r="A26" s="10" t="n"/>
      <c r="B26" s="504" t="inlineStr">
        <is>
          <t>C</t>
        </is>
      </c>
      <c r="C26" s="505">
        <f>'ANA SAYFA'!B47</f>
        <v/>
      </c>
      <c r="D26" s="231" t="n"/>
      <c r="E26" s="719">
        <f>C26</f>
        <v/>
      </c>
      <c r="F26" s="231" t="n"/>
      <c r="G26" s="509">
        <f>(E26*K26)*0.98</f>
        <v/>
      </c>
      <c r="H26" s="231" t="n"/>
      <c r="I26" s="505" t="n">
        <v>40</v>
      </c>
      <c r="J26" s="231" t="n"/>
      <c r="K26" s="505">
        <f>'ANA SAYFA'!C51</f>
        <v/>
      </c>
      <c r="L26" s="231" t="n"/>
      <c r="M26" s="505">
        <f>M24</f>
        <v/>
      </c>
      <c r="N26" s="231" t="n"/>
      <c r="O26" s="510">
        <f>U23</f>
        <v/>
      </c>
      <c r="P26" s="231" t="n"/>
      <c r="Q26" s="504">
        <f>IF(O26&gt;0.05,1,0)</f>
        <v/>
      </c>
      <c r="R26" s="11" t="n"/>
    </row>
    <row r="27">
      <c r="A27" s="10" t="n"/>
      <c r="B27" s="145" t="n"/>
      <c r="C27" s="19" t="n"/>
      <c r="D27" s="19" t="n"/>
      <c r="E27" s="19" t="n"/>
      <c r="F27" s="19" t="n"/>
      <c r="G27" s="19" t="n"/>
      <c r="H27" s="19" t="n"/>
      <c r="I27" s="19" t="n"/>
      <c r="J27" s="19" t="n"/>
      <c r="K27" s="19" t="n"/>
      <c r="L27" s="19" t="n"/>
      <c r="M27" s="19" t="n"/>
      <c r="N27" s="19" t="n"/>
      <c r="O27" s="19" t="n"/>
      <c r="P27" s="19" t="n"/>
      <c r="Q27" s="693" t="n"/>
      <c r="R27" s="11" t="n"/>
    </row>
    <row r="28" ht="18.75" customHeight="1" s="684">
      <c r="A28" s="10" t="n"/>
      <c r="B28" s="177" t="n"/>
      <c r="C28" s="176" t="n"/>
      <c r="D28" s="176" t="n"/>
      <c r="E28" s="176" t="n"/>
      <c r="F28" s="176" t="n"/>
      <c r="G28" s="176" t="n"/>
      <c r="H28" s="176" t="n"/>
      <c r="I28" s="176" t="n"/>
      <c r="J28" s="176" t="n"/>
      <c r="K28" s="176" t="n"/>
      <c r="L28" s="176" t="n"/>
      <c r="M28" s="176" t="n"/>
      <c r="N28" s="176" t="n"/>
      <c r="O28" s="176" t="n"/>
      <c r="P28" s="176" t="n"/>
      <c r="Q28" s="178" t="n"/>
      <c r="R28" s="11" t="n"/>
    </row>
    <row r="29">
      <c r="A29" s="10" t="n"/>
      <c r="B29" s="3" t="n"/>
      <c r="C29" s="264" t="n"/>
      <c r="D29" s="264" t="n"/>
      <c r="E29" s="264" t="n"/>
      <c r="F29" s="264" t="n"/>
      <c r="G29" s="264" t="n"/>
      <c r="H29" s="264" t="n"/>
      <c r="I29" s="264" t="n"/>
      <c r="J29" s="264" t="n"/>
      <c r="K29" s="264" t="n"/>
      <c r="L29" s="264" t="n"/>
      <c r="M29" s="264" t="n"/>
      <c r="N29" s="264" t="n"/>
      <c r="O29" s="264" t="n"/>
      <c r="P29" s="264" t="n"/>
      <c r="Q29" s="187" t="n"/>
      <c r="R29" s="11" t="n"/>
    </row>
    <row r="30">
      <c r="A30" s="10" t="n"/>
      <c r="B30" s="25" t="n"/>
      <c r="C30" s="26" t="n"/>
      <c r="D30" s="26" t="n"/>
      <c r="E30" s="26" t="n"/>
      <c r="F30" s="264" t="n"/>
      <c r="G30" s="264" t="n"/>
      <c r="H30" s="264" t="n"/>
      <c r="I30" s="264" t="n"/>
      <c r="J30" s="264" t="n"/>
      <c r="K30" s="264" t="n"/>
      <c r="L30" s="264" t="n"/>
      <c r="M30" s="264" t="n"/>
      <c r="N30" s="264" t="n"/>
      <c r="O30" s="264" t="n"/>
      <c r="P30" s="264" t="n"/>
      <c r="Q30" s="187" t="n"/>
      <c r="R30" s="11" t="n"/>
    </row>
    <row r="31">
      <c r="A31" s="10" t="n"/>
      <c r="B31" s="3" t="n"/>
      <c r="C31" s="264" t="n"/>
      <c r="D31" s="264" t="n"/>
      <c r="E31" s="264" t="n"/>
      <c r="F31" s="264" t="n"/>
      <c r="G31" s="264" t="n"/>
      <c r="H31" s="264" t="n"/>
      <c r="I31" s="264" t="n"/>
      <c r="J31" s="264" t="n"/>
      <c r="K31" s="264" t="n"/>
      <c r="L31" s="264" t="n"/>
      <c r="M31" s="264" t="n"/>
      <c r="N31" s="264" t="n"/>
      <c r="O31" s="264" t="n"/>
      <c r="P31" s="264" t="n"/>
      <c r="Q31" s="187" t="n"/>
      <c r="R31" s="11" t="n"/>
    </row>
    <row r="32">
      <c r="A32" s="10" t="n"/>
      <c r="B32" s="3" t="n"/>
      <c r="C32" s="264" t="n"/>
      <c r="D32" s="264" t="n"/>
      <c r="E32" s="264" t="n"/>
      <c r="F32" s="264" t="n"/>
      <c r="G32" s="264" t="n"/>
      <c r="H32" s="264" t="n"/>
      <c r="I32" s="264" t="n"/>
      <c r="J32" s="264" t="n"/>
      <c r="K32" s="264" t="n"/>
      <c r="L32" s="264" t="n"/>
      <c r="M32" s="264" t="n"/>
      <c r="N32" s="264" t="n"/>
      <c r="O32" s="264" t="n"/>
      <c r="P32" s="264" t="n"/>
      <c r="Q32" s="187" t="n"/>
      <c r="R32" s="11" t="n"/>
      <c r="T32">
        <f>SQRT((K24-K25)^2)/K25</f>
        <v/>
      </c>
      <c r="U32">
        <f>SQRT((K24-K25)^2)/K24</f>
        <v/>
      </c>
      <c r="V32">
        <f>SQRT((K26-K24)^2)/K24</f>
        <v/>
      </c>
    </row>
    <row r="33">
      <c r="A33" s="10" t="n"/>
      <c r="B33" s="3" t="n"/>
      <c r="C33" s="264" t="n"/>
      <c r="D33" s="264" t="n"/>
      <c r="E33" s="264" t="n"/>
      <c r="F33" s="24" t="n"/>
      <c r="G33" s="264" t="n"/>
      <c r="H33" s="264" t="n"/>
      <c r="I33" s="264" t="n"/>
      <c r="J33" s="264" t="n"/>
      <c r="K33" s="264" t="n"/>
      <c r="L33" s="264" t="n"/>
      <c r="M33" s="264" t="n"/>
      <c r="N33" s="264" t="n"/>
      <c r="O33" s="264" t="n"/>
      <c r="P33" s="264" t="n"/>
      <c r="Q33" s="187" t="n"/>
      <c r="R33" s="11" t="n"/>
      <c r="T33">
        <f>SQRT((K26-K24)^2)/K26</f>
        <v/>
      </c>
      <c r="U33">
        <f>SQRT((K25-K26)^2)/K26</f>
        <v/>
      </c>
      <c r="V33">
        <f>SQRT((K26-K25)^2)/K25</f>
        <v/>
      </c>
    </row>
    <row r="34">
      <c r="A34" s="10" t="n"/>
      <c r="B34" s="3" t="n"/>
      <c r="C34" s="264" t="n"/>
      <c r="D34" s="264" t="n"/>
      <c r="E34" s="264" t="n"/>
      <c r="F34" s="264" t="n"/>
      <c r="G34" s="264" t="n"/>
      <c r="H34" s="264" t="n"/>
      <c r="I34" s="264" t="n"/>
      <c r="J34" s="264" t="n"/>
      <c r="K34" s="264" t="n"/>
      <c r="L34" s="264" t="n"/>
      <c r="M34" s="264" t="n"/>
      <c r="N34" s="264" t="n"/>
      <c r="O34" s="264" t="n"/>
      <c r="P34" s="264" t="n"/>
      <c r="Q34" s="187" t="n"/>
      <c r="R34" s="11" t="n"/>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row>
    <row r="37">
      <c r="A37" s="10" t="n"/>
      <c r="B37" s="171" t="n"/>
      <c r="C37" s="29" t="n"/>
      <c r="D37" s="29" t="n"/>
      <c r="E37" s="264" t="n"/>
      <c r="F37" s="264" t="n"/>
      <c r="G37" s="264" t="n"/>
      <c r="H37" s="264" t="n"/>
      <c r="I37" s="264" t="n"/>
      <c r="J37" s="264" t="n"/>
      <c r="K37" s="264" t="n"/>
      <c r="L37" s="264" t="n"/>
      <c r="M37" s="264" t="n"/>
      <c r="N37" s="264" t="n"/>
      <c r="O37" s="264" t="n"/>
      <c r="P37" s="264" t="n"/>
      <c r="Q37" s="702" t="n"/>
      <c r="R37" s="11" t="n"/>
    </row>
    <row r="38">
      <c r="A38" s="10" t="n"/>
      <c r="B38" s="171" t="n"/>
      <c r="C38" s="24" t="n"/>
      <c r="D38" s="24" t="n"/>
      <c r="E38" s="24" t="n"/>
      <c r="F38" s="24" t="n"/>
      <c r="G38" s="24" t="n"/>
      <c r="H38" s="24" t="n"/>
      <c r="I38" s="24" t="n"/>
      <c r="J38" s="24" t="n"/>
      <c r="K38" s="24" t="n"/>
      <c r="L38" s="24" t="n"/>
      <c r="M38" s="24" t="n"/>
      <c r="N38" s="24" t="n"/>
      <c r="O38" s="24" t="n"/>
      <c r="P38" s="24" t="n"/>
      <c r="Q38" s="702" t="n"/>
      <c r="R38" s="11" t="n"/>
    </row>
    <row r="39" ht="15.75" customHeight="1" s="684">
      <c r="A39" s="10" t="n"/>
      <c r="B39" s="512" t="inlineStr">
        <is>
          <t>Sonuç :</t>
        </is>
      </c>
      <c r="C39" s="70" t="n"/>
      <c r="D39" s="515"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43" t="n"/>
      <c r="R39" s="11" t="n"/>
    </row>
    <row r="40">
      <c r="A40" s="10" t="n"/>
      <c r="B40" s="171" t="n"/>
      <c r="C40" s="24" t="n"/>
      <c r="Q40" s="344" t="n"/>
      <c r="R40" s="11" t="n"/>
    </row>
    <row r="41">
      <c r="A41" s="10" t="n"/>
      <c r="B41" s="3" t="n"/>
      <c r="C41" s="264" t="n"/>
      <c r="Q41" s="344" t="n"/>
      <c r="R41" s="11" t="n"/>
    </row>
    <row r="42">
      <c r="A42" s="10" t="n"/>
      <c r="B42" s="3" t="n"/>
      <c r="C42" s="264" t="n"/>
      <c r="Q42" s="344" t="n"/>
      <c r="R42" s="11" t="n"/>
    </row>
    <row r="43">
      <c r="A43" s="10" t="n"/>
      <c r="B43" s="85" t="n"/>
      <c r="Q43" s="344" t="n"/>
      <c r="R43" s="11" t="n"/>
    </row>
    <row r="44">
      <c r="A44" s="10" t="n"/>
      <c r="B44" s="62" t="n"/>
      <c r="C44" s="135" t="n"/>
      <c r="D44" s="135" t="n"/>
      <c r="E44" s="135" t="n"/>
      <c r="F44" s="135" t="n"/>
      <c r="G44" s="135" t="n"/>
      <c r="H44" s="135" t="n"/>
      <c r="I44" s="135" t="n"/>
      <c r="J44" s="135" t="n"/>
      <c r="K44" s="135" t="n"/>
      <c r="L44" s="135" t="n"/>
      <c r="M44" s="135" t="n"/>
      <c r="N44" s="135" t="n"/>
      <c r="O44" s="135" t="n"/>
      <c r="P44" s="135" t="n"/>
      <c r="Q44" s="345" t="n"/>
      <c r="R44" s="11" t="n"/>
    </row>
    <row r="45" ht="22.5" customHeight="1" s="684">
      <c r="A45" s="10" t="n"/>
      <c r="B45" s="520" t="inlineStr">
        <is>
          <t>UNVAN</t>
        </is>
      </c>
      <c r="C45" s="70" t="n"/>
      <c r="D45" s="70" t="n"/>
      <c r="E45" s="330" t="inlineStr">
        <is>
          <t>:</t>
        </is>
      </c>
      <c r="F45" s="519" t="inlineStr">
        <is>
          <t>Elektrik Mühendisi</t>
        </is>
      </c>
      <c r="G45" s="70" t="n"/>
      <c r="H45" s="70" t="n"/>
      <c r="I45" s="343" t="n"/>
      <c r="J45" s="705" t="inlineStr">
        <is>
          <t>ONAYLAYAN</t>
        </is>
      </c>
      <c r="K45" s="125" t="n"/>
      <c r="L45" s="125" t="n"/>
      <c r="M45" s="125" t="n"/>
      <c r="N45" s="125" t="n"/>
      <c r="O45" s="125" t="n"/>
      <c r="P45" s="125" t="n"/>
      <c r="Q45" s="231" t="n"/>
      <c r="R45" s="11" t="n"/>
    </row>
    <row r="46" ht="22.5" customHeight="1" s="684">
      <c r="A46" s="10" t="n"/>
      <c r="B46" s="520" t="inlineStr">
        <is>
          <t>TEST TARİHİ</t>
        </is>
      </c>
      <c r="C46" s="70" t="n"/>
      <c r="D46" s="70" t="n"/>
      <c r="E46" s="330" t="inlineStr">
        <is>
          <t>:</t>
        </is>
      </c>
      <c r="F46" s="720">
        <f>'ANA SAYFA'!F73:J73</f>
        <v/>
      </c>
      <c r="G46" s="70" t="n"/>
      <c r="H46" s="70" t="n"/>
      <c r="I46" s="343" t="n"/>
      <c r="J46" s="75" t="n"/>
      <c r="K46" s="76" t="n"/>
      <c r="L46" s="176" t="n"/>
      <c r="M46" s="176" t="n"/>
      <c r="N46" s="176" t="n"/>
      <c r="O46" s="176" t="n"/>
      <c r="P46" s="176" t="n"/>
      <c r="Q46" s="178" t="n"/>
      <c r="R46" s="11" t="n"/>
    </row>
    <row r="47" ht="22.5" customHeight="1" s="684">
      <c r="A47" s="10" t="n"/>
      <c r="B47" s="495" t="inlineStr">
        <is>
          <t>ODA SİCİL NO</t>
        </is>
      </c>
      <c r="C47" s="125" t="n"/>
      <c r="D47" s="125" t="n"/>
      <c r="E47" s="587" t="inlineStr">
        <is>
          <t>:</t>
        </is>
      </c>
      <c r="F47" s="588">
        <f>'ANA SAYFA'!F75</f>
        <v/>
      </c>
      <c r="G47" s="70" t="n"/>
      <c r="H47" s="70" t="n"/>
      <c r="I47" s="343" t="n"/>
      <c r="J47" s="75" t="n"/>
      <c r="K47" s="76" t="n"/>
      <c r="L47" s="176" t="n"/>
      <c r="M47" s="176" t="n"/>
      <c r="N47" s="176" t="n"/>
      <c r="O47" s="176" t="n"/>
      <c r="P47" s="176" t="n"/>
      <c r="Q47" s="178" t="n"/>
      <c r="R47" s="11" t="n"/>
    </row>
    <row r="48" ht="22.5" customHeight="1" s="684">
      <c r="A48" s="10" t="n"/>
      <c r="B48" s="495" t="inlineStr">
        <is>
          <t>EKİPNET NO</t>
        </is>
      </c>
      <c r="C48" s="125" t="n"/>
      <c r="D48" s="125" t="n"/>
      <c r="E48" s="496" t="inlineStr">
        <is>
          <t>:</t>
        </is>
      </c>
      <c r="F48" s="497">
        <f>'ANA SAYFA'!F76</f>
        <v/>
      </c>
      <c r="G48" s="125" t="n"/>
      <c r="H48" s="125" t="n"/>
      <c r="I48" s="231" t="n"/>
      <c r="J48" s="336" t="n"/>
      <c r="K48" s="182" t="n"/>
      <c r="L48" s="182" t="n"/>
      <c r="M48" s="182" t="n"/>
      <c r="N48" s="182" t="n"/>
      <c r="O48" s="182" t="n"/>
      <c r="P48" s="182" t="n"/>
      <c r="Q48" s="179" t="n"/>
      <c r="R48" s="11" t="n"/>
    </row>
    <row r="49" ht="15.75" customHeight="1" s="684"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J15:N15"/>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13" workbookViewId="0">
      <selection activeCell="F19" sqref="F19:I19"/>
    </sheetView>
  </sheetViews>
  <sheetFormatPr baseColWidth="8" defaultRowHeight="15"/>
  <cols>
    <col width="3.5703125" customWidth="1" style="684" min="1" max="1"/>
    <col width="5.5703125" customWidth="1" style="684" min="2" max="17"/>
    <col width="3.5703125" customWidth="1" style="684"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229"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SEKONDER SARGI DİRENCİ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row>
    <row r="10">
      <c r="A10" s="10" t="n"/>
      <c r="B10" s="3" t="n"/>
      <c r="C10" s="264" t="n"/>
      <c r="D10" s="264" t="n"/>
      <c r="E10" s="264" t="n"/>
      <c r="F10" s="264" t="n"/>
      <c r="G10" s="264" t="n"/>
      <c r="H10" s="264" t="n"/>
      <c r="I10" s="264" t="n"/>
      <c r="J10" s="264" t="n"/>
      <c r="K10" s="264" t="n"/>
      <c r="L10" s="264" t="n"/>
      <c r="M10" s="264" t="n"/>
      <c r="N10" s="264" t="n"/>
      <c r="O10" s="264" t="n"/>
      <c r="P10" s="264" t="n"/>
      <c r="Q10" s="187" t="n"/>
      <c r="R10" s="11" t="n"/>
    </row>
    <row r="11">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row>
    <row r="12">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f>'ANA SAYFA'!G13</f>
        <v/>
      </c>
    </row>
    <row r="14">
      <c r="A14" s="10" t="n"/>
      <c r="B14" s="3" t="n"/>
      <c r="C14" s="264" t="n"/>
      <c r="D14" s="264" t="n"/>
      <c r="E14" s="264" t="n"/>
      <c r="F14" s="264" t="n"/>
      <c r="G14" s="264" t="n"/>
      <c r="H14" s="264" t="n"/>
      <c r="I14" s="264" t="n"/>
      <c r="J14" s="264" t="n"/>
      <c r="K14" s="264" t="n"/>
      <c r="L14" s="264" t="n"/>
      <c r="M14" s="264" t="n"/>
      <c r="N14" s="264" t="n"/>
      <c r="O14" s="264" t="n"/>
      <c r="P14" s="264" t="n"/>
      <c r="Q14" s="187" t="n"/>
      <c r="R14" s="11" t="n"/>
      <c r="V14">
        <f>V13/0.69282</f>
        <v/>
      </c>
    </row>
    <row r="15" ht="18.75" customHeight="1" s="684">
      <c r="A15" s="10" t="n"/>
      <c r="B15" s="528" t="inlineStr">
        <is>
          <t>PT Sargı Otomatik</t>
        </is>
      </c>
      <c r="C15" s="125" t="n"/>
      <c r="D15" s="125" t="n"/>
      <c r="E15" s="125" t="n"/>
      <c r="F15" s="125" t="n"/>
      <c r="G15" s="125" t="n"/>
      <c r="H15" s="125" t="n"/>
      <c r="I15" s="231" t="n"/>
      <c r="J15" s="500" t="inlineStr">
        <is>
          <t xml:space="preserve">LV Kademe Tap </t>
        </is>
      </c>
      <c r="K15" s="125" t="n"/>
      <c r="L15" s="125" t="n"/>
      <c r="M15" s="125" t="n"/>
      <c r="N15" s="102" t="n">
        <v>1</v>
      </c>
      <c r="O15" s="102" t="n"/>
      <c r="P15" s="102" t="n"/>
      <c r="Q15" s="40" t="n"/>
      <c r="R15" s="11" t="n"/>
    </row>
    <row r="16">
      <c r="A16" s="10" t="n"/>
      <c r="B16" s="3" t="n"/>
      <c r="C16" s="264" t="n"/>
      <c r="D16" s="264" t="n"/>
      <c r="E16" s="264" t="n"/>
      <c r="F16" s="264" t="n"/>
      <c r="G16" s="264" t="n"/>
      <c r="H16" s="264" t="n"/>
      <c r="I16" s="264" t="n"/>
      <c r="J16" s="264" t="n"/>
      <c r="K16" s="264" t="n"/>
      <c r="L16" s="264" t="n"/>
      <c r="M16" s="264" t="n"/>
      <c r="N16" s="264" t="n"/>
      <c r="O16" s="264" t="n"/>
      <c r="P16" s="264" t="n"/>
      <c r="Q16" s="187" t="n"/>
      <c r="R16" s="11" t="n"/>
    </row>
    <row r="17">
      <c r="A17" s="10" t="n"/>
      <c r="B17" s="498" t="inlineStr">
        <is>
          <t>Nominal Direnç</t>
        </is>
      </c>
      <c r="F17" s="577" t="n"/>
      <c r="J17" s="577" t="inlineStr">
        <is>
          <t>Sıcaklık Kompan.</t>
        </is>
      </c>
      <c r="N17" s="420" t="inlineStr">
        <is>
          <t>Hayır</t>
        </is>
      </c>
      <c r="Q17" s="344" t="n"/>
      <c r="R17" s="11" t="n"/>
    </row>
    <row r="18">
      <c r="A18" s="10" t="n"/>
      <c r="B18" s="426" t="inlineStr">
        <is>
          <t>Vektör Grubu</t>
        </is>
      </c>
      <c r="F18" s="577">
        <f>'ANA SAYFA'!G17</f>
        <v/>
      </c>
      <c r="J18" s="577" t="inlineStr">
        <is>
          <t>Malzeme</t>
        </is>
      </c>
      <c r="N18" s="420" t="inlineStr">
        <is>
          <t>Cu</t>
        </is>
      </c>
      <c r="Q18" s="344" t="n"/>
      <c r="R18" s="11" t="n"/>
    </row>
    <row r="19">
      <c r="A19" s="10" t="n"/>
      <c r="B19" s="426" t="inlineStr">
        <is>
          <t>3-faz</t>
        </is>
      </c>
      <c r="F19" s="577" t="n"/>
      <c r="J19" s="577" t="n"/>
      <c r="N19" s="420" t="n"/>
      <c r="Q19" s="344" t="n"/>
      <c r="R19" s="11" t="n"/>
    </row>
    <row r="20">
      <c r="A20" s="10" t="n"/>
      <c r="B20" s="426" t="inlineStr">
        <is>
          <t>Nominal Değerler</t>
        </is>
      </c>
      <c r="F20" s="529">
        <f>(K24+K25+K26)/3</f>
        <v/>
      </c>
      <c r="H20" s="264" t="inlineStr">
        <is>
          <t>Ω</t>
        </is>
      </c>
      <c r="I20" s="264" t="n"/>
      <c r="J20" s="577" t="n"/>
      <c r="N20" s="420" t="n"/>
      <c r="Q20" s="344" t="n"/>
      <c r="R20" s="11" t="n"/>
    </row>
    <row r="21">
      <c r="A21" s="10" t="n"/>
      <c r="B21" s="426" t="inlineStr">
        <is>
          <t>Çıkış Kademesi</t>
        </is>
      </c>
      <c r="F21" s="577" t="inlineStr">
        <is>
          <t>DC 400A</t>
        </is>
      </c>
      <c r="J21" s="577" t="n"/>
      <c r="N21" s="420" t="n"/>
      <c r="Q21" s="344" t="n"/>
      <c r="R21" s="11" t="n"/>
      <c r="T21" t="inlineStr">
        <is>
          <t>A</t>
        </is>
      </c>
      <c r="U21" s="718">
        <f>MIN(T32:T33)</f>
        <v/>
      </c>
    </row>
    <row r="22">
      <c r="A22" s="10" t="n"/>
      <c r="B22" s="3" t="n"/>
      <c r="C22" s="264" t="n"/>
      <c r="D22" s="264" t="n"/>
      <c r="E22" s="264" t="n"/>
      <c r="F22" s="264" t="n"/>
      <c r="G22" s="264" t="n"/>
      <c r="H22" s="264" t="n"/>
      <c r="I22" s="264" t="n"/>
      <c r="J22" s="264" t="n"/>
      <c r="K22" s="264" t="n"/>
      <c r="L22" s="264" t="n"/>
      <c r="M22" s="264" t="n"/>
      <c r="N22" s="264" t="n"/>
      <c r="O22" s="264" t="n"/>
      <c r="P22" s="264" t="n"/>
      <c r="Q22" s="187" t="n"/>
      <c r="R22" s="11" t="n"/>
      <c r="T22" t="inlineStr">
        <is>
          <t>B</t>
        </is>
      </c>
      <c r="U22" s="718">
        <f>MIN(U32:U33)</f>
        <v/>
      </c>
    </row>
    <row r="23">
      <c r="A23" s="10" t="n"/>
      <c r="B23" s="504" t="n"/>
      <c r="C23" s="511" t="inlineStr">
        <is>
          <t>I Testi [A]</t>
        </is>
      </c>
      <c r="D23" s="231" t="n"/>
      <c r="E23" s="504" t="inlineStr">
        <is>
          <t>I DC [A]</t>
        </is>
      </c>
      <c r="F23" s="231" t="n"/>
      <c r="G23" s="504" t="inlineStr">
        <is>
          <t>V DC [V]</t>
        </is>
      </c>
      <c r="H23" s="231" t="n"/>
      <c r="I23" s="504" t="inlineStr">
        <is>
          <t>Zaman [S]</t>
        </is>
      </c>
      <c r="J23" s="231" t="n"/>
      <c r="K23" s="504" t="inlineStr">
        <is>
          <t>R.ölç[Ω]</t>
        </is>
      </c>
      <c r="L23" s="231" t="n"/>
      <c r="M23" s="504" t="inlineStr">
        <is>
          <t>R. Nom</t>
        </is>
      </c>
      <c r="N23" s="231" t="n"/>
      <c r="O23" s="504" t="inlineStr">
        <is>
          <t>Hata[%]</t>
        </is>
      </c>
      <c r="P23" s="231" t="n"/>
      <c r="Q23" s="504" t="n"/>
      <c r="R23" s="11" t="n"/>
      <c r="T23" t="inlineStr">
        <is>
          <t>C</t>
        </is>
      </c>
      <c r="U23" s="718">
        <f>MIN(V32:V33)</f>
        <v/>
      </c>
    </row>
    <row r="24">
      <c r="A24" s="10" t="n"/>
      <c r="B24" s="504" t="inlineStr">
        <is>
          <t>A</t>
        </is>
      </c>
      <c r="C24" s="505">
        <f>'ANA SAYFA'!I47</f>
        <v/>
      </c>
      <c r="D24" s="231" t="n"/>
      <c r="E24" s="505">
        <f>C24</f>
        <v/>
      </c>
      <c r="F24" s="231" t="n"/>
      <c r="G24" s="530">
        <f>(K24*E24)*0.98</f>
        <v/>
      </c>
      <c r="H24" s="231" t="n"/>
      <c r="I24" s="505" t="n">
        <v>35</v>
      </c>
      <c r="J24" s="231" t="n"/>
      <c r="K24" s="721">
        <f>'ANA SAYFA'!G49</f>
        <v/>
      </c>
      <c r="L24" s="231" t="n"/>
      <c r="M24" s="530">
        <f>F20</f>
        <v/>
      </c>
      <c r="N24" s="231" t="n"/>
      <c r="O24" s="510">
        <f>MIN(T32:T33)</f>
        <v/>
      </c>
      <c r="P24" s="231" t="n"/>
      <c r="Q24" s="504">
        <f>IF(O24&gt;0.05,1,0)</f>
        <v/>
      </c>
      <c r="R24" s="11" t="n"/>
      <c r="T24" t="inlineStr">
        <is>
          <t>SINIR DEĞER</t>
        </is>
      </c>
      <c r="U24" s="718" t="n">
        <v>0.05</v>
      </c>
    </row>
    <row r="25">
      <c r="A25" s="10" t="n"/>
      <c r="B25" s="504" t="inlineStr">
        <is>
          <t>B</t>
        </is>
      </c>
      <c r="C25" s="505">
        <f>'ANA SAYFA'!I47</f>
        <v/>
      </c>
      <c r="D25" s="231" t="n"/>
      <c r="E25" s="505">
        <f>C25</f>
        <v/>
      </c>
      <c r="F25" s="231" t="n"/>
      <c r="G25" s="530">
        <f>(K25*E25)*0.98</f>
        <v/>
      </c>
      <c r="H25" s="231" t="n"/>
      <c r="I25" s="505" t="n">
        <v>35</v>
      </c>
      <c r="J25" s="231" t="n"/>
      <c r="K25" s="721">
        <f>'ANA SAYFA'!G51</f>
        <v/>
      </c>
      <c r="L25" s="231" t="n"/>
      <c r="M25" s="530">
        <f>M24</f>
        <v/>
      </c>
      <c r="N25" s="231" t="n"/>
      <c r="O25" s="510">
        <f>MIN(U32:U33)</f>
        <v/>
      </c>
      <c r="P25" s="231" t="n"/>
      <c r="Q25" s="504">
        <f>IF(O25&gt;0.05,1,0)</f>
        <v/>
      </c>
      <c r="R25" s="11" t="n"/>
    </row>
    <row r="26">
      <c r="A26" s="10" t="n"/>
      <c r="B26" s="504" t="inlineStr">
        <is>
          <t>C</t>
        </is>
      </c>
      <c r="C26" s="505">
        <f>'ANA SAYFA'!I47</f>
        <v/>
      </c>
      <c r="D26" s="231" t="n"/>
      <c r="E26" s="505">
        <f>C26</f>
        <v/>
      </c>
      <c r="F26" s="231" t="n"/>
      <c r="G26" s="530">
        <f>(K26*E26)*0.98</f>
        <v/>
      </c>
      <c r="H26" s="231" t="n"/>
      <c r="I26" s="505" t="n">
        <v>35</v>
      </c>
      <c r="J26" s="231" t="n"/>
      <c r="K26" s="721">
        <f>'ANA SAYFA'!G53</f>
        <v/>
      </c>
      <c r="L26" s="231" t="n"/>
      <c r="M26" s="530">
        <f>M24</f>
        <v/>
      </c>
      <c r="N26" s="231" t="n"/>
      <c r="O26" s="510">
        <f>MIN(V32:V33)</f>
        <v/>
      </c>
      <c r="P26" s="231" t="n"/>
      <c r="Q26" s="504">
        <f>IF(O26&gt;0.05,1,0)</f>
        <v/>
      </c>
      <c r="R26" s="11" t="n"/>
    </row>
    <row r="27">
      <c r="A27" s="10" t="n"/>
      <c r="B27" s="145" t="n"/>
      <c r="C27" s="19" t="n"/>
      <c r="D27" s="19" t="n"/>
      <c r="E27" s="19" t="n"/>
      <c r="F27" s="19" t="n"/>
      <c r="G27" s="19" t="n"/>
      <c r="H27" s="19" t="n"/>
      <c r="I27" s="19" t="n"/>
      <c r="J27" s="19" t="n"/>
      <c r="K27" s="19" t="n"/>
      <c r="L27" s="19" t="n"/>
      <c r="M27" s="19" t="n"/>
      <c r="N27" s="19" t="n"/>
      <c r="O27" s="19" t="n"/>
      <c r="P27" s="19" t="n"/>
      <c r="Q27" s="693" t="n"/>
      <c r="R27" s="11" t="n"/>
    </row>
    <row r="28" ht="18.75" customHeight="1" s="684">
      <c r="A28" s="10" t="n"/>
      <c r="B28" s="177" t="n"/>
      <c r="C28" s="176" t="n"/>
      <c r="D28" s="176" t="n"/>
      <c r="E28" s="176" t="n"/>
      <c r="F28" s="176" t="n"/>
      <c r="G28" s="176" t="n"/>
      <c r="H28" s="176" t="n"/>
      <c r="I28" s="176" t="n"/>
      <c r="J28" s="176" t="n"/>
      <c r="K28" s="176" t="n"/>
      <c r="L28" s="176" t="n"/>
      <c r="M28" s="176" t="n"/>
      <c r="N28" s="176" t="n"/>
      <c r="O28" s="176" t="n"/>
      <c r="P28" s="176" t="n"/>
      <c r="Q28" s="178" t="n"/>
      <c r="R28" s="11" t="n"/>
    </row>
    <row r="29">
      <c r="A29" s="10" t="n"/>
      <c r="B29" s="3" t="n"/>
      <c r="C29" s="264" t="n"/>
      <c r="D29" s="264" t="n"/>
      <c r="E29" s="264" t="n"/>
      <c r="F29" s="264" t="n"/>
      <c r="G29" s="264" t="n"/>
      <c r="H29" s="264" t="n"/>
      <c r="I29" s="264" t="n"/>
      <c r="J29" s="264" t="n"/>
      <c r="K29" s="264" t="n"/>
      <c r="L29" s="264" t="n"/>
      <c r="M29" s="264" t="n"/>
      <c r="N29" s="264" t="n"/>
      <c r="O29" s="264" t="n"/>
      <c r="P29" s="264" t="n"/>
      <c r="Q29" s="187" t="n"/>
      <c r="R29" s="11" t="n"/>
    </row>
    <row r="30">
      <c r="A30" s="10" t="n"/>
      <c r="B30" s="25" t="n"/>
      <c r="C30" s="26" t="n"/>
      <c r="D30" s="26" t="n"/>
      <c r="E30" s="26" t="n"/>
      <c r="F30" s="264" t="n"/>
      <c r="G30" s="264" t="n"/>
      <c r="H30" s="264" t="n"/>
      <c r="I30" s="264" t="n"/>
      <c r="J30" s="264" t="n"/>
      <c r="K30" s="264" t="n"/>
      <c r="L30" s="264" t="n"/>
      <c r="M30" s="264" t="n"/>
      <c r="N30" s="264" t="n"/>
      <c r="O30" s="264" t="n"/>
      <c r="P30" s="264" t="n"/>
      <c r="Q30" s="187" t="n"/>
      <c r="R30" s="11" t="n"/>
    </row>
    <row r="31">
      <c r="A31" s="10" t="n"/>
      <c r="B31" s="3" t="n"/>
      <c r="C31" s="264" t="n"/>
      <c r="D31" s="264" t="n"/>
      <c r="E31" s="264" t="n"/>
      <c r="F31" s="264" t="n"/>
      <c r="G31" s="264" t="n"/>
      <c r="H31" s="264" t="n"/>
      <c r="I31" s="264" t="n"/>
      <c r="J31" s="264" t="n"/>
      <c r="K31" s="264" t="n"/>
      <c r="L31" s="264" t="n"/>
      <c r="M31" s="264" t="n"/>
      <c r="N31" s="264" t="n"/>
      <c r="O31" s="264" t="n"/>
      <c r="P31" s="264" t="n"/>
      <c r="Q31" s="187" t="n"/>
      <c r="R31" s="11" t="n"/>
    </row>
    <row r="32">
      <c r="A32" s="10" t="n"/>
      <c r="B32" s="3" t="n"/>
      <c r="C32" s="264" t="n"/>
      <c r="D32" s="264" t="n"/>
      <c r="E32" s="264" t="n"/>
      <c r="F32" s="264" t="n"/>
      <c r="G32" s="264" t="n"/>
      <c r="H32" s="264" t="n"/>
      <c r="I32" s="264" t="n"/>
      <c r="J32" s="264" t="n"/>
      <c r="K32" s="264" t="n"/>
      <c r="L32" s="264" t="n"/>
      <c r="M32" s="264" t="n"/>
      <c r="N32" s="264" t="n"/>
      <c r="O32" s="264" t="n"/>
      <c r="P32" s="264" t="n"/>
      <c r="Q32" s="187" t="n"/>
      <c r="R32" s="11" t="n"/>
      <c r="T32">
        <f>SQRT((K24-K25)^2)/K25</f>
        <v/>
      </c>
      <c r="U32">
        <f>SQRT((K24-K25)^2)/K24</f>
        <v/>
      </c>
      <c r="V32">
        <f>SQRT((K26-K24)^2)/K24</f>
        <v/>
      </c>
    </row>
    <row r="33">
      <c r="A33" s="10" t="n"/>
      <c r="B33" s="3" t="n"/>
      <c r="C33" s="264" t="n"/>
      <c r="D33" s="264" t="n"/>
      <c r="E33" s="264" t="n"/>
      <c r="F33" s="264" t="n"/>
      <c r="G33" s="264" t="n"/>
      <c r="H33" s="264" t="n"/>
      <c r="I33" s="264" t="n"/>
      <c r="J33" s="264" t="n"/>
      <c r="K33" s="264" t="n"/>
      <c r="L33" s="264" t="n"/>
      <c r="M33" s="264" t="n"/>
      <c r="N33" s="264" t="n"/>
      <c r="O33" s="264" t="n"/>
      <c r="P33" s="264" t="n"/>
      <c r="Q33" s="187" t="n"/>
      <c r="R33" s="11" t="n"/>
      <c r="T33">
        <f>SQRT((K26-K24)^2)/K26</f>
        <v/>
      </c>
      <c r="U33">
        <f>SQRT((K25-K26)^2)/K26</f>
        <v/>
      </c>
      <c r="V33">
        <f>SQRT((K26-K25)^2)/K25</f>
        <v/>
      </c>
    </row>
    <row r="34">
      <c r="A34" s="10" t="n"/>
      <c r="B34" s="3" t="n"/>
      <c r="C34" s="264" t="n"/>
      <c r="D34" s="264" t="n"/>
      <c r="E34" s="264" t="n"/>
      <c r="F34" s="24" t="n"/>
      <c r="G34" s="264" t="n"/>
      <c r="H34" s="264" t="n"/>
      <c r="I34" s="264" t="n"/>
      <c r="J34" s="264" t="n"/>
      <c r="K34" s="264" t="n"/>
      <c r="L34" s="264" t="n"/>
      <c r="M34" s="264" t="n"/>
      <c r="N34" s="264" t="n"/>
      <c r="O34" s="264" t="n"/>
      <c r="P34" s="264" t="n"/>
      <c r="Q34" s="187" t="n"/>
      <c r="R34" s="11" t="n"/>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row>
    <row r="37">
      <c r="A37" s="10" t="n"/>
      <c r="B37" s="171" t="n"/>
      <c r="C37" s="29" t="n"/>
      <c r="D37" s="29" t="n"/>
      <c r="E37" s="264" t="n"/>
      <c r="F37" s="264" t="n"/>
      <c r="G37" s="264" t="n"/>
      <c r="H37" s="264" t="n"/>
      <c r="I37" s="264" t="n"/>
      <c r="J37" s="264" t="n"/>
      <c r="K37" s="264" t="n"/>
      <c r="L37" s="264" t="n"/>
      <c r="M37" s="264" t="n"/>
      <c r="N37" s="264" t="n"/>
      <c r="O37" s="264" t="n"/>
      <c r="P37" s="264" t="n"/>
      <c r="Q37" s="702" t="n"/>
      <c r="R37" s="11" t="n"/>
    </row>
    <row r="38">
      <c r="A38" s="10" t="n"/>
      <c r="B38" s="171" t="n"/>
      <c r="C38" s="24" t="n"/>
      <c r="D38" s="24" t="n"/>
      <c r="E38" s="24" t="n"/>
      <c r="F38" s="24" t="n"/>
      <c r="G38" s="24" t="n"/>
      <c r="H38" s="24" t="n"/>
      <c r="I38" s="24" t="n"/>
      <c r="J38" s="24" t="n"/>
      <c r="K38" s="24" t="n"/>
      <c r="L38" s="24" t="n"/>
      <c r="M38" s="24" t="n"/>
      <c r="N38" s="24" t="n"/>
      <c r="O38" s="24" t="n"/>
      <c r="P38" s="24" t="n"/>
      <c r="Q38" s="702" t="n"/>
      <c r="R38" s="11" t="n"/>
    </row>
    <row r="39" ht="15.75" customHeight="1" s="684">
      <c r="A39" s="10" t="n"/>
      <c r="B39" s="512" t="inlineStr">
        <is>
          <t>Sonuç :</t>
        </is>
      </c>
      <c r="C39" s="70" t="n"/>
      <c r="D39" s="533"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43" t="n"/>
      <c r="R39" s="11" t="n"/>
    </row>
    <row r="40">
      <c r="A40" s="10" t="n"/>
      <c r="B40" s="171" t="n"/>
      <c r="C40" s="24" t="n"/>
      <c r="Q40" s="344" t="n"/>
      <c r="R40" s="11" t="n"/>
    </row>
    <row r="41">
      <c r="A41" s="10" t="n"/>
      <c r="B41" s="3" t="n"/>
      <c r="C41" s="264" t="n"/>
      <c r="Q41" s="344" t="n"/>
      <c r="R41" s="11" t="n"/>
    </row>
    <row r="42">
      <c r="A42" s="10" t="n"/>
      <c r="B42" s="3" t="n"/>
      <c r="C42" s="264" t="n"/>
      <c r="Q42" s="344" t="n"/>
      <c r="R42" s="11" t="n"/>
    </row>
    <row r="43">
      <c r="A43" s="10" t="n"/>
      <c r="B43" s="85" t="n"/>
      <c r="Q43" s="344" t="n"/>
      <c r="R43" s="11" t="n"/>
    </row>
    <row r="44">
      <c r="A44" s="10" t="n"/>
      <c r="B44" s="62" t="n"/>
      <c r="C44" s="135" t="n"/>
      <c r="D44" s="135" t="n"/>
      <c r="E44" s="135" t="n"/>
      <c r="F44" s="135" t="n"/>
      <c r="G44" s="135" t="n"/>
      <c r="H44" s="135" t="n"/>
      <c r="I44" s="135" t="n"/>
      <c r="J44" s="135" t="n"/>
      <c r="K44" s="135" t="n"/>
      <c r="L44" s="135" t="n"/>
      <c r="M44" s="135" t="n"/>
      <c r="N44" s="135" t="n"/>
      <c r="O44" s="135" t="n"/>
      <c r="P44" s="135" t="n"/>
      <c r="Q44" s="345" t="n"/>
      <c r="R44" s="11" t="n"/>
    </row>
    <row r="45" ht="22.5" customHeight="1" s="684">
      <c r="A45" s="10" t="n"/>
      <c r="B45" s="520" t="inlineStr">
        <is>
          <t>UNVAN</t>
        </is>
      </c>
      <c r="C45" s="70" t="n"/>
      <c r="D45" s="70" t="n"/>
      <c r="E45" s="330" t="inlineStr">
        <is>
          <t>:</t>
        </is>
      </c>
      <c r="F45" s="519" t="inlineStr">
        <is>
          <t>Elektrik Mühendisi</t>
        </is>
      </c>
      <c r="G45" s="70" t="n"/>
      <c r="H45" s="70" t="n"/>
      <c r="I45" s="343" t="n"/>
      <c r="J45" s="705" t="inlineStr">
        <is>
          <t>ONAYLAYAN</t>
        </is>
      </c>
      <c r="K45" s="125" t="n"/>
      <c r="L45" s="125" t="n"/>
      <c r="M45" s="125" t="n"/>
      <c r="N45" s="125" t="n"/>
      <c r="O45" s="125" t="n"/>
      <c r="P45" s="125" t="n"/>
      <c r="Q45" s="231" t="n"/>
      <c r="R45" s="11" t="n"/>
    </row>
    <row r="46" ht="22.5" customHeight="1" s="684">
      <c r="A46" s="10" t="n"/>
      <c r="B46" s="520" t="inlineStr">
        <is>
          <t>TEST TARİHİ</t>
        </is>
      </c>
      <c r="C46" s="70" t="n"/>
      <c r="D46" s="70" t="n"/>
      <c r="E46" s="330" t="inlineStr">
        <is>
          <t>:</t>
        </is>
      </c>
      <c r="F46" s="720">
        <f>'ANA SAYFA'!F73</f>
        <v/>
      </c>
      <c r="G46" s="70" t="n"/>
      <c r="H46" s="70" t="n"/>
      <c r="I46" s="343" t="n"/>
      <c r="J46" s="75" t="n"/>
      <c r="K46" s="76" t="n"/>
      <c r="L46" s="176" t="n"/>
      <c r="M46" s="176" t="n"/>
      <c r="N46" s="176" t="n"/>
      <c r="O46" s="176" t="n"/>
      <c r="P46" s="176" t="n"/>
      <c r="Q46" s="178" t="n"/>
      <c r="R46" s="11" t="n"/>
    </row>
    <row r="47" ht="22.5" customHeight="1" s="684">
      <c r="A47" s="10" t="n"/>
      <c r="B47" s="495" t="inlineStr">
        <is>
          <t>ODA SİCİL NO</t>
        </is>
      </c>
      <c r="C47" s="125" t="n"/>
      <c r="D47" s="125" t="n"/>
      <c r="E47" s="587" t="inlineStr">
        <is>
          <t>:</t>
        </is>
      </c>
      <c r="F47" s="588">
        <f>'ANA SAYFA'!F75</f>
        <v/>
      </c>
      <c r="G47" s="70" t="n"/>
      <c r="H47" s="70" t="n"/>
      <c r="I47" s="343" t="n"/>
      <c r="J47" s="75" t="n"/>
      <c r="K47" s="76" t="n"/>
      <c r="L47" s="176" t="n"/>
      <c r="M47" s="176" t="n"/>
      <c r="N47" s="176" t="n"/>
      <c r="O47" s="176" t="n"/>
      <c r="P47" s="176" t="n"/>
      <c r="Q47" s="178" t="n"/>
      <c r="R47" s="11" t="n"/>
    </row>
    <row r="48" ht="22.5" customHeight="1" s="684">
      <c r="A48" s="10" t="n"/>
      <c r="B48" s="495" t="inlineStr">
        <is>
          <t>EKİPNET NO</t>
        </is>
      </c>
      <c r="C48" s="125" t="n"/>
      <c r="D48" s="125" t="n"/>
      <c r="E48" s="496" t="inlineStr">
        <is>
          <t>:</t>
        </is>
      </c>
      <c r="F48" s="497">
        <f>'ANA SAYFA'!F76</f>
        <v/>
      </c>
      <c r="G48" s="125" t="n"/>
      <c r="H48" s="125" t="n"/>
      <c r="I48" s="231" t="n"/>
      <c r="J48" s="336" t="n"/>
      <c r="K48" s="182" t="n"/>
      <c r="L48" s="182" t="n"/>
      <c r="M48" s="182" t="n"/>
      <c r="N48" s="182" t="n"/>
      <c r="O48" s="182" t="n"/>
      <c r="P48" s="182" t="n"/>
      <c r="Q48" s="179" t="n"/>
      <c r="R48" s="11" t="n"/>
    </row>
    <row r="49" ht="15.75" customHeight="1" s="684"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zoomScale="85" zoomScaleNormal="85" workbookViewId="0">
      <selection activeCell="N52" sqref="N52"/>
    </sheetView>
  </sheetViews>
  <sheetFormatPr baseColWidth="8" defaultRowHeight="15"/>
  <cols>
    <col width="3.5703125" customWidth="1" style="684" min="1" max="1"/>
    <col width="6.7109375" customWidth="1" style="684" min="2" max="2"/>
    <col width="5.42578125" customWidth="1" style="684" min="3" max="3"/>
    <col width="6.7109375" customWidth="1" style="684" min="4" max="4"/>
    <col width="5.42578125" customWidth="1" style="684" min="5" max="5"/>
    <col width="6.7109375" customWidth="1" style="684" min="6" max="6"/>
    <col width="5.42578125" customWidth="1" style="684" min="7" max="7"/>
    <col width="6.5703125" customWidth="1" style="684" min="8" max="8"/>
    <col width="5.42578125" customWidth="1" style="684" min="9" max="9"/>
    <col width="7.5703125" customWidth="1" style="684" min="10" max="10"/>
    <col width="5.7109375" customWidth="1" style="684" min="11" max="11"/>
    <col width="7.5703125" customWidth="1" style="684" min="12" max="12"/>
    <col width="5.7109375" customWidth="1" style="684" min="13" max="15"/>
    <col width="6.5703125" customWidth="1" style="684" min="16" max="17"/>
    <col width="3.5703125" customWidth="1" style="684" min="18" max="18"/>
    <col width="12.5703125" customWidth="1" style="684" min="21" max="21"/>
    <col width="12.85546875" customWidth="1" style="684"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D.C. İZOLASYON DİRENCİ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c r="Y8" t="inlineStr">
        <is>
          <t>OG-TANK</t>
        </is>
      </c>
      <c r="Z8" t="inlineStr">
        <is>
          <t>AG-TANK</t>
        </is>
      </c>
      <c r="AA8" t="inlineStr">
        <is>
          <t>OG-AG</t>
        </is>
      </c>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c r="X9" t="inlineStr">
        <is>
          <t>LİMİT</t>
        </is>
      </c>
      <c r="Y9">
        <f>V15</f>
        <v/>
      </c>
      <c r="Z9">
        <f>V20</f>
        <v/>
      </c>
      <c r="AA9">
        <f>V25</f>
        <v/>
      </c>
    </row>
    <row r="10">
      <c r="A10" s="10" t="n"/>
      <c r="B10" s="3" t="n"/>
      <c r="C10" s="264" t="n"/>
      <c r="D10" s="264" t="n"/>
      <c r="E10" s="264" t="n"/>
      <c r="F10" s="264" t="n"/>
      <c r="G10" s="264" t="n"/>
      <c r="H10" s="264" t="n"/>
      <c r="I10" s="264" t="n"/>
      <c r="J10" s="264" t="n"/>
      <c r="K10" s="264" t="n"/>
      <c r="L10" s="264" t="n"/>
      <c r="M10" s="264" t="n"/>
      <c r="N10" s="264" t="n"/>
      <c r="O10" s="264" t="n"/>
      <c r="P10" s="264" t="n"/>
      <c r="Q10" s="187" t="n"/>
      <c r="R10" s="11" t="n"/>
      <c r="X10" t="n">
        <v>30</v>
      </c>
      <c r="Y10" s="174">
        <f>H18</f>
        <v/>
      </c>
      <c r="Z10" s="174">
        <f>H23</f>
        <v/>
      </c>
      <c r="AA10" s="174">
        <f>H28</f>
        <v/>
      </c>
    </row>
    <row r="11">
      <c r="A11" s="10" t="n"/>
      <c r="B11" s="525" t="inlineStr">
        <is>
          <t>Operatör :</t>
        </is>
      </c>
      <c r="C11" s="231" t="n"/>
      <c r="D11" s="526" t="inlineStr">
        <is>
          <t>Ahmet YILMAZ</t>
        </is>
      </c>
      <c r="E11" s="125" t="n"/>
      <c r="F11" s="125" t="n"/>
      <c r="G11" s="231" t="n"/>
      <c r="H11" s="525" t="inlineStr">
        <is>
          <t>Cihaz :</t>
        </is>
      </c>
      <c r="I11" s="231" t="n"/>
      <c r="J11" s="526" t="inlineStr">
        <is>
          <t>STS 5000</t>
        </is>
      </c>
      <c r="K11" s="125" t="n"/>
      <c r="L11" s="231" t="n"/>
      <c r="M11" s="504" t="inlineStr">
        <is>
          <t>Cihaz S/N :</t>
        </is>
      </c>
      <c r="N11" s="231" t="n"/>
      <c r="O11" s="504" t="inlineStr">
        <is>
          <t>SN-19B20</t>
        </is>
      </c>
      <c r="P11" s="125" t="n"/>
      <c r="Q11" s="231" t="n"/>
      <c r="R11" s="11" t="n"/>
      <c r="X11" t="n">
        <v>45</v>
      </c>
      <c r="Y11" s="174">
        <f>J18</f>
        <v/>
      </c>
      <c r="Z11" s="174">
        <f>J23</f>
        <v/>
      </c>
      <c r="AA11" s="174">
        <f>J28</f>
        <v/>
      </c>
    </row>
    <row r="12">
      <c r="A12" s="10" t="n"/>
      <c r="B12" s="3" t="n"/>
      <c r="C12" s="264" t="n"/>
      <c r="D12" s="264" t="n"/>
      <c r="E12" s="264" t="n"/>
      <c r="F12" s="264" t="n"/>
      <c r="G12" s="264" t="n"/>
      <c r="H12" s="264" t="n"/>
      <c r="I12" s="264" t="n"/>
      <c r="J12" s="264" t="n"/>
      <c r="K12" s="264" t="n"/>
      <c r="L12" s="264" t="n"/>
      <c r="M12" s="264" t="n"/>
      <c r="N12" s="264" t="n"/>
      <c r="O12" s="264" t="n"/>
      <c r="P12" s="264" t="n"/>
      <c r="Q12" s="187" t="n"/>
      <c r="R12" s="11" t="n"/>
      <c r="X12" t="n">
        <v>60</v>
      </c>
      <c r="Y12" s="174">
        <f>L18</f>
        <v/>
      </c>
      <c r="Z12" s="174">
        <f>L23</f>
        <v/>
      </c>
      <c r="AA12" s="174">
        <f>L28</f>
        <v/>
      </c>
    </row>
    <row r="13" ht="18.75" customHeight="1" s="684">
      <c r="A13" s="10" t="n"/>
      <c r="B13" s="492" t="inlineStr">
        <is>
          <t>Sonuçlar</t>
        </is>
      </c>
      <c r="C13" s="125" t="n"/>
      <c r="D13" s="125" t="n"/>
      <c r="E13" s="125" t="n"/>
      <c r="F13" s="125" t="n"/>
      <c r="G13" s="125" t="n"/>
      <c r="H13" s="125" t="n"/>
      <c r="I13" s="125" t="n"/>
      <c r="J13" s="125" t="n"/>
      <c r="K13" s="125" t="n"/>
      <c r="L13" s="125" t="n"/>
      <c r="M13" s="125" t="n"/>
      <c r="N13" s="545" t="inlineStr">
        <is>
          <t>Sıcaklık</t>
        </is>
      </c>
      <c r="O13" s="231" t="n"/>
      <c r="P13" s="245">
        <f>'ANA SAYFA'!G26</f>
        <v/>
      </c>
      <c r="Q13" s="261" t="inlineStr">
        <is>
          <t>°C</t>
        </is>
      </c>
      <c r="R13" s="11" t="n"/>
    </row>
    <row r="1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ht="18.75" customHeight="1" s="684">
      <c r="A15" s="10" t="n"/>
      <c r="B15" s="705" t="inlineStr">
        <is>
          <t>O.G. TANK İZOLASYON</t>
        </is>
      </c>
      <c r="C15" s="125" t="n"/>
      <c r="D15" s="125" t="n"/>
      <c r="E15" s="125" t="n"/>
      <c r="F15" s="125" t="n"/>
      <c r="G15" s="125" t="n"/>
      <c r="H15" s="125" t="n"/>
      <c r="I15" s="125" t="n"/>
      <c r="J15" s="125" t="n"/>
      <c r="K15" s="125" t="n"/>
      <c r="L15" s="125" t="n"/>
      <c r="M15" s="125" t="n"/>
      <c r="N15" s="125" t="n"/>
      <c r="O15" s="125" t="n"/>
      <c r="P15" s="125" t="n"/>
      <c r="Q15" s="231" t="n"/>
      <c r="R15" s="11" t="n"/>
      <c r="U15" t="inlineStr">
        <is>
          <t>OG-TANK</t>
        </is>
      </c>
      <c r="V15" t="n">
        <v>1.1</v>
      </c>
    </row>
    <row r="16">
      <c r="A16" s="10" t="n"/>
      <c r="B16" s="542" t="n">
        <v>2500</v>
      </c>
      <c r="C16" s="125" t="n"/>
      <c r="D16" s="125" t="n"/>
      <c r="E16" s="125" t="n"/>
      <c r="F16" s="125" t="n"/>
      <c r="G16" s="722" t="n"/>
      <c r="H16" s="540" t="inlineStr">
        <is>
          <t>HESAPLANAN DEĞERLER 20°C</t>
        </is>
      </c>
      <c r="I16" s="125" t="n"/>
      <c r="J16" s="125" t="n"/>
      <c r="K16" s="125" t="n"/>
      <c r="L16" s="125" t="n"/>
      <c r="M16" s="722" t="n"/>
      <c r="N16" s="264" t="n"/>
      <c r="O16" s="264" t="n"/>
      <c r="P16" s="264" t="n"/>
      <c r="Q16" s="187" t="n"/>
      <c r="R16" s="11" t="n"/>
      <c r="V16" s="432" t="inlineStr">
        <is>
          <t>UYGUN</t>
        </is>
      </c>
    </row>
    <row r="17">
      <c r="A17" s="10" t="n"/>
      <c r="B17" s="541" t="inlineStr">
        <is>
          <t>30 sn</t>
        </is>
      </c>
      <c r="C17" s="231" t="n"/>
      <c r="D17" s="541" t="n">
        <v>2400</v>
      </c>
      <c r="E17" s="231" t="n"/>
      <c r="F17" s="541" t="inlineStr">
        <is>
          <t>60 sn</t>
        </is>
      </c>
      <c r="G17" s="231" t="n"/>
      <c r="H17" s="399" t="inlineStr">
        <is>
          <t>30 sn</t>
        </is>
      </c>
      <c r="I17" s="231" t="n"/>
      <c r="J17" s="541" t="inlineStr">
        <is>
          <t>45 sn</t>
        </is>
      </c>
      <c r="K17" s="231" t="n"/>
      <c r="L17" s="541" t="inlineStr">
        <is>
          <t>60 sn</t>
        </is>
      </c>
      <c r="M17" s="231" t="n"/>
      <c r="N17" s="399" t="inlineStr">
        <is>
          <t>DAR</t>
        </is>
      </c>
      <c r="O17" s="231" t="n"/>
      <c r="P17" s="541" t="inlineStr">
        <is>
          <t>Sonuç</t>
        </is>
      </c>
      <c r="Q17" s="231" t="n"/>
      <c r="R17" s="11" t="n"/>
    </row>
    <row r="18">
      <c r="A18" s="10" t="n"/>
      <c r="B18" s="159">
        <f>'ANA SAYFA'!F60</f>
        <v/>
      </c>
      <c r="C18" s="33" t="inlineStr">
        <is>
          <t>GΩ</t>
        </is>
      </c>
      <c r="D18" s="159">
        <f>'ANA SAYFA'!I60</f>
        <v/>
      </c>
      <c r="E18" s="33" t="inlineStr">
        <is>
          <t>GΩ</t>
        </is>
      </c>
      <c r="F18" s="159">
        <f>'ANA SAYFA'!L60</f>
        <v/>
      </c>
      <c r="G18" s="305" t="inlineStr">
        <is>
          <t>GΩ</t>
        </is>
      </c>
      <c r="H18" s="304">
        <f>B18*V38</f>
        <v/>
      </c>
      <c r="I18" s="33" t="inlineStr">
        <is>
          <t>GΩ</t>
        </is>
      </c>
      <c r="J18" s="159">
        <f>D18*V38</f>
        <v/>
      </c>
      <c r="K18" s="33" t="inlineStr">
        <is>
          <t>GΩ</t>
        </is>
      </c>
      <c r="L18" s="159">
        <f>F18*V38</f>
        <v/>
      </c>
      <c r="M18" s="305" t="inlineStr">
        <is>
          <t>GΩ</t>
        </is>
      </c>
      <c r="N18" s="509">
        <f>L18/H18</f>
        <v/>
      </c>
      <c r="O18" s="231" t="n"/>
      <c r="P18" s="543">
        <f>IF(L18&lt;V15,V18,V16)</f>
        <v/>
      </c>
      <c r="Q18" s="231" t="n"/>
      <c r="R18" s="11" t="n"/>
      <c r="V18" s="432" t="inlineStr">
        <is>
          <t>DÜŞÜK</t>
        </is>
      </c>
    </row>
    <row r="19">
      <c r="A19" s="10" t="n"/>
      <c r="B19" s="3" t="n"/>
      <c r="C19" s="264" t="n"/>
      <c r="D19" s="264" t="n"/>
      <c r="E19" s="264" t="n"/>
      <c r="F19" s="264" t="n"/>
      <c r="G19" s="264" t="n"/>
      <c r="H19" s="264" t="n"/>
      <c r="I19" s="264" t="n"/>
      <c r="J19" s="264" t="n"/>
      <c r="K19" s="264" t="n"/>
      <c r="L19" s="264" t="n"/>
      <c r="M19" s="264" t="n"/>
      <c r="N19" s="264" t="n"/>
      <c r="O19" s="264" t="n"/>
      <c r="P19" s="264" t="n"/>
      <c r="Q19" s="187" t="n"/>
      <c r="R19" s="11" t="n"/>
    </row>
    <row r="20" ht="18.75" customHeight="1" s="684">
      <c r="A20" s="10" t="n"/>
      <c r="B20" s="705" t="inlineStr">
        <is>
          <t>A.G. TANK İZOLASYON</t>
        </is>
      </c>
      <c r="C20" s="125" t="n"/>
      <c r="D20" s="125" t="n"/>
      <c r="E20" s="125" t="n"/>
      <c r="F20" s="125" t="n"/>
      <c r="G20" s="125" t="n"/>
      <c r="H20" s="125" t="n"/>
      <c r="I20" s="125" t="n"/>
      <c r="J20" s="125" t="n"/>
      <c r="K20" s="125" t="n"/>
      <c r="L20" s="125" t="n"/>
      <c r="M20" s="125" t="n"/>
      <c r="N20" s="125" t="n"/>
      <c r="O20" s="125" t="n"/>
      <c r="P20" s="125" t="n"/>
      <c r="Q20" s="231" t="n"/>
      <c r="R20" s="11" t="n"/>
      <c r="U20" t="inlineStr">
        <is>
          <t>AG-TANK</t>
        </is>
      </c>
      <c r="V20" t="n">
        <v>0.2</v>
      </c>
    </row>
    <row r="21">
      <c r="A21" s="10" t="n"/>
      <c r="B21" s="542" t="inlineStr">
        <is>
          <t>ÖLÇÜLEN DEĞERLER</t>
        </is>
      </c>
      <c r="C21" s="125" t="n"/>
      <c r="D21" s="125" t="n"/>
      <c r="E21" s="125" t="n"/>
      <c r="F21" s="125" t="n"/>
      <c r="G21" s="722" t="n"/>
      <c r="H21" s="540" t="inlineStr">
        <is>
          <t>HESAPLANAN DEĞERLER 20°C</t>
        </is>
      </c>
      <c r="I21" s="125" t="n"/>
      <c r="J21" s="125" t="n"/>
      <c r="K21" s="125" t="n"/>
      <c r="L21" s="125" t="n"/>
      <c r="M21" s="722" t="n"/>
      <c r="N21" s="264" t="n"/>
      <c r="O21" s="264" t="n"/>
      <c r="P21" s="264" t="n"/>
      <c r="Q21" s="187" t="n"/>
      <c r="R21" s="11" t="n"/>
      <c r="V21" s="432" t="inlineStr">
        <is>
          <t>UYGUN</t>
        </is>
      </c>
    </row>
    <row r="22">
      <c r="A22" s="10" t="n"/>
      <c r="B22" s="541" t="inlineStr">
        <is>
          <t>30 sn</t>
        </is>
      </c>
      <c r="C22" s="231" t="n"/>
      <c r="D22" s="541" t="inlineStr">
        <is>
          <t>45 sn</t>
        </is>
      </c>
      <c r="E22" s="231" t="n"/>
      <c r="F22" s="541" t="inlineStr">
        <is>
          <t>60 sn</t>
        </is>
      </c>
      <c r="G22" s="231" t="n"/>
      <c r="H22" s="399" t="inlineStr">
        <is>
          <t>30 sn</t>
        </is>
      </c>
      <c r="I22" s="231" t="n"/>
      <c r="J22" s="541" t="inlineStr">
        <is>
          <t>45 sn</t>
        </is>
      </c>
      <c r="K22" s="231" t="n"/>
      <c r="L22" s="541" t="inlineStr">
        <is>
          <t>60 sn</t>
        </is>
      </c>
      <c r="M22" s="231" t="n"/>
      <c r="N22" s="399" t="inlineStr">
        <is>
          <t>DAR</t>
        </is>
      </c>
      <c r="O22" s="231" t="n"/>
      <c r="P22" s="541" t="inlineStr">
        <is>
          <t>Sonuç</t>
        </is>
      </c>
      <c r="Q22" s="231" t="n"/>
      <c r="R22" s="11" t="n"/>
    </row>
    <row r="23">
      <c r="A23" s="10" t="n"/>
      <c r="B23" s="159">
        <f>'ANA SAYFA'!F62</f>
        <v/>
      </c>
      <c r="C23" s="33" t="inlineStr">
        <is>
          <t>GΩ</t>
        </is>
      </c>
      <c r="D23" s="159">
        <f>'ANA SAYFA'!I62</f>
        <v/>
      </c>
      <c r="E23" s="33" t="inlineStr">
        <is>
          <t>GΩ</t>
        </is>
      </c>
      <c r="F23" s="159">
        <f>'ANA SAYFA'!L62</f>
        <v/>
      </c>
      <c r="G23" s="305" t="inlineStr">
        <is>
          <t>GΩ</t>
        </is>
      </c>
      <c r="H23" s="304">
        <f>B23*V38</f>
        <v/>
      </c>
      <c r="I23" s="33" t="inlineStr">
        <is>
          <t>GΩ</t>
        </is>
      </c>
      <c r="J23" s="159">
        <f>D23*V38</f>
        <v/>
      </c>
      <c r="K23" s="33" t="inlineStr">
        <is>
          <t>GΩ</t>
        </is>
      </c>
      <c r="L23" s="159">
        <f>F23*V38</f>
        <v/>
      </c>
      <c r="M23" s="305" t="inlineStr">
        <is>
          <t>GΩ</t>
        </is>
      </c>
      <c r="N23" s="509">
        <f>L23/H23</f>
        <v/>
      </c>
      <c r="O23" s="231" t="n"/>
      <c r="P23" s="543">
        <f>IF(L23&lt;V20,V23,V21)</f>
        <v/>
      </c>
      <c r="Q23" s="231" t="n"/>
      <c r="R23" s="11" t="n"/>
      <c r="V23" s="432" t="inlineStr">
        <is>
          <t>DÜŞÜK</t>
        </is>
      </c>
    </row>
    <row r="24">
      <c r="A24" s="10" t="n"/>
      <c r="B24" s="171" t="n"/>
      <c r="C24" s="544" t="n"/>
      <c r="E24" s="544" t="n"/>
      <c r="G24" s="560" t="n"/>
      <c r="I24" s="544" t="n"/>
      <c r="K24" s="560" t="n"/>
      <c r="M24" s="560" t="n"/>
      <c r="O24" s="560" t="n"/>
      <c r="Q24" s="702" t="n"/>
      <c r="R24" s="11" t="n"/>
      <c r="Y24" s="515"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43" t="n"/>
    </row>
    <row r="25" ht="18.75" customHeight="1" s="684">
      <c r="A25" s="10" t="n"/>
      <c r="B25" s="705" t="inlineStr">
        <is>
          <t>O.G. A.G. İZOLASYON</t>
        </is>
      </c>
      <c r="C25" s="125" t="n"/>
      <c r="D25" s="125" t="n"/>
      <c r="E25" s="125" t="n"/>
      <c r="F25" s="125" t="n"/>
      <c r="G25" s="125" t="n"/>
      <c r="H25" s="125" t="n"/>
      <c r="I25" s="125" t="n"/>
      <c r="J25" s="125" t="n"/>
      <c r="K25" s="125" t="n"/>
      <c r="L25" s="125" t="n"/>
      <c r="M25" s="125" t="n"/>
      <c r="N25" s="125" t="n"/>
      <c r="O25" s="125" t="n"/>
      <c r="P25" s="125" t="n"/>
      <c r="Q25" s="231" t="n"/>
      <c r="R25" s="11" t="n"/>
      <c r="U25" t="inlineStr">
        <is>
          <t>OG-AG</t>
        </is>
      </c>
      <c r="V25" t="n">
        <v>1.1</v>
      </c>
      <c r="AL25" s="344" t="n"/>
    </row>
    <row r="26">
      <c r="A26" s="10" t="n"/>
      <c r="B26" s="542" t="inlineStr">
        <is>
          <t>ÖLÇÜLEN DEĞERLER</t>
        </is>
      </c>
      <c r="C26" s="125" t="n"/>
      <c r="D26" s="125" t="n"/>
      <c r="E26" s="125" t="n"/>
      <c r="F26" s="125" t="n"/>
      <c r="G26" s="722" t="n"/>
      <c r="H26" s="540" t="inlineStr">
        <is>
          <t>HESAPLANAN DEĞERLER 20°C</t>
        </is>
      </c>
      <c r="I26" s="125" t="n"/>
      <c r="J26" s="125" t="n"/>
      <c r="K26" s="125" t="n"/>
      <c r="L26" s="125" t="n"/>
      <c r="M26" s="722" t="n"/>
      <c r="N26" s="264" t="n"/>
      <c r="O26" s="264" t="n"/>
      <c r="P26" s="264" t="n"/>
      <c r="Q26" s="187" t="n"/>
      <c r="R26" s="11" t="n"/>
      <c r="V26" s="432" t="inlineStr">
        <is>
          <t>UYGUN</t>
        </is>
      </c>
      <c r="AL26" s="344" t="n"/>
    </row>
    <row r="27">
      <c r="A27" s="10" t="n"/>
      <c r="B27" s="541" t="inlineStr">
        <is>
          <t>30 sn</t>
        </is>
      </c>
      <c r="C27" s="231" t="n"/>
      <c r="D27" s="541" t="inlineStr">
        <is>
          <t>45 sn</t>
        </is>
      </c>
      <c r="E27" s="231" t="n"/>
      <c r="F27" s="541" t="inlineStr">
        <is>
          <t>60 sn</t>
        </is>
      </c>
      <c r="G27" s="231" t="n"/>
      <c r="H27" s="399" t="inlineStr">
        <is>
          <t>30 sn</t>
        </is>
      </c>
      <c r="I27" s="231" t="n"/>
      <c r="J27" s="541" t="inlineStr">
        <is>
          <t>45 sn</t>
        </is>
      </c>
      <c r="K27" s="231" t="n"/>
      <c r="L27" s="541" t="inlineStr">
        <is>
          <t>60 sn</t>
        </is>
      </c>
      <c r="M27" s="231" t="n"/>
      <c r="N27" s="399" t="inlineStr">
        <is>
          <t>DAR</t>
        </is>
      </c>
      <c r="O27" s="231" t="n"/>
      <c r="P27" s="541" t="inlineStr">
        <is>
          <t>Sonuç</t>
        </is>
      </c>
      <c r="Q27" s="231" t="n"/>
      <c r="R27" s="11" t="n"/>
      <c r="AL27" s="344" t="n"/>
    </row>
    <row r="28">
      <c r="A28" s="10" t="n"/>
      <c r="B28" s="159">
        <f>'ANA SAYFA'!F64</f>
        <v/>
      </c>
      <c r="C28" s="33" t="inlineStr">
        <is>
          <t>GΩ</t>
        </is>
      </c>
      <c r="D28" s="159">
        <f>'ANA SAYFA'!I64</f>
        <v/>
      </c>
      <c r="E28" s="33" t="inlineStr">
        <is>
          <t>GΩ</t>
        </is>
      </c>
      <c r="F28" s="159">
        <f>'ANA SAYFA'!L64</f>
        <v/>
      </c>
      <c r="G28" s="305" t="inlineStr">
        <is>
          <t>GΩ</t>
        </is>
      </c>
      <c r="H28" s="304">
        <f>B28*V38</f>
        <v/>
      </c>
      <c r="I28" s="33" t="inlineStr">
        <is>
          <t>GΩ</t>
        </is>
      </c>
      <c r="J28" s="159">
        <f>D28*V38</f>
        <v/>
      </c>
      <c r="K28" s="33" t="inlineStr">
        <is>
          <t>GΩ</t>
        </is>
      </c>
      <c r="L28" s="159">
        <f>F28*V38</f>
        <v/>
      </c>
      <c r="M28" s="305" t="inlineStr">
        <is>
          <t>GΩ</t>
        </is>
      </c>
      <c r="N28" s="509">
        <f>L28/H28</f>
        <v/>
      </c>
      <c r="O28" s="231" t="n"/>
      <c r="P28" s="543">
        <f>IF(L28&lt;V25,V28,V26)</f>
        <v/>
      </c>
      <c r="Q28" s="231" t="n"/>
      <c r="R28" s="11" t="n"/>
      <c r="V28" s="432" t="inlineStr">
        <is>
          <t>DÜŞÜK</t>
        </is>
      </c>
      <c r="AL28" s="344" t="n"/>
    </row>
    <row r="29" ht="7.5" customHeight="1" s="684">
      <c r="A29" s="10" t="n"/>
      <c r="B29" s="3" t="n"/>
      <c r="C29" s="264" t="n"/>
      <c r="D29" s="264" t="n"/>
      <c r="E29" s="264" t="n"/>
      <c r="F29" s="264" t="n"/>
      <c r="G29" s="264" t="n"/>
      <c r="H29" s="264" t="n"/>
      <c r="I29" s="264" t="n"/>
      <c r="J29" s="264" t="n"/>
      <c r="K29" s="264" t="n"/>
      <c r="L29" s="264" t="n"/>
      <c r="M29" s="264" t="n"/>
      <c r="N29" s="264" t="n"/>
      <c r="O29" s="264" t="n"/>
      <c r="P29" s="264" t="n"/>
      <c r="Q29" s="187" t="n"/>
      <c r="R29" s="11" t="n"/>
    </row>
    <row r="30" ht="7.5" customHeight="1" s="684">
      <c r="A30" s="10" t="n"/>
      <c r="B30" s="3" t="n"/>
      <c r="C30" s="264" t="n"/>
      <c r="D30" s="264" t="n">
        <v>24</v>
      </c>
      <c r="E30" s="264" t="n"/>
      <c r="F30" s="264" t="n"/>
      <c r="G30" s="264" t="n"/>
      <c r="H30" s="264" t="n"/>
      <c r="I30" s="264" t="n"/>
      <c r="J30" s="264" t="n"/>
      <c r="K30" s="264" t="n"/>
      <c r="L30" s="264" t="n"/>
      <c r="M30" s="264" t="n"/>
      <c r="N30" s="264" t="n"/>
      <c r="O30" s="264" t="n"/>
      <c r="P30" s="264" t="n"/>
      <c r="Q30" s="187" t="n"/>
      <c r="R30" s="11" t="n"/>
    </row>
    <row r="31">
      <c r="A31" s="10" t="n"/>
      <c r="B31" s="25" t="n"/>
      <c r="C31" s="26" t="n"/>
      <c r="D31" s="26" t="n">
        <v>45</v>
      </c>
      <c r="E31" s="26" t="n"/>
      <c r="F31" s="264" t="n"/>
      <c r="G31" s="264" t="n"/>
      <c r="H31" s="264" t="n"/>
      <c r="I31" s="264" t="n"/>
      <c r="J31" s="264" t="n"/>
      <c r="K31" s="264" t="n"/>
      <c r="L31" s="264" t="n"/>
      <c r="M31" s="264" t="n"/>
      <c r="N31" s="264" t="n"/>
      <c r="O31" s="264" t="n"/>
      <c r="P31" s="264" t="n"/>
      <c r="Q31" s="187" t="n"/>
      <c r="R31" s="11" t="n"/>
    </row>
    <row r="32">
      <c r="A32" s="10" t="n"/>
      <c r="B32" s="25" t="n"/>
      <c r="C32" s="26" t="n"/>
      <c r="D32" s="26" t="n"/>
      <c r="E32" s="26" t="n"/>
      <c r="F32" s="264" t="n"/>
      <c r="G32" s="264" t="n"/>
      <c r="H32" s="264" t="n"/>
      <c r="I32" s="264" t="n"/>
      <c r="J32" s="264" t="n"/>
      <c r="K32" s="264" t="n"/>
      <c r="L32" s="264" t="n"/>
      <c r="M32" s="264" t="n"/>
      <c r="N32" s="264" t="n"/>
      <c r="O32" s="264" t="n"/>
      <c r="P32" s="264" t="n"/>
      <c r="Q32" s="187" t="n"/>
      <c r="R32" s="11" t="n"/>
      <c r="Y32" s="515"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43" t="n"/>
    </row>
    <row r="33">
      <c r="A33" s="10" t="n"/>
      <c r="B33" s="3" t="n"/>
      <c r="C33" s="264" t="n"/>
      <c r="D33" s="264" t="n"/>
      <c r="E33" s="264" t="n"/>
      <c r="F33" s="264" t="n"/>
      <c r="G33" s="264" t="n"/>
      <c r="H33" s="264" t="n"/>
      <c r="I33" s="264" t="n"/>
      <c r="J33" s="264" t="n"/>
      <c r="K33" s="264" t="n"/>
      <c r="L33" s="264" t="n"/>
      <c r="M33" s="264" t="n"/>
      <c r="N33" s="264" t="n"/>
      <c r="O33" s="264" t="n"/>
      <c r="P33" s="264" t="n"/>
      <c r="Q33" s="187" t="n"/>
      <c r="R33" s="11" t="n"/>
      <c r="AL33" s="344" t="n"/>
    </row>
    <row r="34">
      <c r="A34" s="10" t="n"/>
      <c r="B34" s="3" t="n"/>
      <c r="C34" s="264" t="n"/>
      <c r="D34" s="264" t="n"/>
      <c r="E34" s="264" t="n"/>
      <c r="F34" s="264" t="n"/>
      <c r="G34" s="264" t="n"/>
      <c r="H34" s="264" t="n"/>
      <c r="I34" s="264" t="n"/>
      <c r="J34" s="264" t="n"/>
      <c r="K34" s="264" t="n"/>
      <c r="L34" s="264" t="n"/>
      <c r="M34" s="264" t="n"/>
      <c r="N34" s="264" t="n"/>
      <c r="O34" s="264" t="n"/>
      <c r="P34" s="264" t="n"/>
      <c r="Q34" s="187" t="n"/>
      <c r="R34" s="11" t="n"/>
      <c r="AL34" s="344" t="n"/>
    </row>
    <row r="35">
      <c r="A35" s="10" t="n"/>
      <c r="B35" s="3" t="n"/>
      <c r="C35" s="264" t="n"/>
      <c r="D35" s="264" t="n"/>
      <c r="E35" s="264" t="n"/>
      <c r="F35" s="24" t="n"/>
      <c r="G35" s="264" t="n"/>
      <c r="H35" s="264" t="n"/>
      <c r="I35" s="264" t="n"/>
      <c r="J35" s="264" t="n"/>
      <c r="K35" s="264" t="n"/>
      <c r="L35" s="264" t="n"/>
      <c r="M35" s="264" t="n"/>
      <c r="N35" s="264" t="n"/>
      <c r="O35" s="264" t="n"/>
      <c r="P35" s="264" t="n"/>
      <c r="Q35" s="187" t="n"/>
      <c r="R35" s="11" t="n"/>
      <c r="AL35" s="344"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c r="AL36" s="344" t="n"/>
    </row>
    <row r="37">
      <c r="A37" s="10" t="n"/>
      <c r="B37" s="3" t="n"/>
      <c r="C37" s="264" t="n"/>
      <c r="D37" s="264" t="n"/>
      <c r="E37" s="264" t="n"/>
      <c r="F37" s="264" t="n"/>
      <c r="G37" s="264" t="n"/>
      <c r="H37" s="264" t="n"/>
      <c r="I37" s="264" t="n"/>
      <c r="J37" s="264" t="n"/>
      <c r="K37" s="264" t="n"/>
      <c r="L37" s="264" t="n"/>
      <c r="M37" s="264" t="n"/>
      <c r="N37" s="264" t="n"/>
      <c r="O37" s="264" t="n"/>
      <c r="P37" s="264" t="n"/>
      <c r="Q37" s="187" t="n"/>
      <c r="R37" s="11" t="n"/>
    </row>
    <row r="38">
      <c r="A38" s="10" t="n"/>
      <c r="B38" s="171" t="n"/>
      <c r="C38" s="29" t="n"/>
      <c r="D38" s="29" t="n"/>
      <c r="E38" s="264" t="n"/>
      <c r="F38" s="264" t="n"/>
      <c r="G38" s="264" t="n"/>
      <c r="H38" s="264" t="n"/>
      <c r="I38" s="264" t="n"/>
      <c r="J38" s="264" t="n"/>
      <c r="K38" s="264" t="n"/>
      <c r="L38" s="264" t="n"/>
      <c r="M38" s="264" t="n"/>
      <c r="N38" s="264" t="n"/>
      <c r="O38" s="264" t="n"/>
      <c r="P38" s="264" t="n"/>
      <c r="Q38" s="702" t="n"/>
      <c r="R38" s="11" t="n"/>
      <c r="U38" t="inlineStr">
        <is>
          <t>ÇARPAN</t>
        </is>
      </c>
      <c r="V38">
        <f>IF(P13&gt;40,X43,X42)</f>
        <v/>
      </c>
    </row>
    <row r="39" s="684">
      <c r="A39" s="10" t="n"/>
      <c r="B39" s="171" t="n"/>
      <c r="C39" s="29" t="n"/>
      <c r="D39" s="29" t="n"/>
      <c r="E39" s="264" t="n"/>
      <c r="F39" s="264" t="n"/>
      <c r="G39" s="264" t="n"/>
      <c r="H39" s="264" t="n"/>
      <c r="I39" s="264" t="n"/>
      <c r="J39" s="264" t="n"/>
      <c r="K39" s="264" t="n"/>
      <c r="L39" s="264" t="n"/>
      <c r="M39" s="264" t="n"/>
      <c r="N39" s="264" t="n"/>
      <c r="O39" s="264" t="n"/>
      <c r="P39" s="264" t="n"/>
      <c r="Q39" s="702" t="n"/>
      <c r="R39" s="11" t="n"/>
    </row>
    <row r="40">
      <c r="A40" s="10" t="n"/>
      <c r="B40" s="171" t="n"/>
      <c r="C40" s="24" t="n"/>
      <c r="D40" s="24" t="n"/>
      <c r="E40" s="24" t="n"/>
      <c r="F40" s="24" t="n"/>
      <c r="G40" s="24" t="n"/>
      <c r="H40" s="24" t="n"/>
      <c r="I40" s="24" t="n"/>
      <c r="J40" s="24" t="n"/>
      <c r="K40" s="24" t="n"/>
      <c r="L40" s="24" t="n"/>
      <c r="M40" s="24" t="n"/>
      <c r="N40" s="24" t="n"/>
      <c r="O40" s="24" t="n"/>
      <c r="P40" s="24" t="n"/>
      <c r="Q40" s="702" t="n"/>
      <c r="R40" s="11" t="n"/>
    </row>
    <row r="41" ht="15.75" customHeight="1" s="684">
      <c r="A41" s="10" t="n"/>
      <c r="B41" s="545" t="inlineStr">
        <is>
          <t>Sonuç :</t>
        </is>
      </c>
      <c r="C41" s="231" t="n"/>
      <c r="D41" s="723">
        <f>IF(L18&lt;V15,Y32,Y24)</f>
        <v/>
      </c>
      <c r="E41" s="70" t="n"/>
      <c r="F41" s="70" t="n"/>
      <c r="G41" s="70" t="n"/>
      <c r="H41" s="70" t="n"/>
      <c r="I41" s="70" t="n"/>
      <c r="J41" s="70" t="n"/>
      <c r="K41" s="70" t="n"/>
      <c r="L41" s="70" t="n"/>
      <c r="M41" s="70" t="n"/>
      <c r="N41" s="70" t="n"/>
      <c r="O41" s="70" t="n"/>
      <c r="P41" s="70" t="n"/>
      <c r="Q41" s="343" t="n"/>
      <c r="R41" s="11" t="n"/>
    </row>
    <row r="42">
      <c r="A42" s="10" t="n"/>
      <c r="B42" s="171" t="n"/>
      <c r="C42" s="24" t="n"/>
      <c r="Q42" s="344" t="n"/>
      <c r="R42" s="11" t="n"/>
      <c r="U42" t="inlineStr">
        <is>
          <t>Test Sıcaklığı</t>
        </is>
      </c>
      <c r="V42" t="inlineStr">
        <is>
          <t>İcra Katsayısı</t>
        </is>
      </c>
      <c r="X42">
        <f>IF(P13=0,V43, IF(P13=5,V44, IF(P13=10,V45,
IF(P13=15,V46,
IF(P13=20,V47,
IF(P13=25,V48,
IF(P13=30,V49,
IF(P13=35,V50, IF(P13=40,V51, )))))))))</f>
        <v/>
      </c>
    </row>
    <row r="43">
      <c r="A43" s="10" t="n"/>
      <c r="B43" s="3" t="n"/>
      <c r="C43" s="264" t="n"/>
      <c r="Q43" s="344" t="n"/>
      <c r="R43" s="11" t="n"/>
      <c r="U43" t="n">
        <v>0</v>
      </c>
      <c r="V43" t="n">
        <v>0.25</v>
      </c>
      <c r="X43">
        <f>IF(P13=45,V52, IF(P13=50,V53, IF(P13=55,V54,
IF(P13=60,V55,
IF(P13=65,V56,
IF(P13=70,V57,
IF(P13=75,V58,
)))))))</f>
        <v/>
      </c>
    </row>
    <row r="44" s="684">
      <c r="A44" s="10" t="n"/>
      <c r="B44" s="3" t="n"/>
      <c r="C44" s="264" t="n"/>
      <c r="Q44" s="344" t="n"/>
      <c r="R44" s="11" t="n"/>
      <c r="U44" t="n">
        <v>5</v>
      </c>
      <c r="V44" t="n">
        <v>0.36</v>
      </c>
    </row>
    <row r="45">
      <c r="A45" s="10" t="n"/>
      <c r="B45" s="47" t="n"/>
      <c r="C45" s="48" t="n"/>
      <c r="D45" s="135" t="n"/>
      <c r="E45" s="135" t="n"/>
      <c r="F45" s="135" t="n"/>
      <c r="G45" s="135" t="n"/>
      <c r="H45" s="135" t="n"/>
      <c r="I45" s="135" t="n"/>
      <c r="J45" s="135" t="n"/>
      <c r="K45" s="135" t="n"/>
      <c r="L45" s="135" t="n"/>
      <c r="M45" s="135" t="n"/>
      <c r="N45" s="135" t="n"/>
      <c r="O45" s="135" t="n"/>
      <c r="P45" s="135" t="n"/>
      <c r="Q45" s="345" t="n"/>
      <c r="R45" s="11" t="n"/>
      <c r="U45" t="n">
        <v>10</v>
      </c>
      <c r="V45" t="n">
        <v>0.5</v>
      </c>
    </row>
    <row r="46">
      <c r="A46" s="10" t="n"/>
      <c r="B46" s="724"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44" t="n"/>
      <c r="R46" s="11" t="n"/>
      <c r="S46" s="10" t="n"/>
      <c r="U46" t="n">
        <v>15</v>
      </c>
      <c r="V46" t="n">
        <v>0.74</v>
      </c>
      <c r="AC46" s="34" t="n"/>
    </row>
    <row r="47">
      <c r="A47" s="10" t="n"/>
      <c r="B47" s="85" t="n"/>
      <c r="Q47" s="344" t="n"/>
      <c r="R47" s="11" t="n"/>
      <c r="S47" s="10" t="n"/>
      <c r="U47" t="n">
        <v>20</v>
      </c>
      <c r="V47" t="n">
        <v>1</v>
      </c>
    </row>
    <row r="48" s="684">
      <c r="A48" s="10" t="n"/>
      <c r="B48" s="85" t="n"/>
      <c r="Q48" s="344" t="n"/>
      <c r="R48" s="11" t="n"/>
      <c r="U48" t="n">
        <v>25</v>
      </c>
      <c r="V48" t="n">
        <v>1.4</v>
      </c>
    </row>
    <row r="49" s="684">
      <c r="A49" s="10" t="n"/>
      <c r="B49" s="62" t="n"/>
      <c r="C49" s="135" t="n"/>
      <c r="D49" s="135" t="n"/>
      <c r="E49" s="135" t="n"/>
      <c r="F49" s="135" t="n"/>
      <c r="G49" s="135" t="n"/>
      <c r="H49" s="135" t="n"/>
      <c r="I49" s="135" t="n"/>
      <c r="J49" s="135" t="n"/>
      <c r="K49" s="135" t="n"/>
      <c r="L49" s="135" t="n"/>
      <c r="M49" s="135" t="n"/>
      <c r="N49" s="135" t="n"/>
      <c r="O49" s="135" t="n"/>
      <c r="P49" s="135" t="n"/>
      <c r="Q49" s="345" t="n"/>
      <c r="R49" s="11" t="n"/>
      <c r="U49" t="n">
        <v>30</v>
      </c>
      <c r="V49" t="n">
        <v>1.98</v>
      </c>
    </row>
    <row r="50" ht="22.5" customHeight="1" s="684">
      <c r="A50" s="10" t="n"/>
      <c r="B50" s="495" t="inlineStr">
        <is>
          <t>UNVAN</t>
        </is>
      </c>
      <c r="C50" s="125" t="n"/>
      <c r="D50" s="125" t="n"/>
      <c r="E50" s="330" t="inlineStr">
        <is>
          <t>:</t>
        </is>
      </c>
      <c r="F50" s="537" t="inlineStr">
        <is>
          <t>Elektrik Mühendisi</t>
        </is>
      </c>
      <c r="G50" s="125" t="n"/>
      <c r="H50" s="125" t="n"/>
      <c r="I50" s="231" t="n"/>
      <c r="J50" s="705" t="inlineStr">
        <is>
          <t>ONAYLAYAN</t>
        </is>
      </c>
      <c r="K50" s="125" t="n"/>
      <c r="L50" s="125" t="n"/>
      <c r="M50" s="125" t="n"/>
      <c r="N50" s="125" t="n"/>
      <c r="O50" s="125" t="n"/>
      <c r="P50" s="125" t="n"/>
      <c r="Q50" s="231" t="n"/>
      <c r="R50" s="11" t="n"/>
      <c r="U50" t="n">
        <v>35</v>
      </c>
      <c r="V50" t="n">
        <v>2.8</v>
      </c>
    </row>
    <row r="51" ht="22.5" customHeight="1" s="684">
      <c r="A51" s="10" t="n"/>
      <c r="B51" s="520" t="inlineStr">
        <is>
          <t>TEST TARİHİ</t>
        </is>
      </c>
      <c r="C51" s="70" t="n"/>
      <c r="D51" s="70" t="n"/>
      <c r="E51" s="330" t="inlineStr">
        <is>
          <t>:</t>
        </is>
      </c>
      <c r="F51" s="720">
        <f>'ANA SAYFA'!F73</f>
        <v/>
      </c>
      <c r="G51" s="70" t="n"/>
      <c r="H51" s="70" t="n"/>
      <c r="I51" s="343" t="n"/>
      <c r="J51" s="75" t="n"/>
      <c r="K51" s="76" t="n"/>
      <c r="L51" s="176" t="n"/>
      <c r="M51" s="176" t="n"/>
      <c r="N51" s="176" t="n"/>
      <c r="O51" s="176" t="n"/>
      <c r="P51" s="176" t="n"/>
      <c r="Q51" s="178" t="n"/>
      <c r="R51" s="11" t="n"/>
      <c r="U51" t="n">
        <v>40</v>
      </c>
      <c r="V51" t="n">
        <v>3.95</v>
      </c>
    </row>
    <row r="52" ht="22.5" customHeight="1" s="684">
      <c r="A52" s="10" t="n"/>
      <c r="B52" s="495" t="inlineStr">
        <is>
          <t>ODA SİCİL NO</t>
        </is>
      </c>
      <c r="C52" s="125" t="n"/>
      <c r="D52" s="125" t="n"/>
      <c r="E52" s="587" t="inlineStr">
        <is>
          <t>:</t>
        </is>
      </c>
      <c r="F52" s="497">
        <f>'ANA SAYFA'!F75:J75</f>
        <v/>
      </c>
      <c r="G52" s="125" t="n"/>
      <c r="H52" s="125" t="n"/>
      <c r="I52" s="231" t="n"/>
      <c r="J52" s="75" t="n"/>
      <c r="K52" s="76" t="n"/>
      <c r="L52" s="176" t="n"/>
      <c r="M52" s="176" t="n"/>
      <c r="N52" s="176" t="n"/>
      <c r="O52" s="176" t="n"/>
      <c r="P52" s="176" t="n"/>
      <c r="Q52" s="178" t="n"/>
      <c r="R52" s="11" t="n"/>
      <c r="U52" t="n">
        <v>45</v>
      </c>
      <c r="V52" t="n">
        <v>5.6</v>
      </c>
    </row>
    <row r="53" ht="22.5" customHeight="1" s="684">
      <c r="A53" s="10" t="n"/>
      <c r="B53" s="495" t="inlineStr">
        <is>
          <t>EKİPNET NO</t>
        </is>
      </c>
      <c r="C53" s="125" t="n"/>
      <c r="D53" s="125" t="n"/>
      <c r="E53" s="496" t="inlineStr">
        <is>
          <t>:</t>
        </is>
      </c>
      <c r="F53" s="497">
        <f>'ANA SAYFA'!F76:J76</f>
        <v/>
      </c>
      <c r="G53" s="125" t="n"/>
      <c r="H53" s="125" t="n"/>
      <c r="I53" s="231" t="n"/>
      <c r="J53" s="336" t="n"/>
      <c r="K53" s="182" t="n"/>
      <c r="L53" s="182" t="n"/>
      <c r="M53" s="182" t="n"/>
      <c r="N53" s="182" t="n"/>
      <c r="O53" s="182" t="n"/>
      <c r="P53" s="182" t="n"/>
      <c r="Q53" s="179" t="n"/>
      <c r="R53" s="11" t="n"/>
      <c r="U53" t="n">
        <v>50</v>
      </c>
      <c r="V53" t="n">
        <v>7.85</v>
      </c>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L17:M17"/>
    <mergeCell ref="H21:M21"/>
    <mergeCell ref="K24:L24"/>
    <mergeCell ref="B22:C22"/>
    <mergeCell ref="D22:E22"/>
    <mergeCell ref="B53:D53"/>
    <mergeCell ref="N22:O22"/>
    <mergeCell ref="P22:Q22"/>
    <mergeCell ref="J11:L11"/>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D41:Q45"/>
    <mergeCell ref="H26:M26"/>
    <mergeCell ref="L22:M22"/>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L27:M27"/>
    <mergeCell ref="B52:D52"/>
    <mergeCell ref="N27:O27"/>
    <mergeCell ref="V18:W18"/>
    <mergeCell ref="J17:K17"/>
  </mergeCells>
  <conditionalFormatting sqref="P18:Q18">
    <cfRule type="expression" priority="19" dxfId="26">
      <formula>$L$18&lt;$V$15</formula>
    </cfRule>
  </conditionalFormatting>
  <conditionalFormatting sqref="P23:Q23">
    <cfRule type="expression" priority="2" dxfId="26">
      <formula>$L$23&lt;$V$20</formula>
    </cfRule>
  </conditionalFormatting>
  <conditionalFormatting sqref="P28:Q28">
    <cfRule type="expression" priority="1" dxfId="26">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zoomScale="85" zoomScaleNormal="85" workbookViewId="0">
      <selection activeCell="N52" sqref="N52"/>
    </sheetView>
  </sheetViews>
  <sheetFormatPr baseColWidth="8" defaultRowHeight="15"/>
  <cols>
    <col width="3.5703125" customWidth="1" style="684" min="1" max="1"/>
    <col width="5.42578125" customWidth="1" style="684" min="2" max="5"/>
    <col width="6.5703125" customWidth="1" style="684" min="6" max="6"/>
    <col width="5.42578125" customWidth="1" style="684" min="7" max="10"/>
    <col width="6" customWidth="1" style="684" min="11" max="17"/>
    <col width="3.5703125" customWidth="1" style="684" min="18" max="18"/>
    <col width="10.5703125" customWidth="1" style="684" min="19" max="19"/>
    <col width="12.28515625" customWidth="1" style="684" min="20" max="20"/>
    <col width="9.7109375" customWidth="1" style="684" min="21" max="21"/>
    <col width="9" customWidth="1" style="684" min="22" max="22"/>
    <col width="11.7109375" customWidth="1" style="684" min="23" max="23"/>
    <col width="11" customWidth="1" style="684"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ÇEVİRME ORANI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row>
    <row r="10">
      <c r="A10" s="10" t="n"/>
      <c r="B10" s="3" t="n"/>
      <c r="C10" s="264" t="n"/>
      <c r="D10" s="264" t="n"/>
      <c r="E10" s="264" t="n"/>
      <c r="F10" s="264" t="n"/>
      <c r="G10" s="264" t="n"/>
      <c r="H10" s="264" t="n"/>
      <c r="I10" s="264" t="n"/>
      <c r="J10" s="264" t="n"/>
      <c r="K10" s="264" t="n"/>
      <c r="L10" s="264" t="n"/>
      <c r="M10" s="264" t="n"/>
      <c r="N10" s="264" t="n"/>
      <c r="O10" s="264" t="n"/>
      <c r="P10" s="264" t="n"/>
      <c r="Q10" s="187" t="n"/>
      <c r="R10" s="11" t="n"/>
    </row>
    <row r="11">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row>
    <row r="12">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AB13" t="inlineStr">
        <is>
          <t xml:space="preserve"> </t>
        </is>
      </c>
    </row>
    <row r="1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ht="18.75" customHeight="1" s="684">
      <c r="A15" s="10" t="n"/>
      <c r="B15" s="492" t="inlineStr">
        <is>
          <t>PT Her Bir Kademe Oran</t>
        </is>
      </c>
      <c r="C15" s="125" t="n"/>
      <c r="D15" s="125" t="n"/>
      <c r="E15" s="125" t="n"/>
      <c r="F15" s="125" t="n"/>
      <c r="G15" s="125" t="n"/>
      <c r="H15" s="125" t="n"/>
      <c r="I15" s="125" t="n"/>
      <c r="J15" s="165" t="inlineStr">
        <is>
          <t xml:space="preserve">Tap </t>
        </is>
      </c>
      <c r="K15" s="165">
        <f>'ANA SAYFA'!S11</f>
        <v/>
      </c>
      <c r="L15" s="165" t="n"/>
      <c r="M15" s="165" t="n"/>
      <c r="N15" s="494" t="inlineStr">
        <is>
          <t>Kademe #1</t>
        </is>
      </c>
      <c r="O15" s="125" t="n"/>
      <c r="P15" s="125" t="n"/>
      <c r="Q15" s="231" t="n"/>
      <c r="R15" s="11" t="n"/>
      <c r="T15">
        <f>'ANA SAYFA'!R53</f>
        <v/>
      </c>
      <c r="U15" t="inlineStr">
        <is>
          <t>A</t>
        </is>
      </c>
      <c r="V15" s="36">
        <f>O26</f>
        <v/>
      </c>
      <c r="X15" s="36" t="n"/>
    </row>
    <row r="16">
      <c r="A16" s="10" t="n"/>
      <c r="B16" s="3" t="n"/>
      <c r="C16" s="264" t="n"/>
      <c r="D16" s="264" t="n"/>
      <c r="E16" s="264" t="n"/>
      <c r="F16" s="264" t="n"/>
      <c r="G16" s="264" t="n"/>
      <c r="H16" s="264" t="n"/>
      <c r="I16" s="264" t="n"/>
      <c r="J16" s="264" t="n"/>
      <c r="K16" s="264" t="n"/>
      <c r="L16" s="264" t="n"/>
      <c r="M16" s="264" t="n"/>
      <c r="N16" s="264" t="n"/>
      <c r="O16" s="264" t="n"/>
      <c r="P16" s="264" t="n"/>
      <c r="Q16" s="187" t="n"/>
      <c r="R16" s="11" t="n"/>
      <c r="U16" t="inlineStr">
        <is>
          <t>B</t>
        </is>
      </c>
      <c r="V16" s="36">
        <f>O27</f>
        <v/>
      </c>
    </row>
    <row r="17">
      <c r="A17" s="10" t="n"/>
      <c r="B17" s="498" t="inlineStr">
        <is>
          <t>Nominal Değerler</t>
        </is>
      </c>
      <c r="F17" s="577" t="n"/>
      <c r="J17" s="499" t="inlineStr">
        <is>
          <t>Test Değerleri</t>
        </is>
      </c>
      <c r="N17" s="420" t="n"/>
      <c r="Q17" s="344" t="n"/>
      <c r="R17" s="11" t="n"/>
      <c r="U17" t="inlineStr">
        <is>
          <t>C</t>
        </is>
      </c>
      <c r="V17" s="36">
        <f>O28</f>
        <v/>
      </c>
      <c r="X17" s="37" t="n"/>
    </row>
    <row r="18">
      <c r="A18" s="10" t="n"/>
      <c r="B18" s="426" t="inlineStr">
        <is>
          <t>HV Kademeler</t>
        </is>
      </c>
      <c r="F18" s="567">
        <f>'ANA SAYFA'!O53</f>
        <v/>
      </c>
      <c r="H18" s="264" t="inlineStr">
        <is>
          <t>V</t>
        </is>
      </c>
      <c r="I18" s="264" t="n"/>
      <c r="J18" s="577" t="inlineStr">
        <is>
          <t>Gerilim</t>
        </is>
      </c>
      <c r="N18" s="569" t="inlineStr">
        <is>
          <t>500,0 V</t>
        </is>
      </c>
      <c r="Q18" s="344" t="n"/>
      <c r="R18" s="11" t="n"/>
      <c r="U18" t="inlineStr">
        <is>
          <t>SINIR DEĞER</t>
        </is>
      </c>
      <c r="V18" t="n">
        <v>0.5</v>
      </c>
    </row>
    <row r="19" ht="15.75" customHeight="1" s="684">
      <c r="A19" s="10" t="n"/>
      <c r="B19" s="426" t="inlineStr">
        <is>
          <t>LV Ratings</t>
        </is>
      </c>
      <c r="F19" s="570" t="n">
        <v>231</v>
      </c>
      <c r="H19" s="264" t="inlineStr">
        <is>
          <t>V</t>
        </is>
      </c>
      <c r="I19" s="264" t="n"/>
      <c r="J19" s="577" t="inlineStr">
        <is>
          <t>Frekans</t>
        </is>
      </c>
      <c r="N19" s="420" t="inlineStr">
        <is>
          <t>50, Hz</t>
        </is>
      </c>
      <c r="Q19" s="344" t="n"/>
      <c r="R19" s="11" t="n"/>
      <c r="W19" s="128" t="n">
        <v>0.5</v>
      </c>
      <c r="X19" s="128" t="n">
        <v>-0.5</v>
      </c>
      <c r="Y19" s="128" t="n"/>
      <c r="Z19" s="128" t="n"/>
      <c r="AA19" s="128" t="n"/>
      <c r="AB19" s="128" t="n"/>
      <c r="AC19" s="128" t="n"/>
    </row>
    <row r="20" ht="15.75" customHeight="1" s="684">
      <c r="A20" s="10" t="n"/>
      <c r="B20" s="426" t="inlineStr">
        <is>
          <t>Çevirme Oranı</t>
        </is>
      </c>
      <c r="F20" s="571">
        <f>F18/T15</f>
        <v/>
      </c>
      <c r="H20" s="264" t="n"/>
      <c r="I20" s="264" t="n"/>
      <c r="J20" s="577" t="n"/>
      <c r="N20" s="420" t="n"/>
      <c r="Q20" s="344" t="n"/>
      <c r="R20" s="11" t="n"/>
      <c r="W20" s="128" t="n"/>
      <c r="X20" s="128" t="n"/>
      <c r="Y20" s="128" t="n"/>
      <c r="Z20" s="128" t="n"/>
      <c r="AA20" s="128" t="n"/>
      <c r="AB20" s="128" t="n"/>
      <c r="AC20" s="128" t="n"/>
    </row>
    <row r="21" ht="15.75" customHeight="1" s="684">
      <c r="A21" s="10" t="n"/>
      <c r="B21" s="426" t="n"/>
      <c r="F21" s="577" t="n"/>
      <c r="J21" s="577" t="n"/>
      <c r="N21" s="420" t="n"/>
      <c r="Q21" s="344" t="n"/>
      <c r="R21" s="11" t="n"/>
      <c r="W21" s="128" t="n"/>
      <c r="X21" s="128" t="n"/>
      <c r="Y21" s="128" t="n"/>
      <c r="Z21" s="128" t="n"/>
      <c r="AA21" s="128" t="n"/>
      <c r="AB21" s="128" t="n"/>
      <c r="AC21" s="128" t="n"/>
    </row>
    <row r="22" ht="18.75" customHeight="1" s="684">
      <c r="A22" s="10" t="n"/>
      <c r="B22" s="725" t="inlineStr">
        <is>
          <t>Sonuçlar</t>
        </is>
      </c>
      <c r="Q22" s="344" t="n"/>
      <c r="R22" s="11" t="n"/>
      <c r="W22" s="128" t="n"/>
      <c r="X22" s="128" t="n"/>
      <c r="Y22" s="128" t="n"/>
      <c r="Z22" s="128" t="n"/>
      <c r="AA22" s="128" t="n"/>
      <c r="AB22" s="128" t="n"/>
      <c r="AC22" s="128" t="n"/>
    </row>
    <row r="23">
      <c r="A23" s="35" t="n"/>
      <c r="Q23" s="344" t="n"/>
      <c r="R23" s="11" t="n"/>
    </row>
    <row r="24" ht="15.75" customHeight="1" s="684">
      <c r="A24" s="10" t="n"/>
      <c r="B24" s="145" t="n"/>
      <c r="C24" s="19" t="n"/>
      <c r="D24" s="19" t="n"/>
      <c r="E24" s="19" t="n"/>
      <c r="F24" s="19" t="n"/>
      <c r="G24" s="19" t="n"/>
      <c r="H24" s="19" t="n"/>
      <c r="I24" s="19" t="n"/>
      <c r="J24" s="19" t="n"/>
      <c r="K24" s="19" t="n"/>
      <c r="L24" s="19" t="n"/>
      <c r="M24" s="19" t="n"/>
      <c r="N24" s="19" t="n"/>
      <c r="O24" s="19" t="n"/>
      <c r="P24" s="19" t="n"/>
      <c r="Q24" s="693" t="n"/>
      <c r="R24" s="11" t="n"/>
      <c r="W24" s="128" t="n"/>
      <c r="X24" s="128" t="n"/>
      <c r="Y24" s="128" t="n"/>
      <c r="Z24" s="128" t="n"/>
      <c r="AA24" s="128" t="n"/>
      <c r="AB24" s="128" t="n"/>
      <c r="AC24" s="128" t="n"/>
    </row>
    <row r="25">
      <c r="A25" s="10" t="n"/>
      <c r="B25" s="504" t="n"/>
      <c r="C25" s="541" t="inlineStr">
        <is>
          <t>Vn HV [V]</t>
        </is>
      </c>
      <c r="D25" s="231" t="n"/>
      <c r="E25" s="607" t="inlineStr">
        <is>
          <t>V HV[V]</t>
        </is>
      </c>
      <c r="F25" s="231" t="n"/>
      <c r="G25" s="607" t="inlineStr">
        <is>
          <t>I HV[A]</t>
        </is>
      </c>
      <c r="H25" s="231" t="n"/>
      <c r="I25" s="607" t="inlineStr">
        <is>
          <t>V LV[V]</t>
        </is>
      </c>
      <c r="J25" s="231" t="n"/>
      <c r="K25" s="726" t="inlineStr">
        <is>
          <t>ᶲV LV [°]</t>
        </is>
      </c>
      <c r="L25" s="231" t="n"/>
      <c r="M25" s="607" t="inlineStr">
        <is>
          <t>Ratio</t>
        </is>
      </c>
      <c r="N25" s="231" t="n"/>
      <c r="O25" s="607" t="inlineStr">
        <is>
          <t>Err %</t>
        </is>
      </c>
      <c r="P25" s="125" t="n"/>
      <c r="Q25" s="231" t="n"/>
      <c r="R25" s="11" t="n"/>
      <c r="V25" s="577" t="inlineStr">
        <is>
          <t>( A ) Fazına ait çevirme oranı hata yüzdesi uygundur.</t>
        </is>
      </c>
    </row>
    <row r="26" ht="15.75" customHeight="1" s="684">
      <c r="A26" s="10" t="n"/>
      <c r="B26" s="504" t="inlineStr">
        <is>
          <t>A</t>
        </is>
      </c>
      <c r="C26" s="582" t="n">
        <v>500</v>
      </c>
      <c r="D26" s="231" t="n"/>
      <c r="E26" s="505" t="n">
        <v>500</v>
      </c>
      <c r="F26" s="231" t="n"/>
      <c r="G26" s="727">
        <f>I26/M26</f>
        <v/>
      </c>
      <c r="H26" s="231" t="n"/>
      <c r="I26" s="505" t="n">
        <v>1.5</v>
      </c>
      <c r="J26" s="231" t="n"/>
      <c r="K26" s="505" t="inlineStr">
        <is>
          <t>26,0m</t>
        </is>
      </c>
      <c r="L26" s="231" t="n"/>
      <c r="M26" s="728">
        <f>'ANA SAYFA'!AF51</f>
        <v/>
      </c>
      <c r="N26" s="231" t="n"/>
      <c r="O26" s="729">
        <f>(M26-F20)/F20*100</f>
        <v/>
      </c>
      <c r="P26" s="125" t="n"/>
      <c r="Q26" s="231" t="n"/>
      <c r="R26" s="11" t="n"/>
      <c r="W26" s="128" t="n"/>
      <c r="X26" s="128" t="n"/>
      <c r="Y26" s="128" t="n"/>
      <c r="Z26" s="128" t="n"/>
      <c r="AA26" s="128" t="n"/>
      <c r="AB26" s="128" t="n"/>
      <c r="AC26" s="128" t="n"/>
    </row>
    <row r="27" ht="15.75" customHeight="1" s="684">
      <c r="A27" s="10" t="n"/>
      <c r="B27" s="504" t="inlineStr">
        <is>
          <t>B</t>
        </is>
      </c>
      <c r="C27" s="582" t="n">
        <v>500</v>
      </c>
      <c r="D27" s="231" t="n"/>
      <c r="E27" s="505" t="n">
        <v>500</v>
      </c>
      <c r="F27" s="231" t="n"/>
      <c r="G27" s="727">
        <f>I27/M27</f>
        <v/>
      </c>
      <c r="H27" s="231" t="n"/>
      <c r="I27" s="505" t="n">
        <v>1.5</v>
      </c>
      <c r="J27" s="231" t="n"/>
      <c r="K27" s="505" t="inlineStr">
        <is>
          <t>26,0m</t>
        </is>
      </c>
      <c r="L27" s="231" t="n"/>
      <c r="M27" s="728">
        <f>'ANA SAYFA'!AI51</f>
        <v/>
      </c>
      <c r="N27" s="231" t="n"/>
      <c r="O27" s="729">
        <f>(M27-F20)/F20*100</f>
        <v/>
      </c>
      <c r="P27" s="125" t="n"/>
      <c r="Q27" s="231" t="n"/>
      <c r="R27" s="11" t="n"/>
      <c r="V27" s="577" t="inlineStr">
        <is>
          <t>( A ) Fazına ait çevirme oranı hata yüzdesi hatalı olduğu tespit edilmiştir.</t>
        </is>
      </c>
    </row>
    <row r="28" ht="15.75" customHeight="1" s="684">
      <c r="A28" s="10" t="n"/>
      <c r="B28" s="504" t="inlineStr">
        <is>
          <t>C</t>
        </is>
      </c>
      <c r="C28" s="582" t="n">
        <v>500</v>
      </c>
      <c r="D28" s="231" t="n"/>
      <c r="E28" s="505" t="n">
        <v>500</v>
      </c>
      <c r="F28" s="231" t="n"/>
      <c r="G28" s="727">
        <f>I28/M28</f>
        <v/>
      </c>
      <c r="H28" s="231" t="n"/>
      <c r="I28" s="505" t="n">
        <v>1.5</v>
      </c>
      <c r="J28" s="231" t="n"/>
      <c r="K28" s="505" t="inlineStr">
        <is>
          <t>26,0m</t>
        </is>
      </c>
      <c r="L28" s="231" t="n"/>
      <c r="M28" s="728">
        <f>'ANA SAYFA'!AL51</f>
        <v/>
      </c>
      <c r="N28" s="231" t="n"/>
      <c r="O28" s="729">
        <f>(M28-F20)/F20*100</f>
        <v/>
      </c>
      <c r="P28" s="125" t="n"/>
      <c r="Q28" s="231" t="n"/>
      <c r="R28" s="11" t="n"/>
    </row>
    <row r="29">
      <c r="A29" s="35" t="n"/>
      <c r="Q29" s="344" t="n"/>
      <c r="R29" s="11" t="n"/>
      <c r="V29" s="577" t="inlineStr">
        <is>
          <t>( B ) Fazına ait çevirme oranı hata yüzdesi uygundur.</t>
        </is>
      </c>
    </row>
    <row r="30" ht="15.75" customHeight="1" s="684">
      <c r="A30" s="35" t="n"/>
      <c r="Q30" s="344" t="n"/>
      <c r="R30" s="11" t="n"/>
      <c r="W30" s="128" t="n"/>
      <c r="X30" s="128" t="n"/>
      <c r="Y30" s="128" t="n"/>
      <c r="Z30" s="128" t="n"/>
      <c r="AA30" s="128" t="n"/>
      <c r="AB30" s="128" t="n"/>
      <c r="AC30" s="128" t="n"/>
    </row>
    <row r="31">
      <c r="A31" s="35" t="n"/>
      <c r="Q31" s="344" t="n"/>
      <c r="R31" s="11" t="n"/>
      <c r="V31" s="577" t="inlineStr">
        <is>
          <t>( B ) Fazına ait çevirme oranı hata yüzdesi hatalı olduğu tespit edilmiştir.</t>
        </is>
      </c>
    </row>
    <row r="32" ht="15.75" customHeight="1" s="684">
      <c r="A32" s="10" t="n"/>
      <c r="B32" s="3" t="n"/>
      <c r="C32" s="264" t="n"/>
      <c r="D32" s="264" t="n"/>
      <c r="E32" s="264" t="n"/>
      <c r="F32" s="264" t="n"/>
      <c r="G32" s="264" t="n"/>
      <c r="H32" s="264" t="n"/>
      <c r="I32" s="264" t="n"/>
      <c r="J32" s="264" t="n"/>
      <c r="K32" s="264" t="n"/>
      <c r="L32" s="264" t="n"/>
      <c r="M32" s="264" t="n"/>
      <c r="N32" s="264" t="n"/>
      <c r="O32" s="264" t="n"/>
      <c r="P32" s="264" t="n"/>
      <c r="Q32" s="187" t="n"/>
      <c r="R32" s="11" t="n"/>
      <c r="W32" s="128" t="n"/>
      <c r="X32" s="128" t="n"/>
      <c r="Y32" s="128" t="n"/>
      <c r="Z32" s="128" t="n"/>
      <c r="AA32" s="128" t="n"/>
      <c r="AB32" s="128" t="n"/>
      <c r="AC32" s="128" t="n"/>
    </row>
    <row r="33" ht="15.75" customHeight="1" s="684">
      <c r="A33" s="10" t="n"/>
      <c r="B33" s="3" t="n"/>
      <c r="C33" s="264" t="n"/>
      <c r="D33" s="264" t="n"/>
      <c r="E33" s="264" t="n"/>
      <c r="F33" s="264" t="n"/>
      <c r="G33" s="264" t="n"/>
      <c r="H33" s="264" t="n"/>
      <c r="I33" s="264" t="n"/>
      <c r="J33" s="264" t="n"/>
      <c r="K33" s="264" t="n"/>
      <c r="L33" s="264" t="n"/>
      <c r="M33" s="264" t="n"/>
      <c r="N33" s="264" t="n"/>
      <c r="O33" s="264" t="n"/>
      <c r="P33" s="264" t="n"/>
      <c r="Q33" s="187" t="n"/>
      <c r="R33" s="11" t="n"/>
      <c r="W33" s="128" t="n"/>
      <c r="X33" s="128" t="n"/>
      <c r="Y33" s="128" t="n"/>
      <c r="Z33" s="128" t="n"/>
      <c r="AA33" s="128" t="n"/>
      <c r="AB33" s="128" t="n"/>
      <c r="AC33" s="128" t="n"/>
    </row>
    <row r="34">
      <c r="A34" s="10" t="n"/>
      <c r="B34" s="3" t="n"/>
      <c r="C34" s="264" t="n"/>
      <c r="D34" s="264" t="n"/>
      <c r="E34" s="264" t="n"/>
      <c r="F34" s="264" t="n"/>
      <c r="G34" s="264" t="n"/>
      <c r="H34" s="264" t="n"/>
      <c r="I34" s="264" t="n"/>
      <c r="J34" s="264" t="n"/>
      <c r="K34" s="264" t="n"/>
      <c r="L34" s="264" t="n"/>
      <c r="M34" s="264" t="n"/>
      <c r="N34" s="264" t="n"/>
      <c r="O34" s="264" t="n"/>
      <c r="P34" s="264" t="n"/>
      <c r="Q34" s="187" t="n"/>
      <c r="R34" s="11" t="n"/>
      <c r="V34" s="577" t="inlineStr">
        <is>
          <t>( C ) Fazına ait çevirme oranı hata yüzdesi uygundur.</t>
        </is>
      </c>
    </row>
    <row r="35">
      <c r="A35" s="10" t="n"/>
      <c r="B35" s="3" t="n"/>
      <c r="C35" s="264" t="n"/>
      <c r="D35" s="264" t="n"/>
      <c r="E35" s="264" t="n"/>
      <c r="F35" s="2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c r="V36" s="577" t="inlineStr">
        <is>
          <t>( C ) Fazına ait çevirme oranı hata yüzdesi hatalı olduğu tespit edilmiştir.</t>
        </is>
      </c>
    </row>
    <row r="37">
      <c r="A37" s="10" t="n"/>
      <c r="B37" s="3" t="n"/>
      <c r="C37" s="264" t="n"/>
      <c r="D37" s="264" t="n"/>
      <c r="E37" s="264" t="n"/>
      <c r="F37" s="264" t="n"/>
      <c r="G37" s="264" t="n"/>
      <c r="H37" s="264" t="n"/>
      <c r="I37" s="264" t="n"/>
      <c r="J37" s="264" t="n"/>
      <c r="K37" s="264" t="n"/>
      <c r="L37" s="264" t="n"/>
      <c r="M37" s="264" t="n"/>
      <c r="N37" s="264" t="n"/>
      <c r="O37" s="264" t="n"/>
      <c r="P37" s="264" t="n"/>
      <c r="Q37" s="187" t="n"/>
      <c r="R37" s="11" t="n"/>
    </row>
    <row r="38" s="684">
      <c r="A38" s="10" t="n"/>
      <c r="B38" s="3" t="n"/>
      <c r="C38" s="264" t="n"/>
      <c r="D38" s="264" t="n"/>
      <c r="E38" s="264" t="n"/>
      <c r="F38" s="264" t="n"/>
      <c r="G38" s="264" t="n"/>
      <c r="H38" s="264" t="n"/>
      <c r="I38" s="264" t="n"/>
      <c r="J38" s="264" t="n"/>
      <c r="K38" s="264" t="n"/>
      <c r="L38" s="264" t="n"/>
      <c r="M38" s="264" t="n"/>
      <c r="N38" s="264" t="n"/>
      <c r="O38" s="264" t="n"/>
      <c r="P38" s="264" t="n"/>
      <c r="Q38" s="187" t="n"/>
      <c r="R38" s="11" t="n"/>
    </row>
    <row r="39" s="684">
      <c r="A39" s="10" t="n"/>
      <c r="B39" s="3" t="n"/>
      <c r="C39" s="264" t="n"/>
      <c r="D39" s="264" t="n"/>
      <c r="E39" s="264" t="n"/>
      <c r="F39" s="264" t="n"/>
      <c r="G39" s="264" t="n"/>
      <c r="H39" s="264" t="n"/>
      <c r="I39" s="264" t="n"/>
      <c r="J39" s="264" t="n"/>
      <c r="K39" s="264" t="n"/>
      <c r="L39" s="264" t="n"/>
      <c r="M39" s="264" t="n"/>
      <c r="N39" s="264" t="n"/>
      <c r="O39" s="264" t="n"/>
      <c r="P39" s="264" t="n"/>
      <c r="Q39" s="187" t="n"/>
      <c r="R39" s="11" t="n"/>
    </row>
    <row r="40" s="684">
      <c r="A40" s="10" t="n"/>
      <c r="B40" s="3" t="n"/>
      <c r="C40" s="264" t="n"/>
      <c r="D40" s="264" t="n"/>
      <c r="E40" s="264" t="n"/>
      <c r="F40" s="264" t="n"/>
      <c r="G40" s="264" t="n"/>
      <c r="H40" s="264" t="n"/>
      <c r="I40" s="264" t="n"/>
      <c r="J40" s="264" t="n"/>
      <c r="K40" s="264" t="n"/>
      <c r="L40" s="264" t="n"/>
      <c r="M40" s="264" t="n"/>
      <c r="N40" s="264" t="n"/>
      <c r="O40" s="264" t="n"/>
      <c r="P40" s="264" t="n"/>
      <c r="Q40" s="187" t="n"/>
      <c r="R40" s="11" t="n"/>
    </row>
    <row r="41" s="684">
      <c r="A41" s="10" t="n"/>
      <c r="B41" s="3" t="n"/>
      <c r="C41" s="264" t="n"/>
      <c r="D41" s="264" t="n"/>
      <c r="E41" s="264" t="n"/>
      <c r="F41" s="264" t="n"/>
      <c r="G41" s="264" t="n"/>
      <c r="H41" s="264" t="n"/>
      <c r="I41" s="264" t="n"/>
      <c r="J41" s="264" t="n"/>
      <c r="K41" s="264" t="n"/>
      <c r="L41" s="264" t="n"/>
      <c r="M41" s="264" t="n"/>
      <c r="N41" s="264" t="n"/>
      <c r="O41" s="264" t="n"/>
      <c r="P41" s="264" t="n"/>
      <c r="Q41" s="187" t="n"/>
      <c r="R41" s="11" t="n"/>
    </row>
    <row r="42">
      <c r="A42" s="10" t="n"/>
      <c r="B42" s="171" t="n"/>
      <c r="C42" s="29" t="n"/>
      <c r="D42" s="29" t="n"/>
      <c r="E42" s="264" t="n"/>
      <c r="F42" s="264" t="n"/>
      <c r="G42" s="264" t="n"/>
      <c r="H42" s="264" t="n"/>
      <c r="I42" s="264" t="n"/>
      <c r="J42" s="264" t="n"/>
      <c r="K42" s="264" t="n"/>
      <c r="L42" s="264" t="n"/>
      <c r="M42" s="264" t="n"/>
      <c r="N42" s="264" t="n"/>
      <c r="O42" s="264" t="n"/>
      <c r="P42" s="264" t="n"/>
      <c r="Q42" s="702" t="n"/>
      <c r="R42" s="11" t="n"/>
    </row>
    <row r="43">
      <c r="A43" s="10" t="n"/>
      <c r="B43" s="171" t="n"/>
      <c r="C43" s="24" t="n"/>
      <c r="D43" s="24" t="n"/>
      <c r="E43" s="24" t="n"/>
      <c r="F43" s="24" t="n"/>
      <c r="G43" s="24" t="n"/>
      <c r="H43" s="24" t="n"/>
      <c r="I43" s="24" t="n"/>
      <c r="J43" s="24" t="n"/>
      <c r="K43" s="24" t="n"/>
      <c r="L43" s="24" t="n"/>
      <c r="M43" s="24" t="n"/>
      <c r="N43" s="24" t="n"/>
      <c r="O43" s="24" t="n"/>
      <c r="P43" s="24" t="n"/>
      <c r="Q43" s="702" t="n"/>
      <c r="R43" s="11" t="n"/>
    </row>
    <row r="44" ht="15.75" customHeight="1" s="684">
      <c r="A44" s="10" t="n"/>
      <c r="B44" s="512" t="inlineStr">
        <is>
          <t>Sonuç :</t>
        </is>
      </c>
      <c r="C44" s="70" t="n"/>
      <c r="D44" s="448">
        <f>IF(OR(O26&gt;W19,O26&lt;X19),V27,V25)</f>
        <v/>
      </c>
      <c r="E44" s="70" t="n"/>
      <c r="F44" s="70" t="n"/>
      <c r="G44" s="70" t="n"/>
      <c r="H44" s="70" t="n"/>
      <c r="I44" s="70" t="n"/>
      <c r="J44" s="70" t="n"/>
      <c r="K44" s="70" t="n"/>
      <c r="L44" s="70" t="n"/>
      <c r="M44" s="70" t="n"/>
      <c r="N44" s="70" t="n"/>
      <c r="O44" s="70" t="n"/>
      <c r="P44" s="70" t="n"/>
      <c r="Q44" s="343" t="n"/>
      <c r="R44" s="11" t="n"/>
    </row>
    <row r="45" ht="4.5" customHeight="1" s="684">
      <c r="A45" s="10" t="n"/>
      <c r="B45" s="171" t="n"/>
      <c r="C45" s="24" t="n"/>
      <c r="D45" s="128" t="n"/>
      <c r="E45" s="128" t="n"/>
      <c r="F45" s="128" t="n"/>
      <c r="G45" s="128" t="n"/>
      <c r="H45" s="128" t="n"/>
      <c r="I45" s="128" t="n"/>
      <c r="J45" s="128" t="n"/>
      <c r="K45" s="128" t="n"/>
      <c r="L45" s="128" t="n"/>
      <c r="M45" s="128" t="n"/>
      <c r="N45" s="128" t="n"/>
      <c r="O45" s="128" t="n"/>
      <c r="P45" s="128" t="n"/>
      <c r="Q45" s="129" t="n"/>
      <c r="R45" s="11" t="n"/>
    </row>
    <row r="46" ht="15" customHeight="1" s="684">
      <c r="A46" s="10" t="n"/>
      <c r="B46" s="3" t="n"/>
      <c r="C46" s="264" t="n"/>
      <c r="D46" s="446">
        <f>IF(OR(O27&gt;W19,O27&lt;X19),V31,V29)</f>
        <v/>
      </c>
      <c r="Q46" s="344" t="n"/>
      <c r="R46" s="11" t="n"/>
    </row>
    <row r="47" ht="4.5" customHeight="1" s="684">
      <c r="A47" s="10" t="n"/>
      <c r="B47" s="3" t="n"/>
      <c r="C47" s="264" t="n"/>
      <c r="D47" s="128" t="n"/>
      <c r="E47" s="128" t="n"/>
      <c r="F47" s="128" t="n"/>
      <c r="G47" s="128" t="n"/>
      <c r="H47" s="128" t="n"/>
      <c r="I47" s="128" t="n"/>
      <c r="J47" s="128" t="n"/>
      <c r="K47" s="128" t="n"/>
      <c r="L47" s="128" t="n"/>
      <c r="M47" s="128" t="n"/>
      <c r="N47" s="128" t="n"/>
      <c r="O47" s="128" t="n"/>
      <c r="P47" s="128" t="n"/>
      <c r="Q47" s="129" t="n"/>
      <c r="R47" s="11" t="n"/>
    </row>
    <row r="48" ht="15.75" customHeight="1" s="684">
      <c r="A48" s="10" t="n"/>
      <c r="B48" s="85" t="n"/>
      <c r="D48" s="579">
        <f>IF(OR(O28&gt;W19,O28&lt;X19),V36,V34)</f>
        <v/>
      </c>
      <c r="Q48" s="344" t="n"/>
      <c r="R48" s="11" t="n"/>
    </row>
    <row r="49">
      <c r="A49" s="10" t="n"/>
      <c r="B49" s="62" t="n"/>
      <c r="C49" s="135" t="n"/>
      <c r="D49" s="135" t="n"/>
      <c r="E49" s="135" t="n"/>
      <c r="F49" s="135" t="n"/>
      <c r="G49" s="135" t="n"/>
      <c r="H49" s="135" t="n"/>
      <c r="I49" s="135" t="n"/>
      <c r="J49" s="135" t="n"/>
      <c r="K49" s="135" t="n"/>
      <c r="L49" s="135" t="n"/>
      <c r="M49" s="135" t="n"/>
      <c r="N49" s="135" t="n"/>
      <c r="O49" s="135" t="n"/>
      <c r="P49" s="135" t="n"/>
      <c r="Q49" s="345" t="n"/>
      <c r="R49" s="11" t="n"/>
    </row>
    <row r="50" ht="22.5" customHeight="1" s="684">
      <c r="A50" s="10" t="n"/>
      <c r="B50" s="520" t="inlineStr">
        <is>
          <t>UNVAN</t>
        </is>
      </c>
      <c r="C50" s="70" t="n"/>
      <c r="D50" s="70" t="n"/>
      <c r="E50" s="330" t="inlineStr">
        <is>
          <t>:</t>
        </is>
      </c>
      <c r="F50" s="519" t="inlineStr">
        <is>
          <t>Elektrik Mühendisi</t>
        </is>
      </c>
      <c r="G50" s="70" t="n"/>
      <c r="H50" s="70" t="n"/>
      <c r="I50" s="343" t="n"/>
      <c r="J50" s="705" t="inlineStr">
        <is>
          <t>ONAYLAYAN</t>
        </is>
      </c>
      <c r="K50" s="125" t="n"/>
      <c r="L50" s="125" t="n"/>
      <c r="M50" s="125" t="n"/>
      <c r="N50" s="125" t="n"/>
      <c r="O50" s="125" t="n"/>
      <c r="P50" s="125" t="n"/>
      <c r="Q50" s="231" t="n"/>
      <c r="R50" s="11" t="n"/>
    </row>
    <row r="51" ht="22.5" customHeight="1" s="684">
      <c r="A51" s="10" t="n"/>
      <c r="B51" s="520" t="inlineStr">
        <is>
          <t>TEST TARİHİ</t>
        </is>
      </c>
      <c r="C51" s="70" t="n"/>
      <c r="D51" s="70" t="n"/>
      <c r="E51" s="330" t="inlineStr">
        <is>
          <t>:</t>
        </is>
      </c>
      <c r="F51" s="720">
        <f>'ANA SAYFA'!F73</f>
        <v/>
      </c>
      <c r="G51" s="70" t="n"/>
      <c r="H51" s="70" t="n"/>
      <c r="I51" s="343" t="n"/>
      <c r="J51" s="75" t="n"/>
      <c r="K51" s="76" t="n"/>
      <c r="L51" s="176" t="n"/>
      <c r="M51" s="176" t="n"/>
      <c r="N51" s="176" t="n"/>
      <c r="O51" s="176" t="n"/>
      <c r="P51" s="176" t="n"/>
      <c r="Q51" s="178" t="n"/>
      <c r="R51" s="11" t="n"/>
    </row>
    <row r="52" ht="22.5" customHeight="1" s="684">
      <c r="A52" s="10" t="n"/>
      <c r="B52" s="495" t="inlineStr">
        <is>
          <t>ODA SİCİL NO</t>
        </is>
      </c>
      <c r="C52" s="125" t="n"/>
      <c r="D52" s="125" t="n"/>
      <c r="E52" s="587" t="inlineStr">
        <is>
          <t>:</t>
        </is>
      </c>
      <c r="F52" s="588">
        <f>'ANA SAYFA'!F75:J75</f>
        <v/>
      </c>
      <c r="G52" s="70" t="n"/>
      <c r="H52" s="70" t="n"/>
      <c r="I52" s="343" t="n"/>
      <c r="J52" s="75" t="n"/>
      <c r="K52" s="76" t="n"/>
      <c r="L52" s="176" t="n"/>
      <c r="M52" s="176" t="n"/>
      <c r="N52" s="176" t="n"/>
      <c r="O52" s="176" t="n"/>
      <c r="P52" s="176" t="n"/>
      <c r="Q52" s="178" t="n"/>
      <c r="R52" s="11" t="n"/>
    </row>
    <row r="53" ht="22.5" customHeight="1" s="684">
      <c r="A53" s="10" t="n"/>
      <c r="B53" s="495" t="inlineStr">
        <is>
          <t>EKİPNET NO</t>
        </is>
      </c>
      <c r="C53" s="125" t="n"/>
      <c r="D53" s="125" t="n"/>
      <c r="E53" s="496" t="inlineStr">
        <is>
          <t>:</t>
        </is>
      </c>
      <c r="F53" s="497">
        <f>'ANA SAYFA'!F76:J76</f>
        <v/>
      </c>
      <c r="G53" s="125" t="n"/>
      <c r="H53" s="125" t="n"/>
      <c r="I53" s="231" t="n"/>
      <c r="J53" s="336" t="n"/>
      <c r="K53" s="182" t="n"/>
      <c r="L53" s="182" t="n"/>
      <c r="M53" s="182" t="n"/>
      <c r="N53" s="182" t="n"/>
      <c r="O53" s="182" t="n"/>
      <c r="P53" s="182" t="n"/>
      <c r="Q53" s="179" t="n"/>
      <c r="R53" s="11" t="n"/>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J11:L11"/>
    <mergeCell ref="K26:L26"/>
    <mergeCell ref="F53:I53"/>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B11:C11"/>
    <mergeCell ref="V29:AC29"/>
    <mergeCell ref="G7:H7"/>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O25:Q25"/>
    <mergeCell ref="D7:F7"/>
    <mergeCell ref="N15:Q15"/>
    <mergeCell ref="D46:Q46"/>
    <mergeCell ref="B5:Q5"/>
    <mergeCell ref="M11:N11"/>
    <mergeCell ref="O27:Q27"/>
    <mergeCell ref="V34:AC34"/>
    <mergeCell ref="B51:D51"/>
    <mergeCell ref="B44:C44"/>
    <mergeCell ref="B50:D50"/>
    <mergeCell ref="M26:N26"/>
    <mergeCell ref="N18:Q18"/>
    <mergeCell ref="F50:I50"/>
    <mergeCell ref="B17:E17"/>
    <mergeCell ref="B15:I15"/>
    <mergeCell ref="N17:Q17"/>
    <mergeCell ref="B2:F3"/>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O28:Q28"/>
    <mergeCell ref="L7:N7"/>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zoomScale="85" zoomScaleNormal="85" workbookViewId="0">
      <selection activeCell="N49" sqref="N49"/>
    </sheetView>
  </sheetViews>
  <sheetFormatPr baseColWidth="8" defaultRowHeight="15"/>
  <cols>
    <col width="3.5703125" customWidth="1" style="684" min="1" max="1"/>
    <col width="5.140625" customWidth="1" style="684" min="2" max="3"/>
    <col width="5.42578125" customWidth="1" style="684" min="4" max="7"/>
    <col width="4.85546875" customWidth="1" style="684" min="8" max="9"/>
    <col width="4.7109375" customWidth="1" style="684" min="10" max="10"/>
    <col width="5.85546875" customWidth="1" style="684" min="11" max="17"/>
    <col width="3.5703125" customWidth="1" style="684"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229" t="n"/>
      <c r="C2" s="70" t="n"/>
      <c r="D2" s="70" t="n"/>
      <c r="E2" s="70" t="n"/>
      <c r="F2" s="61"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64"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599" t="inlineStr">
        <is>
          <t>Dosya Adı :</t>
        </is>
      </c>
      <c r="C5" s="125" t="n"/>
      <c r="D5" s="125" t="n"/>
      <c r="E5" s="494" t="inlineStr">
        <is>
          <t>TOPRAKLAMA ÖLÇÜM SONUÇLARI</t>
        </is>
      </c>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7">
        <f>'ANA SAYFA'!F72</f>
        <v/>
      </c>
      <c r="K7" s="125" t="n"/>
      <c r="L7" s="125" t="n"/>
      <c r="M7" s="125" t="n"/>
      <c r="N7" s="125" t="n"/>
      <c r="O7" s="125" t="n"/>
      <c r="P7" s="125" t="n"/>
      <c r="Q7" s="231" t="n"/>
      <c r="R7" s="11" t="n"/>
    </row>
    <row r="8" ht="11.25" customHeight="1" s="684">
      <c r="A8" s="10" t="n"/>
      <c r="B8" s="3" t="n"/>
      <c r="C8" s="264" t="n"/>
      <c r="D8" s="264" t="n"/>
      <c r="E8" s="264" t="n"/>
      <c r="F8" s="264" t="n"/>
      <c r="G8" s="264" t="n"/>
      <c r="H8" s="264" t="n"/>
      <c r="I8" s="264" t="n"/>
      <c r="J8" s="264" t="n"/>
      <c r="K8" s="264" t="n"/>
      <c r="L8" s="264" t="n"/>
      <c r="M8" s="264" t="n"/>
      <c r="N8" s="264" t="n"/>
      <c r="O8" s="264" t="n"/>
      <c r="P8" s="264" t="n"/>
      <c r="Q8" s="187" t="n"/>
      <c r="R8" s="11" t="n"/>
    </row>
    <row r="9">
      <c r="A9" s="10" t="n"/>
      <c r="B9" s="525" t="inlineStr">
        <is>
          <t>Operatör :</t>
        </is>
      </c>
      <c r="C9" s="231" t="n"/>
      <c r="D9" s="526" t="inlineStr">
        <is>
          <t>Ahmet YILMAZ</t>
        </is>
      </c>
      <c r="E9" s="125" t="n"/>
      <c r="F9" s="125" t="n"/>
      <c r="G9" s="231" t="n"/>
      <c r="H9" s="525" t="inlineStr">
        <is>
          <t>Cihaz :</t>
        </is>
      </c>
      <c r="I9" s="231" t="n"/>
      <c r="J9" s="504" t="inlineStr">
        <is>
          <t>STS 5000</t>
        </is>
      </c>
      <c r="K9" s="125" t="n"/>
      <c r="L9" s="231" t="n"/>
      <c r="M9" s="504" t="inlineStr">
        <is>
          <t>Cihaz S/N :</t>
        </is>
      </c>
      <c r="N9" s="231" t="n"/>
      <c r="O9" s="504" t="inlineStr">
        <is>
          <t>SN-19B20</t>
        </is>
      </c>
      <c r="P9" s="125" t="n"/>
      <c r="Q9" s="231" t="n"/>
      <c r="R9" s="11" t="n"/>
    </row>
    <row r="10" ht="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row>
    <row r="11" ht="18.75" customHeight="1" s="684">
      <c r="A11" s="10" t="n"/>
      <c r="B11" s="524" t="inlineStr">
        <is>
          <t>Sonuçlar</t>
        </is>
      </c>
      <c r="C11" s="125" t="n"/>
      <c r="D11" s="125" t="n"/>
      <c r="E11" s="125" t="n"/>
      <c r="F11" s="125" t="n"/>
      <c r="G11" s="125" t="n"/>
      <c r="H11" s="125" t="n"/>
      <c r="I11" s="125" t="n"/>
      <c r="J11" s="125" t="n"/>
      <c r="K11" s="125" t="n"/>
      <c r="L11" s="125" t="n"/>
      <c r="M11" s="125" t="n"/>
      <c r="N11" s="125" t="n"/>
      <c r="O11" s="125" t="n"/>
      <c r="P11" s="125" t="n"/>
      <c r="Q11" s="231" t="n"/>
      <c r="R11" s="11" t="n"/>
    </row>
    <row r="12" ht="7.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705" t="inlineStr">
        <is>
          <t>İŞLETME (NÖTR) TOPRAK DİRENCİ</t>
        </is>
      </c>
      <c r="C13" s="125" t="n"/>
      <c r="D13" s="125" t="n"/>
      <c r="E13" s="125" t="n"/>
      <c r="F13" s="125" t="n"/>
      <c r="G13" s="125" t="n"/>
      <c r="H13" s="125" t="n"/>
      <c r="I13" s="125" t="n"/>
      <c r="J13" s="125" t="n"/>
      <c r="K13" s="125" t="n"/>
      <c r="L13" s="125" t="n"/>
      <c r="M13" s="125" t="n"/>
      <c r="N13" s="125" t="n"/>
      <c r="O13" s="125" t="n"/>
      <c r="P13" s="125" t="n"/>
      <c r="Q13" s="231" t="n"/>
      <c r="R13" s="11" t="n"/>
    </row>
    <row r="14" ht="7.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c r="A15" s="10" t="n"/>
      <c r="B15" s="397" t="n"/>
      <c r="C15" s="125" t="n"/>
      <c r="D15" s="125" t="n"/>
      <c r="E15" s="125" t="n"/>
      <c r="F15" s="125" t="n"/>
      <c r="G15" s="125" t="n"/>
      <c r="H15" s="398" t="n"/>
      <c r="I15" s="125" t="n"/>
      <c r="J15" s="125" t="n"/>
      <c r="K15" s="399" t="n"/>
      <c r="L15" s="125" t="n"/>
      <c r="M15" s="231" t="n"/>
      <c r="N15" s="399" t="inlineStr">
        <is>
          <t>Sonuç</t>
        </is>
      </c>
      <c r="O15" s="125" t="n"/>
      <c r="P15" s="125" t="n"/>
      <c r="Q15" s="231" t="n"/>
      <c r="R15" s="11" t="n"/>
    </row>
    <row r="16">
      <c r="A16" s="10" t="n"/>
      <c r="B16" s="730" t="inlineStr">
        <is>
          <t>Max. Ω</t>
        </is>
      </c>
      <c r="C16" s="231" t="n"/>
      <c r="D16" s="730" t="n">
        <v>2</v>
      </c>
      <c r="E16" s="231" t="n"/>
      <c r="F16" s="731" t="inlineStr">
        <is>
          <t>Ω</t>
        </is>
      </c>
      <c r="G16" s="231" t="n"/>
      <c r="H16" s="481" t="inlineStr">
        <is>
          <t>Ölçülen</t>
        </is>
      </c>
      <c r="I16" s="125" t="n"/>
      <c r="J16" s="65" t="inlineStr">
        <is>
          <t>Ω</t>
        </is>
      </c>
      <c r="K16" s="506">
        <f>'ANA SAYFA'!H42</f>
        <v/>
      </c>
      <c r="L16" s="125" t="n"/>
      <c r="M16" s="65" t="inlineStr">
        <is>
          <t>Ω</t>
        </is>
      </c>
      <c r="N16" s="541">
        <f>IF(K16&lt;D16,W18,Y18)</f>
        <v/>
      </c>
      <c r="O16" s="125" t="n"/>
      <c r="P16" s="125" t="n"/>
      <c r="Q16" s="231" t="n"/>
      <c r="R16" s="11" t="n"/>
    </row>
    <row r="17">
      <c r="A17" s="10" t="n"/>
      <c r="B17" s="66" t="n"/>
      <c r="C17" s="67" t="n"/>
      <c r="D17" s="67" t="n"/>
      <c r="E17" s="67" t="n"/>
      <c r="F17" s="67" t="n"/>
      <c r="G17" s="67" t="n"/>
      <c r="H17" s="45" t="n"/>
      <c r="I17" s="45" t="n"/>
      <c r="J17" s="45" t="n"/>
      <c r="K17" s="68" t="n"/>
      <c r="L17" s="68" t="n"/>
      <c r="M17" s="45" t="n"/>
      <c r="N17" s="69" t="n"/>
      <c r="O17" s="69" t="n"/>
      <c r="P17" s="70" t="n"/>
      <c r="Q17" s="556"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32" t="inlineStr">
        <is>
          <t>UYGUN</t>
        </is>
      </c>
      <c r="Y18" s="432"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75" customHeight="1" s="684">
      <c r="A23" s="10" t="n"/>
      <c r="B23" s="705" t="inlineStr">
        <is>
          <t>KORUMA TOPRAK DİRENCİ</t>
        </is>
      </c>
      <c r="C23" s="125" t="n"/>
      <c r="D23" s="125" t="n"/>
      <c r="E23" s="125" t="n"/>
      <c r="F23" s="125" t="n"/>
      <c r="G23" s="125" t="n"/>
      <c r="H23" s="125" t="n"/>
      <c r="I23" s="125" t="n"/>
      <c r="J23" s="125" t="n"/>
      <c r="K23" s="125" t="n"/>
      <c r="L23" s="125" t="n"/>
      <c r="M23" s="125" t="n"/>
      <c r="N23" s="125" t="n"/>
      <c r="O23" s="125" t="n"/>
      <c r="P23" s="125" t="n"/>
      <c r="Q23" s="231" t="n"/>
      <c r="R23" s="11" t="n"/>
    </row>
    <row r="24" ht="7.5" customHeight="1" s="684">
      <c r="A24" s="10" t="n"/>
      <c r="B24" s="3" t="n"/>
      <c r="C24" s="264" t="n"/>
      <c r="D24" s="264" t="n"/>
      <c r="E24" s="264" t="n"/>
      <c r="F24" s="264" t="n"/>
      <c r="G24" s="264" t="n"/>
      <c r="H24" s="264" t="n"/>
      <c r="I24" s="264" t="n"/>
      <c r="J24" s="264" t="n"/>
      <c r="K24" s="264" t="n"/>
      <c r="L24" s="264" t="n"/>
      <c r="M24" s="264" t="n"/>
      <c r="N24" s="264" t="n"/>
      <c r="O24" s="264" t="n"/>
      <c r="P24" s="264" t="n"/>
      <c r="Q24" s="187" t="n"/>
      <c r="R24" s="11" t="n"/>
    </row>
    <row r="25" ht="15.75" customHeight="1" s="684">
      <c r="A25" s="10" t="n"/>
      <c r="B25" s="397" t="n"/>
      <c r="C25" s="125" t="n"/>
      <c r="D25" s="125" t="n"/>
      <c r="E25" s="125" t="n"/>
      <c r="F25" s="125" t="n"/>
      <c r="G25" s="125" t="n"/>
      <c r="H25" s="398" t="n"/>
      <c r="I25" s="125" t="n"/>
      <c r="J25" s="125" t="n"/>
      <c r="K25" s="399" t="n"/>
      <c r="L25" s="125" t="n"/>
      <c r="M25" s="231" t="n"/>
      <c r="N25" s="399" t="inlineStr">
        <is>
          <t>Sonuç</t>
        </is>
      </c>
      <c r="O25" s="125" t="n"/>
      <c r="P25" s="125" t="n"/>
      <c r="Q25" s="231" t="n"/>
      <c r="R25" s="11" t="n"/>
      <c r="V25" s="516" t="inlineStr">
        <is>
          <t>İşletme (NÖTR) topraklaması direnç değeri normaldir.</t>
        </is>
      </c>
    </row>
    <row r="26" ht="15.75" customHeight="1" s="684">
      <c r="A26" s="10" t="n"/>
      <c r="B26" s="732" t="inlineStr">
        <is>
          <t>Trafo</t>
        </is>
      </c>
      <c r="C26" s="231" t="n"/>
      <c r="D26" s="591" t="inlineStr">
        <is>
          <t>Max. Ω</t>
        </is>
      </c>
      <c r="E26" s="125" t="n"/>
      <c r="F26" s="73" t="n">
        <v>2</v>
      </c>
      <c r="G26" s="74" t="inlineStr">
        <is>
          <t>Ω</t>
        </is>
      </c>
      <c r="H26" s="481" t="inlineStr">
        <is>
          <t>Ölçülen</t>
        </is>
      </c>
      <c r="I26" s="125" t="n"/>
      <c r="J26" s="65" t="inlineStr">
        <is>
          <t>Ω</t>
        </is>
      </c>
      <c r="K26" s="583">
        <f>'ANA SAYFA'!H40</f>
        <v/>
      </c>
      <c r="L26" s="125" t="n"/>
      <c r="M26" s="65" t="inlineStr">
        <is>
          <t>Ω</t>
        </is>
      </c>
      <c r="N26" s="541">
        <f>IF(K26&lt;F26,W18,Y18)</f>
        <v/>
      </c>
      <c r="O26" s="125" t="n"/>
      <c r="P26" s="125" t="n"/>
      <c r="Q26" s="231" t="n"/>
      <c r="R26" s="11" t="n"/>
      <c r="V26" s="516" t="inlineStr">
        <is>
          <t>İşletme (NÖTR) topraklaması direnç değeri yüksek bulunmuştur.</t>
        </is>
      </c>
    </row>
    <row r="27" ht="15.75" customHeight="1" s="684">
      <c r="A27" s="10" t="n"/>
      <c r="B27" s="732" t="inlineStr">
        <is>
          <t>Hücre</t>
        </is>
      </c>
      <c r="C27" s="231" t="n"/>
      <c r="D27" s="591" t="inlineStr">
        <is>
          <t>Max. Ω</t>
        </is>
      </c>
      <c r="E27" s="125" t="n"/>
      <c r="F27" s="73" t="n">
        <v>2</v>
      </c>
      <c r="G27" s="74" t="inlineStr">
        <is>
          <t>Ω</t>
        </is>
      </c>
      <c r="H27" s="481" t="inlineStr">
        <is>
          <t>Ölçülen</t>
        </is>
      </c>
      <c r="I27" s="125" t="n"/>
      <c r="J27" s="65" t="inlineStr">
        <is>
          <t>Ω</t>
        </is>
      </c>
      <c r="K27" s="583">
        <f>'ANA SAYFA'!H44</f>
        <v/>
      </c>
      <c r="L27" s="125" t="n"/>
      <c r="M27" s="65" t="inlineStr">
        <is>
          <t>Ω</t>
        </is>
      </c>
      <c r="N27" s="541">
        <f>IF(K27&lt;F27,W18,Y18)</f>
        <v/>
      </c>
      <c r="O27" s="125" t="n"/>
      <c r="P27" s="125" t="n"/>
      <c r="Q27" s="231" t="n"/>
      <c r="R27" s="11" t="n"/>
      <c r="V27" s="516" t="inlineStr">
        <is>
          <t>Trafo topraklaması direnç değeri normaldir.</t>
        </is>
      </c>
    </row>
    <row r="28" ht="15.75" customHeight="1" s="684">
      <c r="A28" s="10" t="n"/>
      <c r="B28" s="732" t="inlineStr">
        <is>
          <t>Kapılar</t>
        </is>
      </c>
      <c r="C28" s="231" t="n"/>
      <c r="D28" s="591" t="inlineStr">
        <is>
          <t>Max. Ω</t>
        </is>
      </c>
      <c r="E28" s="125" t="n"/>
      <c r="F28" s="73" t="n">
        <v>2</v>
      </c>
      <c r="G28" s="74" t="inlineStr">
        <is>
          <t>Ω</t>
        </is>
      </c>
      <c r="H28" s="481" t="inlineStr">
        <is>
          <t>Ölçülen</t>
        </is>
      </c>
      <c r="I28" s="125" t="n"/>
      <c r="J28" s="65" t="inlineStr">
        <is>
          <t>Ω</t>
        </is>
      </c>
      <c r="K28" s="583">
        <f>'ANA SAYFA'!Q42</f>
        <v/>
      </c>
      <c r="L28" s="125" t="n"/>
      <c r="M28" s="65" t="inlineStr">
        <is>
          <t>Ω</t>
        </is>
      </c>
      <c r="N28" s="541">
        <f>IF(K28&lt;F28,W18,Y18)</f>
        <v/>
      </c>
      <c r="O28" s="125" t="n"/>
      <c r="P28" s="125" t="n"/>
      <c r="Q28" s="231" t="n"/>
      <c r="R28" s="11" t="n"/>
      <c r="V28" s="516" t="inlineStr">
        <is>
          <t>Trafo topraklaması direnç değeri yüksek bulunmuştur.</t>
        </is>
      </c>
    </row>
    <row r="29" ht="15.75" customHeight="1" s="684">
      <c r="A29" s="10" t="n"/>
      <c r="B29" s="732" t="inlineStr">
        <is>
          <t>AG. Pano</t>
        </is>
      </c>
      <c r="C29" s="231" t="n"/>
      <c r="D29" s="591" t="inlineStr">
        <is>
          <t>Max. Ω</t>
        </is>
      </c>
      <c r="E29" s="125" t="n"/>
      <c r="F29" s="73" t="n">
        <v>2</v>
      </c>
      <c r="G29" s="74" t="inlineStr">
        <is>
          <t>Ω</t>
        </is>
      </c>
      <c r="H29" s="481" t="inlineStr">
        <is>
          <t>Ölçülen</t>
        </is>
      </c>
      <c r="I29" s="125" t="n"/>
      <c r="J29" s="65" t="inlineStr">
        <is>
          <t>Ω</t>
        </is>
      </c>
      <c r="K29" s="583">
        <f>'ANA SAYFA'!Q40</f>
        <v/>
      </c>
      <c r="L29" s="125" t="n"/>
      <c r="M29" s="65" t="inlineStr">
        <is>
          <t>Ω</t>
        </is>
      </c>
      <c r="N29" s="541">
        <f>IF(K29&lt;F29,W18,Y18)</f>
        <v/>
      </c>
      <c r="O29" s="125" t="n"/>
      <c r="P29" s="125" t="n"/>
      <c r="Q29" s="231" t="n"/>
      <c r="R29" s="11" t="n"/>
      <c r="V29" s="516" t="n"/>
      <c r="W29" s="516" t="n"/>
      <c r="X29" s="516" t="n"/>
      <c r="Y29" s="516" t="n"/>
      <c r="Z29" s="516" t="n"/>
      <c r="AA29" s="516" t="n"/>
      <c r="AB29" s="516" t="n"/>
      <c r="AC29" s="516" t="n"/>
      <c r="AD29" s="516" t="n"/>
      <c r="AE29" s="516" t="n"/>
      <c r="AF29" s="516" t="n"/>
      <c r="AG29" s="516" t="n"/>
      <c r="AH29" s="516" t="n"/>
      <c r="AI29" s="516" t="n"/>
    </row>
    <row r="30" ht="15.75" customHeight="1" s="684">
      <c r="A30" s="10" t="n"/>
      <c r="B30" s="3" t="n"/>
      <c r="C30" s="264" t="n"/>
      <c r="D30" s="264" t="n"/>
      <c r="E30" s="264" t="n"/>
      <c r="F30" s="264" t="n"/>
      <c r="G30" s="264" t="n"/>
      <c r="H30" s="264" t="n"/>
      <c r="I30" s="264" t="n"/>
      <c r="J30" s="264" t="n"/>
      <c r="K30" s="264" t="n"/>
      <c r="L30" s="264" t="n"/>
      <c r="M30" s="264" t="n"/>
      <c r="N30" s="264" t="n"/>
      <c r="O30" s="264" t="n"/>
      <c r="P30" s="264" t="n"/>
      <c r="Q30" s="187" t="n"/>
      <c r="R30" s="11" t="n"/>
      <c r="V30" s="516" t="inlineStr">
        <is>
          <t>Hücre topraklaması direnç değeri normaldir.</t>
        </is>
      </c>
    </row>
    <row r="31" ht="15.75" customHeight="1" s="684">
      <c r="A31" s="10" t="n"/>
      <c r="B31" s="3" t="n"/>
      <c r="C31" s="264" t="n"/>
      <c r="D31" s="264" t="n"/>
      <c r="E31" s="264" t="n"/>
      <c r="F31" s="24" t="n"/>
      <c r="G31" s="264" t="n"/>
      <c r="H31" s="264" t="n"/>
      <c r="I31" s="264" t="n"/>
      <c r="J31" s="264" t="n"/>
      <c r="K31" s="264" t="n"/>
      <c r="L31" s="264" t="n"/>
      <c r="M31" s="264" t="n"/>
      <c r="N31" s="264" t="n"/>
      <c r="O31" s="264" t="n"/>
      <c r="P31" s="264" t="n"/>
      <c r="Q31" s="187" t="n"/>
      <c r="R31" s="11" t="n"/>
      <c r="V31" s="516" t="inlineStr">
        <is>
          <t>Hücre topraklaması direnç değeri yüksek bulunmuştur.</t>
        </is>
      </c>
    </row>
    <row r="32">
      <c r="A32" s="10" t="n"/>
      <c r="B32" s="3" t="n"/>
      <c r="C32" s="264" t="n"/>
      <c r="D32" s="264" t="n"/>
      <c r="E32" s="264" t="n"/>
      <c r="F32" s="24" t="n"/>
      <c r="G32" s="264" t="n"/>
      <c r="H32" s="264" t="n"/>
      <c r="I32" s="264" t="n"/>
      <c r="J32" s="264" t="n"/>
      <c r="K32" s="264" t="n"/>
      <c r="L32" s="264" t="n"/>
      <c r="M32" s="264" t="n"/>
      <c r="N32" s="264" t="n"/>
      <c r="O32" s="264" t="n"/>
      <c r="P32" s="264" t="n"/>
      <c r="Q32" s="187" t="n"/>
      <c r="R32" s="11" t="n"/>
    </row>
    <row r="33" ht="18.75" customHeight="1" s="684">
      <c r="A33" s="10" t="n"/>
      <c r="B33" s="75" t="n"/>
      <c r="C33" s="76" t="n"/>
      <c r="D33" s="76" t="n"/>
      <c r="E33" s="76" t="n"/>
      <c r="F33" s="76" t="n"/>
      <c r="G33" s="76" t="n"/>
      <c r="H33" s="76" t="n"/>
      <c r="I33" s="76" t="n"/>
      <c r="J33" s="76" t="n"/>
      <c r="K33" s="76" t="n"/>
      <c r="L33" s="76" t="n"/>
      <c r="M33" s="76" t="n"/>
      <c r="N33" s="76" t="n"/>
      <c r="O33" s="76" t="n"/>
      <c r="P33" s="76" t="n"/>
      <c r="Q33" s="77" t="n"/>
      <c r="R33" s="11" t="n"/>
      <c r="V33" s="516" t="inlineStr">
        <is>
          <t>A.G. Pano topraklaması direnç değeri normaldir.</t>
        </is>
      </c>
    </row>
    <row r="34" ht="18.75" customHeight="1" s="684">
      <c r="A34" s="10" t="n"/>
      <c r="B34" s="210" t="n"/>
      <c r="C34" s="699" t="n"/>
      <c r="D34" s="699" t="n"/>
      <c r="E34" s="699" t="n"/>
      <c r="F34" s="699" t="n"/>
      <c r="G34" s="699" t="n"/>
      <c r="H34" s="699" t="n"/>
      <c r="I34" s="699" t="n"/>
      <c r="J34" s="699" t="n"/>
      <c r="K34" s="699" t="n"/>
      <c r="L34" s="699" t="n"/>
      <c r="M34" s="699" t="n"/>
      <c r="N34" s="699" t="n"/>
      <c r="O34" s="699" t="n"/>
      <c r="P34" s="699" t="n"/>
      <c r="Q34" s="700" t="n"/>
      <c r="R34" s="11" t="n"/>
      <c r="V34" s="516" t="inlineStr">
        <is>
          <t>A.G. Pano topraklaması direnç değeri yüksek bulunmuştur.</t>
        </is>
      </c>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ht="15.75" customHeight="1" s="684">
      <c r="A36" s="10" t="n"/>
      <c r="B36" s="56" t="n"/>
      <c r="C36" s="264" t="n"/>
      <c r="D36" s="264" t="n"/>
      <c r="E36" s="264" t="n"/>
      <c r="F36" s="264" t="n"/>
      <c r="G36" s="264" t="n"/>
      <c r="H36" s="264" t="n"/>
      <c r="I36" s="264" t="n"/>
      <c r="J36" s="264" t="n"/>
      <c r="K36" s="264" t="n"/>
      <c r="L36" s="57" t="n"/>
      <c r="M36" s="57" t="n"/>
      <c r="N36" s="264" t="n"/>
      <c r="O36" s="57" t="n"/>
      <c r="P36" s="57" t="n"/>
      <c r="Q36" s="187" t="n"/>
      <c r="R36" s="11" t="n"/>
      <c r="V36" s="516" t="inlineStr">
        <is>
          <t>Kapı topraklaması direnç değeri normaldir.</t>
        </is>
      </c>
    </row>
    <row r="37" ht="15.75" customHeight="1" s="684">
      <c r="A37" s="10" t="n"/>
      <c r="B37" s="56" t="n"/>
      <c r="C37" s="264" t="n"/>
      <c r="D37" s="264" t="n"/>
      <c r="E37" s="264" t="n"/>
      <c r="F37" s="264" t="n"/>
      <c r="G37" s="264" t="n"/>
      <c r="H37" s="264" t="n"/>
      <c r="I37" s="264" t="n"/>
      <c r="J37" s="264" t="n"/>
      <c r="K37" s="264" t="n"/>
      <c r="L37" s="57" t="n"/>
      <c r="M37" s="57" t="n"/>
      <c r="N37" s="264" t="n"/>
      <c r="O37" s="57" t="n"/>
      <c r="P37" s="57" t="n"/>
      <c r="Q37" s="187" t="n"/>
      <c r="R37" s="11" t="n"/>
      <c r="V37" s="516" t="inlineStr">
        <is>
          <t>Kapı topraklaması direnç değeri yüksek bulunmuştur.</t>
        </is>
      </c>
    </row>
    <row r="38" ht="15.75" customHeight="1" s="684">
      <c r="A38" s="10" t="n"/>
      <c r="B38" s="56" t="n"/>
      <c r="C38" s="264" t="n"/>
      <c r="D38" s="264" t="n"/>
      <c r="E38" s="264" t="n"/>
      <c r="F38" s="264" t="n"/>
      <c r="G38" s="264" t="n"/>
      <c r="H38" s="264" t="n"/>
      <c r="I38" s="264" t="n"/>
      <c r="J38" s="264" t="n"/>
      <c r="K38" s="264" t="n"/>
      <c r="L38" s="57" t="n"/>
      <c r="M38" s="57" t="n"/>
      <c r="N38" s="264" t="n"/>
      <c r="O38" s="57" t="n"/>
      <c r="P38" s="57" t="n"/>
      <c r="Q38" s="187" t="n"/>
      <c r="R38" s="11" t="n"/>
      <c r="V38" s="516" t="inlineStr">
        <is>
          <t>Direk topraklaması direnç değeri normaldir.</t>
        </is>
      </c>
    </row>
    <row r="39" ht="15.75" customHeight="1" s="684">
      <c r="A39" s="10" t="n"/>
      <c r="B39" s="171" t="n"/>
      <c r="C39" s="24" t="n"/>
      <c r="D39" s="24" t="n"/>
      <c r="E39" s="24" t="n"/>
      <c r="F39" s="24" t="n"/>
      <c r="G39" s="24" t="n"/>
      <c r="H39" s="24" t="n"/>
      <c r="I39" s="24" t="n"/>
      <c r="J39" s="24" t="n"/>
      <c r="K39" s="24" t="n"/>
      <c r="L39" s="24" t="n"/>
      <c r="M39" s="24" t="n"/>
      <c r="N39" s="24" t="n"/>
      <c r="O39" s="24" t="n"/>
      <c r="P39" s="24" t="n"/>
      <c r="Q39" s="702" t="n"/>
      <c r="R39" s="11" t="n"/>
      <c r="V39" s="516" t="inlineStr">
        <is>
          <t>Direk topraklaması direnç değeri yüksek bulunmuştur.</t>
        </is>
      </c>
    </row>
    <row r="40" ht="9" customHeight="1" s="684">
      <c r="A40" s="10" t="n"/>
      <c r="B40" s="406" t="n"/>
      <c r="C40" s="41" t="n"/>
      <c r="D40" s="24" t="n"/>
      <c r="E40" s="24" t="n"/>
      <c r="F40" s="24" t="n"/>
      <c r="G40" s="24" t="n"/>
      <c r="H40" s="24" t="n"/>
      <c r="I40" s="24" t="n"/>
      <c r="J40" s="24" t="n"/>
      <c r="K40" s="24" t="n"/>
      <c r="L40" s="24" t="n"/>
      <c r="M40" s="24" t="n"/>
      <c r="N40" s="24" t="n"/>
      <c r="O40" s="24" t="n"/>
      <c r="P40" s="24" t="n"/>
      <c r="Q40" s="702" t="n"/>
      <c r="R40" s="11" t="n"/>
      <c r="V40" s="516" t="n"/>
      <c r="W40" s="516" t="n"/>
      <c r="X40" s="516" t="n"/>
      <c r="Y40" s="516" t="n"/>
      <c r="Z40" s="516" t="n"/>
      <c r="AA40" s="516" t="n"/>
      <c r="AB40" s="516" t="n"/>
      <c r="AC40" s="516" t="n"/>
      <c r="AD40" s="516" t="n"/>
      <c r="AE40" s="516" t="n"/>
      <c r="AF40" s="516" t="n"/>
      <c r="AG40" s="516" t="n"/>
      <c r="AH40" s="516" t="n"/>
      <c r="AI40" s="516" t="n"/>
    </row>
    <row r="41" ht="15.75" customHeight="1" s="684">
      <c r="A41" s="10" t="n"/>
      <c r="B41" s="545" t="inlineStr">
        <is>
          <t>Sonuç :</t>
        </is>
      </c>
      <c r="C41" s="231" t="n"/>
      <c r="D41" s="733">
        <f>IF(K16&lt;D16,V25,V26)</f>
        <v/>
      </c>
      <c r="E41" s="70" t="n"/>
      <c r="F41" s="70" t="n"/>
      <c r="G41" s="70" t="n"/>
      <c r="H41" s="70" t="n"/>
      <c r="I41" s="70" t="n"/>
      <c r="J41" s="70" t="n"/>
      <c r="K41" s="70" t="n"/>
      <c r="L41" s="70" t="n"/>
      <c r="M41" s="70" t="n"/>
      <c r="N41" s="70" t="n"/>
      <c r="O41" s="70" t="n"/>
      <c r="P41" s="70" t="n"/>
      <c r="Q41" s="343" t="n"/>
      <c r="R41" s="11" t="n"/>
    </row>
    <row r="42" ht="15" customHeight="1" s="684">
      <c r="A42" s="10" t="n"/>
      <c r="B42" s="171" t="n"/>
      <c r="C42" s="24" t="n"/>
      <c r="D42" s="446">
        <f>IF(K26&lt;F26,V27,V28)</f>
        <v/>
      </c>
      <c r="Q42" s="344" t="n"/>
      <c r="R42" s="11" t="n"/>
    </row>
    <row r="43" ht="15.75" customHeight="1" s="684">
      <c r="A43" s="10" t="n"/>
      <c r="B43" s="171" t="n"/>
      <c r="C43" s="24" t="n"/>
      <c r="D43" s="446">
        <f>IF(K27&lt;F27,V30,V31)</f>
        <v/>
      </c>
      <c r="Q43" s="344" t="n"/>
      <c r="R43" s="11" t="n"/>
    </row>
    <row r="44" ht="15.75" customHeight="1" s="684">
      <c r="A44" s="10" t="n"/>
      <c r="B44" s="171" t="n"/>
      <c r="C44" s="24" t="n"/>
      <c r="D44" s="446">
        <f>IF(K28&lt;F28,V36,V37)</f>
        <v/>
      </c>
      <c r="Q44" s="344" t="n"/>
      <c r="R44" s="11" t="n"/>
    </row>
    <row r="45" ht="15.75" customHeight="1" s="684">
      <c r="A45" s="10" t="n"/>
      <c r="B45" s="171" t="n"/>
      <c r="C45" s="24" t="n"/>
      <c r="D45" s="446">
        <f>IF(K29&lt;F29,V33,V34)</f>
        <v/>
      </c>
      <c r="Q45" s="344" t="n"/>
      <c r="R45" s="11" t="n"/>
    </row>
    <row r="46" ht="9" customHeight="1" s="684">
      <c r="A46" s="10" t="n"/>
      <c r="B46" s="313" t="n"/>
      <c r="C46" s="135" t="n"/>
      <c r="D46" s="586" t="n"/>
      <c r="E46" s="135" t="n"/>
      <c r="F46" s="135" t="n"/>
      <c r="G46" s="135" t="n"/>
      <c r="H46" s="135" t="n"/>
      <c r="I46" s="135" t="n"/>
      <c r="J46" s="135" t="n"/>
      <c r="K46" s="135" t="n"/>
      <c r="L46" s="135" t="n"/>
      <c r="M46" s="135" t="n"/>
      <c r="N46" s="135" t="n"/>
      <c r="O46" s="135" t="n"/>
      <c r="P46" s="135" t="n"/>
      <c r="Q46" s="345" t="n"/>
      <c r="R46" s="11" t="n"/>
    </row>
    <row r="47" ht="22.5" customHeight="1" s="684">
      <c r="A47" s="10" t="n"/>
      <c r="B47" s="520" t="inlineStr">
        <is>
          <t>UNVAN</t>
        </is>
      </c>
      <c r="C47" s="70" t="n"/>
      <c r="D47" s="70" t="n"/>
      <c r="E47" s="330" t="inlineStr">
        <is>
          <t>:</t>
        </is>
      </c>
      <c r="F47" s="588" t="inlineStr">
        <is>
          <t>Elektrik Mühendisi</t>
        </is>
      </c>
      <c r="G47" s="70" t="n"/>
      <c r="H47" s="70" t="n"/>
      <c r="I47" s="343" t="n"/>
      <c r="J47" s="705" t="inlineStr">
        <is>
          <t>ONAYLAYAN</t>
        </is>
      </c>
      <c r="K47" s="125" t="n"/>
      <c r="L47" s="125" t="n"/>
      <c r="M47" s="125" t="n"/>
      <c r="N47" s="125" t="n"/>
      <c r="O47" s="125" t="n"/>
      <c r="P47" s="125" t="n"/>
      <c r="Q47" s="231" t="n"/>
      <c r="R47" s="11" t="n"/>
    </row>
    <row r="48" ht="22.5" customHeight="1" s="684">
      <c r="A48" s="10" t="n"/>
      <c r="B48" s="520" t="inlineStr">
        <is>
          <t>TEST TARİHİ</t>
        </is>
      </c>
      <c r="C48" s="70" t="n"/>
      <c r="D48" s="70" t="n"/>
      <c r="E48" s="330" t="inlineStr">
        <is>
          <t>:</t>
        </is>
      </c>
      <c r="F48" s="720">
        <f>'ANA SAYFA'!F73</f>
        <v/>
      </c>
      <c r="G48" s="70" t="n"/>
      <c r="H48" s="70" t="n"/>
      <c r="I48" s="343" t="n"/>
      <c r="J48" s="75" t="n"/>
      <c r="K48" s="76" t="n"/>
      <c r="L48" s="176" t="n"/>
      <c r="M48" s="176" t="n"/>
      <c r="N48" s="176" t="n"/>
      <c r="O48" s="176" t="n"/>
      <c r="P48" s="176" t="n"/>
      <c r="Q48" s="178" t="n"/>
      <c r="R48" s="11" t="n"/>
    </row>
    <row r="49" ht="22.5" customHeight="1" s="684">
      <c r="A49" s="10" t="n"/>
      <c r="B49" s="495" t="inlineStr">
        <is>
          <t>ODA SİCİL NO</t>
        </is>
      </c>
      <c r="C49" s="125" t="n"/>
      <c r="D49" s="125" t="n"/>
      <c r="E49" s="587" t="inlineStr">
        <is>
          <t>:</t>
        </is>
      </c>
      <c r="F49" s="588">
        <f>'ANA SAYFA'!F75:J75</f>
        <v/>
      </c>
      <c r="G49" s="70" t="n"/>
      <c r="H49" s="70" t="n"/>
      <c r="I49" s="343" t="n"/>
      <c r="J49" s="75" t="n"/>
      <c r="K49" s="76" t="n"/>
      <c r="L49" s="176" t="n"/>
      <c r="M49" s="176" t="n"/>
      <c r="N49" s="176" t="n"/>
      <c r="O49" s="176" t="n"/>
      <c r="P49" s="176" t="n"/>
      <c r="Q49" s="178" t="n"/>
      <c r="R49" s="11" t="n"/>
    </row>
    <row r="50" ht="22.5" customHeight="1" s="684">
      <c r="A50" s="10" t="n"/>
      <c r="B50" s="495" t="inlineStr">
        <is>
          <t>EKİPNET NO</t>
        </is>
      </c>
      <c r="C50" s="125" t="n"/>
      <c r="D50" s="125" t="n"/>
      <c r="E50" s="496" t="inlineStr">
        <is>
          <t>:</t>
        </is>
      </c>
      <c r="F50" s="497">
        <f>'ANA SAYFA'!F76:J76</f>
        <v/>
      </c>
      <c r="G50" s="125" t="n"/>
      <c r="H50" s="125" t="n"/>
      <c r="I50" s="231" t="n"/>
      <c r="J50" s="336" t="n"/>
      <c r="K50" s="182" t="n"/>
      <c r="L50" s="182" t="n"/>
      <c r="M50" s="182" t="n"/>
      <c r="N50" s="182" t="n"/>
      <c r="O50" s="182" t="n"/>
      <c r="P50" s="182" t="n"/>
      <c r="Q50" s="179" t="n"/>
      <c r="R50" s="11" t="n"/>
    </row>
    <row r="51" ht="15.75" customHeight="1" s="684"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C48"/>
  <sheetViews>
    <sheetView topLeftCell="A27" zoomScale="85" zoomScaleNormal="85" workbookViewId="0">
      <selection activeCell="N46" sqref="N46"/>
    </sheetView>
  </sheetViews>
  <sheetFormatPr baseColWidth="8" defaultRowHeight="15"/>
  <cols>
    <col width="3.5703125" customWidth="1" style="684" min="1" max="1"/>
    <col width="5.42578125" customWidth="1" style="684" min="2" max="5"/>
    <col width="6.5703125" customWidth="1" style="684" min="6" max="6"/>
    <col width="5.42578125" customWidth="1" style="684" min="7" max="10"/>
    <col width="6" customWidth="1" style="684" min="11" max="17"/>
    <col width="3.5703125" customWidth="1" style="684" min="18" max="18"/>
    <col width="10.5703125" customWidth="1" style="684" min="19" max="19"/>
    <col width="12.28515625" customWidth="1" style="684" min="20" max="20"/>
    <col width="9.7109375" customWidth="1" style="684" min="21" max="21"/>
    <col width="9" customWidth="1" style="684" min="22" max="22"/>
    <col width="11.7109375" customWidth="1" style="684" min="23" max="23"/>
    <col width="11" customWidth="1" style="684" min="24" max="25"/>
    <col width="9.140625" customWidth="1" style="684" min="26" max="26"/>
    <col width="16.7109375" customWidth="1" style="684" min="27" max="27"/>
    <col width="9.140625" customWidth="1" style="684"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c r="V3" s="577" t="n"/>
    </row>
    <row r="4" ht="15.75" customHeight="1" s="684">
      <c r="A4" s="10" t="n"/>
      <c r="B4" s="3" t="n"/>
      <c r="C4" s="264" t="n"/>
      <c r="D4" s="264" t="n"/>
      <c r="E4" s="264" t="n"/>
      <c r="F4" s="264" t="n"/>
      <c r="G4" s="264" t="n"/>
      <c r="H4" s="264" t="n"/>
      <c r="I4" s="264" t="n"/>
      <c r="J4" s="264" t="n"/>
      <c r="K4" s="264" t="n"/>
      <c r="L4" s="264" t="n"/>
      <c r="M4" s="264" t="n"/>
      <c r="N4" s="264" t="n"/>
      <c r="O4" s="264" t="n"/>
      <c r="P4" s="264" t="n"/>
      <c r="Q4" s="187" t="n"/>
      <c r="R4" s="11" t="n"/>
      <c r="W4" s="128" t="n"/>
      <c r="X4" s="128" t="n"/>
      <c r="Y4" s="128" t="n"/>
      <c r="Z4" s="128" t="n"/>
      <c r="AA4" s="128" t="n"/>
      <c r="AB4" s="128" t="n"/>
      <c r="AC4" s="128" t="n"/>
    </row>
    <row r="5" ht="18.75" customHeight="1" s="684">
      <c r="A5" s="10" t="n"/>
      <c r="B5" s="705" t="inlineStr">
        <is>
          <t>YÜKSEK GERİLİM GÜÇ FAKTÖRÜ TEST SONUÇLARI</t>
        </is>
      </c>
      <c r="C5" s="125" t="n"/>
      <c r="D5" s="125" t="n"/>
      <c r="E5" s="125" t="n"/>
      <c r="F5" s="125" t="n"/>
      <c r="G5" s="125" t="n"/>
      <c r="H5" s="125" t="n"/>
      <c r="I5" s="125" t="n"/>
      <c r="J5" s="125" t="n"/>
      <c r="K5" s="125" t="n"/>
      <c r="L5" s="125" t="n"/>
      <c r="M5" s="125" t="n"/>
      <c r="N5" s="125" t="n"/>
      <c r="O5" s="125" t="n"/>
      <c r="P5" s="125" t="n"/>
      <c r="Q5" s="231" t="n"/>
      <c r="R5" s="11" t="n"/>
      <c r="V5" s="577" t="n"/>
    </row>
    <row r="6">
      <c r="A6" s="10" t="n"/>
      <c r="B6" s="3" t="n"/>
      <c r="C6" s="264" t="n"/>
      <c r="D6" s="264" t="n"/>
      <c r="E6" s="264" t="n"/>
      <c r="F6" s="264" t="n"/>
      <c r="G6" s="264" t="n"/>
      <c r="H6" s="264" t="n"/>
      <c r="I6" s="264" t="n"/>
      <c r="J6" s="264" t="n"/>
      <c r="K6" s="264" t="n"/>
      <c r="L6" s="264" t="n"/>
      <c r="M6" s="264" t="n"/>
      <c r="N6" s="264" t="n"/>
      <c r="O6" s="264" t="n"/>
      <c r="P6" s="264" t="n"/>
      <c r="Q6" s="187" t="n"/>
      <c r="R6" s="11" t="n"/>
      <c r="V6" s="541" t="inlineStr">
        <is>
          <t>Test Sıcaklığı</t>
        </is>
      </c>
      <c r="W6" s="343" t="n"/>
      <c r="X6" s="541" t="inlineStr">
        <is>
          <t>İcra Katsayısı</t>
        </is>
      </c>
      <c r="Y6" s="343"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c r="V7" s="62" t="n"/>
      <c r="W7" s="345" t="n"/>
      <c r="X7" s="62" t="n"/>
      <c r="Y7" s="345" t="n"/>
      <c r="Z7" s="264" t="n"/>
      <c r="AA7" s="264" t="n"/>
      <c r="AB7" s="264" t="n"/>
      <c r="AC7" s="264" t="n"/>
    </row>
    <row r="8" ht="15.75" customHeight="1" s="684">
      <c r="A8" s="10" t="n"/>
      <c r="B8" s="3" t="n"/>
      <c r="C8" s="264" t="n"/>
      <c r="D8" s="264" t="n"/>
      <c r="E8" s="264" t="n"/>
      <c r="F8" s="264" t="n"/>
      <c r="G8" s="264" t="n"/>
      <c r="H8" s="264" t="n"/>
      <c r="I8" s="264" t="n"/>
      <c r="J8" s="264" t="n"/>
      <c r="K8" s="264" t="n"/>
      <c r="L8" s="264" t="n"/>
      <c r="M8" s="264" t="n"/>
      <c r="N8" s="264" t="n"/>
      <c r="O8" s="264" t="n"/>
      <c r="P8" s="264" t="n"/>
      <c r="Q8" s="187" t="n"/>
      <c r="R8" s="11" t="n"/>
      <c r="V8" s="608" t="n">
        <v>10</v>
      </c>
      <c r="W8" s="231" t="n"/>
      <c r="X8" s="609" t="n">
        <v>0.8</v>
      </c>
      <c r="Y8" s="231" t="n"/>
      <c r="Z8" s="128" t="n"/>
      <c r="AA8" s="128">
        <f>IF(P15=10,X8,
IF(P15=15,X9,
IF(P15=20,X10,
IF(P15=25,X11,
IF(P15=30,X12,
IF(P15=35,X13, IF(P15=40,X14, IF(P15=45,X15, IF(P15=50,X16)))))))))</f>
        <v/>
      </c>
      <c r="AB8" s="128" t="n"/>
      <c r="AC8" s="128"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c r="V9" s="608" t="n">
        <v>15</v>
      </c>
      <c r="W9" s="231" t="n"/>
      <c r="X9" s="609" t="n">
        <v>0.9</v>
      </c>
      <c r="Y9" s="231" t="n"/>
      <c r="Z9" s="264" t="n"/>
      <c r="AA9" s="264" t="n"/>
      <c r="AB9" s="264" t="n"/>
      <c r="AC9" s="264" t="n"/>
    </row>
    <row r="10" ht="15.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V10" s="608" t="n">
        <v>20</v>
      </c>
      <c r="W10" s="231" t="n"/>
      <c r="X10" s="609" t="n">
        <v>1</v>
      </c>
      <c r="Y10" s="231" t="n"/>
      <c r="Z10" s="128" t="n"/>
      <c r="AA10" s="128" t="n"/>
      <c r="AB10" s="128" t="n"/>
      <c r="AC10" s="128" t="n"/>
    </row>
    <row r="11" ht="15.75" customHeight="1" s="684">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c r="V11" s="608" t="n">
        <v>25</v>
      </c>
      <c r="W11" s="231" t="n"/>
      <c r="X11" s="609" t="n">
        <v>1.2</v>
      </c>
      <c r="Y11" s="231" t="n"/>
      <c r="Z11" s="128" t="n"/>
      <c r="AA11" s="128" t="n"/>
      <c r="AB11" s="128" t="n"/>
      <c r="AC11" s="128" t="n"/>
    </row>
    <row r="12" ht="15.7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c r="V12" s="608" t="n">
        <v>30</v>
      </c>
      <c r="W12" s="231" t="n"/>
      <c r="X12" s="609" t="n">
        <v>1.25</v>
      </c>
      <c r="Y12" s="231" t="n"/>
      <c r="Z12" s="264" t="n"/>
      <c r="AA12" s="264" t="n"/>
      <c r="AB12" s="264" t="n"/>
      <c r="AC12" s="264"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s="608" t="n">
        <v>35</v>
      </c>
      <c r="W13" s="231" t="n"/>
      <c r="X13" s="609" t="n">
        <v>1.4</v>
      </c>
      <c r="Y13" s="231" t="n"/>
    </row>
    <row r="14" ht="15.7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c r="V14" s="608" t="n">
        <v>40</v>
      </c>
      <c r="W14" s="231" t="n"/>
      <c r="X14" s="609" t="n">
        <v>1.55</v>
      </c>
      <c r="Y14" s="231" t="n"/>
      <c r="Z14" s="264" t="n"/>
      <c r="AA14" s="264" t="n"/>
      <c r="AB14" s="264" t="n"/>
      <c r="AC14" s="264" t="n"/>
    </row>
    <row r="15" ht="21" customHeight="1" s="684">
      <c r="A15" s="10" t="n"/>
      <c r="B15" s="734" t="inlineStr">
        <is>
          <t>HV Sargı</t>
        </is>
      </c>
      <c r="C15" s="125" t="n"/>
      <c r="D15" s="125" t="n"/>
      <c r="E15" s="125" t="n"/>
      <c r="F15" s="125" t="n"/>
      <c r="G15" s="125" t="n"/>
      <c r="H15" s="125" t="n"/>
      <c r="I15" s="125" t="n"/>
      <c r="J15" s="231" t="n"/>
      <c r="K15" s="403" t="inlineStr">
        <is>
          <t xml:space="preserve">Sıcaklık: </t>
        </is>
      </c>
      <c r="L15" s="125" t="n"/>
      <c r="M15" s="125" t="n"/>
      <c r="N15" s="125" t="n"/>
      <c r="O15" s="404" t="inlineStr">
        <is>
          <t>~</t>
        </is>
      </c>
      <c r="P15" s="165">
        <f>'ANA SAYFA'!G26</f>
        <v/>
      </c>
      <c r="Q15" s="166" t="inlineStr">
        <is>
          <t>°C</t>
        </is>
      </c>
      <c r="R15" s="11" t="n"/>
      <c r="V15" s="608" t="n">
        <v>45</v>
      </c>
      <c r="W15" s="231" t="n"/>
      <c r="X15" s="609" t="n">
        <v>1.75</v>
      </c>
      <c r="Y15" s="231" t="n"/>
    </row>
    <row r="16" ht="18.75" customHeight="1" s="684">
      <c r="A16" s="10" t="n"/>
      <c r="B16" s="614" t="inlineStr">
        <is>
          <t>Testler</t>
        </is>
      </c>
      <c r="C16" s="504" t="inlineStr">
        <is>
          <t>#</t>
        </is>
      </c>
      <c r="D16" s="504" t="n"/>
      <c r="E16" s="504" t="inlineStr">
        <is>
          <t>Kapasitans</t>
        </is>
      </c>
      <c r="F16" s="125" t="n"/>
      <c r="G16" s="231" t="n"/>
      <c r="H16" s="504" t="inlineStr">
        <is>
          <t>Tarama</t>
        </is>
      </c>
      <c r="I16" s="125" t="n"/>
      <c r="J16" s="231" t="n"/>
      <c r="K16" s="504" t="inlineStr">
        <is>
          <t>Mod</t>
        </is>
      </c>
      <c r="L16" s="125" t="n"/>
      <c r="M16" s="231" t="n"/>
      <c r="N16" s="504" t="inlineStr">
        <is>
          <t>V [V]</t>
        </is>
      </c>
      <c r="O16" s="231" t="n"/>
      <c r="P16" s="504" t="inlineStr">
        <is>
          <t>f [Hz]</t>
        </is>
      </c>
      <c r="Q16" s="231" t="n"/>
      <c r="R16" s="11" t="n"/>
      <c r="V16" s="608" t="n">
        <v>50</v>
      </c>
      <c r="W16" s="231" t="n"/>
      <c r="X16" s="609" t="n">
        <v>1.95</v>
      </c>
      <c r="Y16" s="231" t="n"/>
    </row>
    <row r="17" ht="18.75" customHeight="1" s="684">
      <c r="A17" s="10" t="n"/>
      <c r="B17" s="735" t="n"/>
      <c r="C17" s="55" t="n">
        <v>1</v>
      </c>
      <c r="D17" s="669" t="n">
        <v>1</v>
      </c>
      <c r="E17" s="504" t="inlineStr">
        <is>
          <t>CH</t>
        </is>
      </c>
      <c r="F17" s="125" t="n"/>
      <c r="G17" s="231" t="n"/>
      <c r="H17" s="504" t="inlineStr">
        <is>
          <t>Hiçbiri</t>
        </is>
      </c>
      <c r="I17" s="125" t="n"/>
      <c r="J17" s="231" t="n"/>
      <c r="K17" s="582" t="inlineStr">
        <is>
          <t>GSTg-A</t>
        </is>
      </c>
      <c r="L17" s="125" t="n"/>
      <c r="M17" s="231" t="n"/>
      <c r="N17" s="504" t="n">
        <v>10000</v>
      </c>
      <c r="O17" s="231" t="n"/>
      <c r="P17" s="582" t="n">
        <v>50</v>
      </c>
      <c r="Q17" s="231" t="n"/>
      <c r="R17" s="11" t="n"/>
      <c r="V17" s="608" t="n">
        <v>55</v>
      </c>
      <c r="W17" s="231" t="n"/>
      <c r="X17" s="609" t="n">
        <v>2.18</v>
      </c>
      <c r="Y17" s="231" t="n"/>
    </row>
    <row r="18" ht="18.75" customHeight="1" s="684">
      <c r="A18" s="10" t="n"/>
      <c r="B18" s="735" t="n"/>
      <c r="C18" s="55" t="n">
        <v>2</v>
      </c>
      <c r="D18" s="669" t="n">
        <v>1</v>
      </c>
      <c r="E18" s="504" t="inlineStr">
        <is>
          <t>CHL</t>
        </is>
      </c>
      <c r="F18" s="125" t="n"/>
      <c r="G18" s="231" t="n"/>
      <c r="H18" s="504" t="inlineStr">
        <is>
          <t>Hiçbiri</t>
        </is>
      </c>
      <c r="I18" s="125" t="n"/>
      <c r="J18" s="231" t="n"/>
      <c r="K18" s="582" t="inlineStr">
        <is>
          <t>UST-A</t>
        </is>
      </c>
      <c r="L18" s="125" t="n"/>
      <c r="M18" s="231" t="n"/>
      <c r="N18" s="504" t="n">
        <v>10000</v>
      </c>
      <c r="O18" s="231" t="n"/>
      <c r="P18" s="582" t="n">
        <v>50</v>
      </c>
      <c r="Q18" s="231" t="n"/>
      <c r="R18" s="11" t="n"/>
      <c r="V18" s="608" t="n">
        <v>60</v>
      </c>
      <c r="W18" s="231" t="n"/>
      <c r="X18" s="609" t="n">
        <v>2.42</v>
      </c>
      <c r="Y18" s="231" t="n"/>
      <c r="Z18" s="128" t="n"/>
      <c r="AA18" s="128" t="n"/>
      <c r="AB18" s="128" t="n"/>
      <c r="AC18" s="128" t="n"/>
    </row>
    <row r="19" ht="18.75" customHeight="1" s="684">
      <c r="A19" s="10" t="n"/>
      <c r="B19" s="736" t="n"/>
      <c r="C19" s="55" t="n">
        <v>3</v>
      </c>
      <c r="D19" s="669" t="n">
        <v>1</v>
      </c>
      <c r="E19" s="504" t="inlineStr">
        <is>
          <t>CH+CHL</t>
        </is>
      </c>
      <c r="F19" s="125" t="n"/>
      <c r="G19" s="231" t="n"/>
      <c r="H19" s="504" t="inlineStr">
        <is>
          <t>Hiçbiri</t>
        </is>
      </c>
      <c r="I19" s="125" t="n"/>
      <c r="J19" s="231" t="n"/>
      <c r="K19" s="582" t="inlineStr">
        <is>
          <t>GST</t>
        </is>
      </c>
      <c r="L19" s="125" t="n"/>
      <c r="M19" s="231" t="n"/>
      <c r="N19" s="504" t="n">
        <v>10000</v>
      </c>
      <c r="O19" s="231" t="n"/>
      <c r="P19" s="582" t="n">
        <v>50</v>
      </c>
      <c r="Q19" s="231" t="n"/>
      <c r="R19" s="11" t="n"/>
      <c r="V19" s="608" t="n">
        <v>65</v>
      </c>
      <c r="W19" s="231" t="n"/>
      <c r="X19" s="609" t="n">
        <v>2.7</v>
      </c>
      <c r="Y19" s="231" t="n"/>
      <c r="Z19" s="128" t="n"/>
      <c r="AA19" s="128" t="n"/>
      <c r="AB19" s="128" t="n"/>
      <c r="AC19" s="128" t="n"/>
    </row>
    <row r="20" ht="18.75" customHeight="1" s="684">
      <c r="A20" s="10" t="n"/>
      <c r="B20" s="75" t="n"/>
      <c r="C20" s="76" t="n"/>
      <c r="D20" s="76" t="n"/>
      <c r="E20" s="76" t="n"/>
      <c r="F20" s="76" t="n"/>
      <c r="G20" s="76" t="n"/>
      <c r="H20" s="76" t="n"/>
      <c r="I20" s="76" t="n"/>
      <c r="J20" s="76" t="n"/>
      <c r="K20" s="76" t="n"/>
      <c r="L20" s="76" t="n"/>
      <c r="M20" s="76" t="n"/>
      <c r="N20" s="76" t="n"/>
      <c r="O20" s="76" t="n"/>
      <c r="P20" s="76" t="n"/>
      <c r="Q20" s="77" t="n"/>
      <c r="R20" s="11" t="n"/>
      <c r="V20" s="608" t="n">
        <v>70</v>
      </c>
      <c r="W20" s="231" t="n"/>
      <c r="X20" s="609" t="n">
        <v>3</v>
      </c>
      <c r="Y20" s="231" t="n"/>
      <c r="Z20" s="128" t="n"/>
      <c r="AA20" s="128" t="n"/>
      <c r="AB20" s="128" t="n"/>
      <c r="AC20" s="128" t="n"/>
    </row>
    <row r="21" ht="15.75" customHeight="1" s="684">
      <c r="A21" s="10" t="n"/>
      <c r="B21" s="610" t="inlineStr">
        <is>
          <t>Sonuçlar</t>
        </is>
      </c>
      <c r="C21" s="539" t="inlineStr">
        <is>
          <t>CH</t>
        </is>
      </c>
      <c r="D21" s="125" t="n"/>
      <c r="E21" s="125" t="n"/>
      <c r="F21" s="125" t="n"/>
      <c r="G21" s="125" t="n"/>
      <c r="H21" s="125" t="n"/>
      <c r="I21" s="125" t="n"/>
      <c r="J21" s="125" t="n"/>
      <c r="K21" s="125" t="n"/>
      <c r="L21" s="125" t="n"/>
      <c r="M21" s="125" t="n"/>
      <c r="N21" s="125" t="n"/>
      <c r="O21" s="125" t="n"/>
      <c r="P21" s="125" t="n"/>
      <c r="Q21" s="231" t="n"/>
      <c r="R21" s="11" t="n"/>
      <c r="W21" s="128" t="n"/>
      <c r="X21" s="128" t="n"/>
      <c r="Y21" s="128" t="n"/>
      <c r="Z21" s="128" t="n"/>
      <c r="AA21" s="128" t="n"/>
      <c r="AB21" s="128" t="n"/>
      <c r="AC21" s="128" t="n"/>
    </row>
    <row r="22" ht="15" customHeight="1" s="684">
      <c r="A22" s="10" t="n"/>
      <c r="B22" s="735" t="n"/>
      <c r="C22" s="483" t="inlineStr">
        <is>
          <t>#</t>
        </is>
      </c>
      <c r="D22" s="607" t="inlineStr">
        <is>
          <t>V [V]</t>
        </is>
      </c>
      <c r="E22" s="231" t="n"/>
      <c r="F22" s="607" t="inlineStr">
        <is>
          <t>f [Hz]</t>
        </is>
      </c>
      <c r="G22" s="231" t="n"/>
      <c r="H22" s="607" t="inlineStr">
        <is>
          <t>PF (%)</t>
        </is>
      </c>
      <c r="I22" s="231" t="n"/>
      <c r="J22" s="607" t="inlineStr">
        <is>
          <t>Kayıp W</t>
        </is>
      </c>
      <c r="K22" s="231" t="n"/>
      <c r="L22" s="541" t="inlineStr">
        <is>
          <t>Z (kΩ)</t>
        </is>
      </c>
      <c r="M22" s="231" t="n"/>
      <c r="N22" s="607" t="inlineStr">
        <is>
          <t>Stest (VA)</t>
        </is>
      </c>
      <c r="O22" s="231" t="n"/>
      <c r="P22" s="607" t="inlineStr">
        <is>
          <t>PF20°C</t>
        </is>
      </c>
      <c r="Q22" s="231" t="n"/>
      <c r="R22" s="11" t="n"/>
    </row>
    <row r="23">
      <c r="A23" s="10" t="n"/>
      <c r="B23" s="735" t="n"/>
      <c r="C23" s="483" t="n">
        <v>1</v>
      </c>
      <c r="D23" s="582" t="n">
        <v>10000</v>
      </c>
      <c r="E23" s="231" t="n"/>
      <c r="F23" s="582" t="n">
        <v>50</v>
      </c>
      <c r="G23" s="231" t="n"/>
      <c r="H23" s="505" t="n">
        <v>0.202</v>
      </c>
      <c r="I23" s="231" t="n"/>
      <c r="J23" s="727" t="n">
        <v>0.10592</v>
      </c>
      <c r="K23" s="231" t="n"/>
      <c r="L23" s="505" t="n">
        <v>1919.95</v>
      </c>
      <c r="M23" s="231" t="n"/>
      <c r="N23" s="505" t="n">
        <v>52.423</v>
      </c>
      <c r="O23" s="231" t="n"/>
      <c r="P23" s="505">
        <f>H23/AA8</f>
        <v/>
      </c>
      <c r="Q23" s="231" t="n"/>
      <c r="R23" s="11" t="n"/>
    </row>
    <row r="24">
      <c r="A24" s="35" t="n"/>
      <c r="B24" s="735" t="n"/>
      <c r="C24" s="264" t="n"/>
      <c r="D24" s="264" t="n"/>
      <c r="E24" s="264" t="n"/>
      <c r="F24" s="264" t="n"/>
      <c r="G24" s="264" t="n"/>
      <c r="H24" s="264" t="n"/>
      <c r="I24" s="264" t="n"/>
      <c r="J24" s="264" t="n"/>
      <c r="K24" s="264" t="n"/>
      <c r="L24" s="264" t="n"/>
      <c r="M24" s="264" t="n"/>
      <c r="N24" s="264" t="n"/>
      <c r="O24" s="264" t="n"/>
      <c r="P24" s="264" t="n"/>
      <c r="Q24" s="187" t="n"/>
      <c r="R24" s="11" t="n"/>
    </row>
    <row r="25" ht="15.75" customHeight="1" s="684">
      <c r="A25" s="35" t="n"/>
      <c r="B25" s="735" t="n"/>
      <c r="C25" s="539" t="inlineStr">
        <is>
          <t>CHL</t>
        </is>
      </c>
      <c r="D25" s="125" t="n"/>
      <c r="E25" s="125" t="n"/>
      <c r="F25" s="125" t="n"/>
      <c r="G25" s="125" t="n"/>
      <c r="H25" s="125" t="n"/>
      <c r="I25" s="125" t="n"/>
      <c r="J25" s="125" t="n"/>
      <c r="K25" s="125" t="n"/>
      <c r="L25" s="125" t="n"/>
      <c r="M25" s="125" t="n"/>
      <c r="N25" s="125" t="n"/>
      <c r="O25" s="125" t="n"/>
      <c r="P25" s="125" t="n"/>
      <c r="Q25" s="231" t="n"/>
      <c r="R25" s="11" t="n"/>
    </row>
    <row r="26">
      <c r="A26" s="35" t="n"/>
      <c r="B26" s="735" t="n"/>
      <c r="C26" s="483" t="inlineStr">
        <is>
          <t>#</t>
        </is>
      </c>
      <c r="D26" s="607" t="inlineStr">
        <is>
          <t>V [V]</t>
        </is>
      </c>
      <c r="E26" s="231" t="n"/>
      <c r="F26" s="607" t="inlineStr">
        <is>
          <t>f [Hz]</t>
        </is>
      </c>
      <c r="G26" s="231" t="n"/>
      <c r="H26" s="607" t="inlineStr">
        <is>
          <t>PF (%)</t>
        </is>
      </c>
      <c r="I26" s="231" t="n"/>
      <c r="J26" s="607" t="inlineStr">
        <is>
          <t>Kayıp W</t>
        </is>
      </c>
      <c r="K26" s="231" t="n"/>
      <c r="L26" s="541" t="inlineStr">
        <is>
          <t>Z (kΩ)</t>
        </is>
      </c>
      <c r="M26" s="231" t="n"/>
      <c r="N26" s="607" t="inlineStr">
        <is>
          <t>Stest (VA)</t>
        </is>
      </c>
      <c r="O26" s="231" t="n"/>
      <c r="P26" s="607" t="inlineStr">
        <is>
          <t>PF20°C</t>
        </is>
      </c>
      <c r="Q26" s="231" t="n"/>
      <c r="R26" s="11" t="n"/>
    </row>
    <row r="27">
      <c r="A27" s="10" t="n"/>
      <c r="B27" s="735" t="n"/>
      <c r="C27" s="483" t="n">
        <v>2</v>
      </c>
      <c r="D27" s="582" t="n">
        <v>10000</v>
      </c>
      <c r="E27" s="231" t="n"/>
      <c r="F27" s="582" t="n">
        <v>50</v>
      </c>
      <c r="G27" s="231" t="n"/>
      <c r="H27" s="505" t="n">
        <v>0.32</v>
      </c>
      <c r="I27" s="231" t="n"/>
      <c r="J27" s="727" t="n">
        <v>0.36838</v>
      </c>
      <c r="K27" s="231" t="n"/>
      <c r="L27" s="505" t="n">
        <v>888.675</v>
      </c>
      <c r="M27" s="231" t="n"/>
      <c r="N27" s="505" t="n">
        <v>113.255</v>
      </c>
      <c r="O27" s="231" t="n"/>
      <c r="P27" s="505">
        <f>H27/AA8</f>
        <v/>
      </c>
      <c r="Q27" s="231" t="n"/>
      <c r="R27" s="11" t="n"/>
    </row>
    <row r="28">
      <c r="A28" s="10" t="n"/>
      <c r="B28" s="735" t="n"/>
      <c r="C28" s="264" t="n"/>
      <c r="D28" s="264" t="n"/>
      <c r="E28" s="264" t="n"/>
      <c r="F28" s="24" t="n"/>
      <c r="G28" s="264" t="n"/>
      <c r="H28" s="264" t="n"/>
      <c r="I28" s="264" t="n"/>
      <c r="J28" s="264" t="n"/>
      <c r="K28" s="264" t="n"/>
      <c r="L28" s="264" t="n"/>
      <c r="M28" s="264" t="n"/>
      <c r="N28" s="264" t="n"/>
      <c r="O28" s="264" t="n"/>
      <c r="P28" s="264" t="n"/>
      <c r="Q28" s="187" t="n"/>
      <c r="R28" s="11" t="n"/>
    </row>
    <row r="29" ht="15.75" customHeight="1" s="684">
      <c r="A29" s="10" t="n"/>
      <c r="B29" s="735" t="n"/>
      <c r="C29" s="539" t="inlineStr">
        <is>
          <t>CH+CHL</t>
        </is>
      </c>
      <c r="D29" s="125" t="n"/>
      <c r="E29" s="125" t="n"/>
      <c r="F29" s="125" t="n"/>
      <c r="G29" s="125" t="n"/>
      <c r="H29" s="125" t="n"/>
      <c r="I29" s="125" t="n"/>
      <c r="J29" s="125" t="n"/>
      <c r="K29" s="125" t="n"/>
      <c r="L29" s="125" t="n"/>
      <c r="M29" s="125" t="n"/>
      <c r="N29" s="125" t="n"/>
      <c r="O29" s="125" t="n"/>
      <c r="P29" s="125" t="n"/>
      <c r="Q29" s="231" t="n"/>
      <c r="R29" s="11" t="n"/>
    </row>
    <row r="30">
      <c r="A30" s="10" t="n"/>
      <c r="B30" s="735" t="n"/>
      <c r="C30" s="483" t="inlineStr">
        <is>
          <t>#</t>
        </is>
      </c>
      <c r="D30" s="607" t="inlineStr">
        <is>
          <t>V [V]</t>
        </is>
      </c>
      <c r="E30" s="231" t="n"/>
      <c r="F30" s="607" t="inlineStr">
        <is>
          <t>f [Hz]</t>
        </is>
      </c>
      <c r="G30" s="231" t="n"/>
      <c r="H30" s="607" t="inlineStr">
        <is>
          <t>PF (%)</t>
        </is>
      </c>
      <c r="I30" s="231" t="n"/>
      <c r="J30" s="607" t="inlineStr">
        <is>
          <t>Kayıp W</t>
        </is>
      </c>
      <c r="K30" s="231" t="n"/>
      <c r="L30" s="541" t="inlineStr">
        <is>
          <t>Z (kΩ)</t>
        </is>
      </c>
      <c r="M30" s="231" t="n"/>
      <c r="N30" s="607" t="inlineStr">
        <is>
          <t>Stest (VA)</t>
        </is>
      </c>
      <c r="O30" s="231" t="n"/>
      <c r="P30" s="607" t="inlineStr">
        <is>
          <t>PF20°C</t>
        </is>
      </c>
      <c r="Q30" s="231" t="n"/>
      <c r="R30" s="11" t="n"/>
    </row>
    <row r="31">
      <c r="A31" s="10" t="n"/>
      <c r="B31" s="736" t="n"/>
      <c r="C31" s="483" t="n">
        <v>3</v>
      </c>
      <c r="D31" s="582" t="n">
        <v>10000</v>
      </c>
      <c r="E31" s="231" t="n"/>
      <c r="F31" s="582" t="n">
        <v>50</v>
      </c>
      <c r="G31" s="231" t="n"/>
      <c r="H31" s="505" t="n">
        <v>0.345</v>
      </c>
      <c r="I31" s="231" t="n"/>
      <c r="J31" s="727" t="n">
        <v>0.47396</v>
      </c>
      <c r="K31" s="231" t="n"/>
      <c r="L31" s="505" t="n">
        <v>607.447</v>
      </c>
      <c r="M31" s="231" t="n"/>
      <c r="N31" s="505">
        <f>N23+N27</f>
        <v/>
      </c>
      <c r="O31" s="231" t="n"/>
      <c r="P31" s="505">
        <f>H31/AA8</f>
        <v/>
      </c>
      <c r="Q31" s="231" t="n"/>
      <c r="R31" s="11" t="n"/>
    </row>
    <row r="32">
      <c r="A32" s="10" t="n"/>
      <c r="B32" s="167" t="n"/>
      <c r="C32" s="264" t="n"/>
      <c r="D32" s="264" t="n"/>
      <c r="E32" s="264" t="n"/>
      <c r="F32" s="264" t="n"/>
      <c r="G32" s="264" t="n"/>
      <c r="H32" s="264" t="n"/>
      <c r="I32" s="264" t="n"/>
      <c r="J32" s="264" t="n"/>
      <c r="K32" s="264" t="n"/>
      <c r="L32" s="264" t="n"/>
      <c r="M32" s="264" t="n"/>
      <c r="N32" s="264" t="n"/>
      <c r="O32" s="264" t="n"/>
      <c r="P32" s="264" t="n"/>
      <c r="Q32" s="187" t="n"/>
      <c r="R32" s="11" t="n"/>
    </row>
    <row r="33">
      <c r="A33" s="10" t="n"/>
      <c r="B33" s="737"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44" t="n"/>
      <c r="R33" s="11" t="n"/>
    </row>
    <row r="34" ht="15" customHeight="1" s="684">
      <c r="A34" s="10" t="n"/>
      <c r="B34" s="85" t="n"/>
      <c r="Q34" s="344" t="n"/>
      <c r="R34" s="11" t="n"/>
      <c r="V34" s="264" t="n"/>
    </row>
    <row r="35">
      <c r="A35" s="10" t="n"/>
      <c r="B35" s="85" t="n"/>
      <c r="Q35" s="344" t="n"/>
      <c r="R35" s="11" t="n"/>
    </row>
    <row r="36" ht="15.75" customHeight="1" s="684">
      <c r="A36" s="10" t="n"/>
      <c r="B36" s="545" t="inlineStr">
        <is>
          <t>TEST DEĞERLERİNİN YORUMU</t>
        </is>
      </c>
      <c r="C36" s="125" t="n"/>
      <c r="D36" s="125" t="n"/>
      <c r="E36" s="125" t="n"/>
      <c r="F36" s="125" t="n"/>
      <c r="G36" s="125" t="n"/>
      <c r="H36" s="125" t="n"/>
      <c r="I36" s="125" t="n"/>
      <c r="J36" s="125" t="n"/>
      <c r="K36" s="125" t="n"/>
      <c r="L36" s="125" t="n"/>
      <c r="M36" s="125" t="n"/>
      <c r="N36" s="125" t="n"/>
      <c r="O36" s="125" t="n"/>
      <c r="P36" s="125" t="n"/>
      <c r="Q36" s="231" t="n"/>
      <c r="R36" s="11" t="n"/>
    </row>
    <row r="37" ht="15" customHeight="1" s="684">
      <c r="A37" s="10" t="n"/>
      <c r="B37" s="605" t="inlineStr">
        <is>
          <t>CH (YG/Tank-Nüve) değerleri uygundur.</t>
        </is>
      </c>
      <c r="C37" s="70" t="n"/>
      <c r="D37" s="70" t="n"/>
      <c r="E37" s="70" t="n"/>
      <c r="F37" s="70" t="n"/>
      <c r="G37" s="70" t="n"/>
      <c r="H37" s="70" t="n"/>
      <c r="I37" s="70" t="n"/>
      <c r="J37" s="70" t="n"/>
      <c r="K37" s="70" t="n"/>
      <c r="L37" s="70" t="n"/>
      <c r="M37" s="70" t="n"/>
      <c r="N37" s="70" t="n"/>
      <c r="O37" s="70" t="n"/>
      <c r="P37" s="70" t="n"/>
      <c r="Q37" s="343" t="n"/>
      <c r="R37" s="11" t="n"/>
    </row>
    <row r="38">
      <c r="A38" s="10" t="n"/>
      <c r="B38" s="62" t="n"/>
      <c r="C38" s="135" t="n"/>
      <c r="D38" s="135" t="n"/>
      <c r="E38" s="135" t="n"/>
      <c r="F38" s="135" t="n"/>
      <c r="G38" s="135" t="n"/>
      <c r="H38" s="135" t="n"/>
      <c r="I38" s="135" t="n"/>
      <c r="J38" s="135" t="n"/>
      <c r="K38" s="135" t="n"/>
      <c r="L38" s="135" t="n"/>
      <c r="M38" s="135" t="n"/>
      <c r="N38" s="135" t="n"/>
      <c r="O38" s="135" t="n"/>
      <c r="P38" s="135" t="n"/>
      <c r="Q38" s="345" t="n"/>
      <c r="R38" s="11" t="n"/>
    </row>
    <row r="39">
      <c r="A39" s="10" t="n"/>
      <c r="B39" s="605" t="inlineStr">
        <is>
          <t>CHL (YG/AG) değerleri uygundur.</t>
        </is>
      </c>
      <c r="C39" s="70" t="n"/>
      <c r="D39" s="70" t="n"/>
      <c r="E39" s="70" t="n"/>
      <c r="F39" s="70" t="n"/>
      <c r="G39" s="70" t="n"/>
      <c r="H39" s="70" t="n"/>
      <c r="I39" s="70" t="n"/>
      <c r="J39" s="70" t="n"/>
      <c r="K39" s="70" t="n"/>
      <c r="L39" s="70" t="n"/>
      <c r="M39" s="70" t="n"/>
      <c r="N39" s="70" t="n"/>
      <c r="O39" s="70" t="n"/>
      <c r="P39" s="70" t="n"/>
      <c r="Q39" s="343" t="n"/>
      <c r="R39" s="11" t="n"/>
    </row>
    <row r="40" ht="15.75" customHeight="1" s="684">
      <c r="A40" s="10" t="n"/>
      <c r="B40" s="62" t="n"/>
      <c r="C40" s="135" t="n"/>
      <c r="D40" s="135" t="n"/>
      <c r="E40" s="135" t="n"/>
      <c r="F40" s="135" t="n"/>
      <c r="G40" s="135" t="n"/>
      <c r="H40" s="135" t="n"/>
      <c r="I40" s="135" t="n"/>
      <c r="J40" s="135" t="n"/>
      <c r="K40" s="135" t="n"/>
      <c r="L40" s="135" t="n"/>
      <c r="M40" s="135" t="n"/>
      <c r="N40" s="135" t="n"/>
      <c r="O40" s="135" t="n"/>
      <c r="P40" s="135" t="n"/>
      <c r="Q40" s="345" t="n"/>
      <c r="R40" s="11" t="n"/>
    </row>
    <row r="41" ht="15" customHeight="1" s="684">
      <c r="A41" s="10" t="n"/>
      <c r="B41" s="605" t="inlineStr">
        <is>
          <t>CH+CHL (∑YG/Tank-Nüve) değerleri uygundur.</t>
        </is>
      </c>
      <c r="C41" s="70" t="n"/>
      <c r="D41" s="70" t="n"/>
      <c r="E41" s="70" t="n"/>
      <c r="F41" s="70" t="n"/>
      <c r="G41" s="70" t="n"/>
      <c r="H41" s="70" t="n"/>
      <c r="I41" s="70" t="n"/>
      <c r="J41" s="70" t="n"/>
      <c r="K41" s="70" t="n"/>
      <c r="L41" s="70" t="n"/>
      <c r="M41" s="70" t="n"/>
      <c r="N41" s="70" t="n"/>
      <c r="O41" s="70" t="n"/>
      <c r="P41" s="70" t="n"/>
      <c r="Q41" s="343" t="n"/>
      <c r="R41" s="11" t="n"/>
    </row>
    <row r="42" ht="15.75" customHeight="1" s="684">
      <c r="A42" s="10" t="n"/>
      <c r="B42" s="62" t="n"/>
      <c r="C42" s="135" t="n"/>
      <c r="D42" s="135" t="n"/>
      <c r="E42" s="135" t="n"/>
      <c r="F42" s="135" t="n"/>
      <c r="G42" s="135" t="n"/>
      <c r="H42" s="135" t="n"/>
      <c r="I42" s="135" t="n"/>
      <c r="J42" s="135" t="n"/>
      <c r="K42" s="135" t="n"/>
      <c r="L42" s="135" t="n"/>
      <c r="M42" s="135" t="n"/>
      <c r="N42" s="135" t="n"/>
      <c r="O42" s="135" t="n"/>
      <c r="P42" s="135" t="n"/>
      <c r="Q42" s="345" t="n"/>
      <c r="R42" s="11" t="n"/>
    </row>
    <row r="43" ht="15" customHeight="1" s="684">
      <c r="A43" s="10" t="n"/>
      <c r="B43" s="62" t="n"/>
      <c r="C43" s="135" t="n"/>
      <c r="D43" s="135" t="n"/>
      <c r="E43" s="135" t="n"/>
      <c r="F43" s="135" t="n"/>
      <c r="G43" s="135" t="n"/>
      <c r="H43" s="135" t="n"/>
      <c r="I43" s="135" t="n"/>
      <c r="J43" s="135" t="n"/>
      <c r="K43" s="135" t="n"/>
      <c r="L43" s="135" t="n"/>
      <c r="M43" s="135" t="n"/>
      <c r="N43" s="135" t="n"/>
      <c r="O43" s="135" t="n"/>
      <c r="P43" s="135" t="n"/>
      <c r="Q43" s="345" t="n"/>
      <c r="R43" s="11" t="n"/>
    </row>
    <row r="44" ht="22.5" customHeight="1" s="684">
      <c r="A44" s="10" t="n"/>
      <c r="B44" s="520" t="inlineStr">
        <is>
          <t>UNVAN</t>
        </is>
      </c>
      <c r="C44" s="70" t="n"/>
      <c r="D44" s="70" t="n"/>
      <c r="E44" s="330" t="inlineStr">
        <is>
          <t>:</t>
        </is>
      </c>
      <c r="F44" s="519" t="inlineStr">
        <is>
          <t>Elektrik Mühendisi</t>
        </is>
      </c>
      <c r="G44" s="70" t="n"/>
      <c r="H44" s="70" t="n"/>
      <c r="I44" s="343" t="n"/>
      <c r="J44" s="705"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0">
        <f>'ANA SAYFA'!F73</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K48"/>
  <sheetViews>
    <sheetView topLeftCell="A35" zoomScale="85" zoomScaleNormal="85" workbookViewId="0">
      <selection activeCell="N46" sqref="N46"/>
    </sheetView>
  </sheetViews>
  <sheetFormatPr baseColWidth="8" defaultRowHeight="15"/>
  <cols>
    <col width="3.5703125" customWidth="1" style="684" min="1" max="1"/>
    <col width="5.42578125" customWidth="1" style="684" min="2" max="5"/>
    <col width="6.5703125" customWidth="1" style="684" min="6" max="6"/>
    <col width="5.42578125" customWidth="1" style="684" min="7" max="10"/>
    <col width="6" customWidth="1" style="684" min="11" max="17"/>
    <col width="3.5703125" customWidth="1" style="684" min="18" max="18"/>
    <col width="10.5703125" customWidth="1" style="684" min="19" max="19"/>
    <col width="12.28515625" customWidth="1" style="684" min="20" max="20"/>
    <col width="9.7109375" customWidth="1" style="684" min="21" max="21"/>
    <col width="9" customWidth="1" style="684" min="22" max="22"/>
    <col width="11.7109375" customWidth="1" style="684" min="23" max="23"/>
    <col width="11" customWidth="1" style="684" min="24" max="25"/>
    <col width="9.140625" customWidth="1" style="684" min="26" max="26"/>
    <col width="16.7109375" customWidth="1" style="684" min="27" max="27"/>
    <col width="9.140625" customWidth="1" style="684"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c r="V3" s="577" t="n"/>
    </row>
    <row r="4" ht="15.75" customHeight="1" s="684">
      <c r="A4" s="10" t="n"/>
      <c r="B4" s="3" t="n"/>
      <c r="C4" s="264" t="n"/>
      <c r="D4" s="264" t="n"/>
      <c r="E4" s="264" t="n"/>
      <c r="F4" s="264" t="n"/>
      <c r="G4" s="264" t="n"/>
      <c r="H4" s="264" t="n"/>
      <c r="I4" s="264" t="n"/>
      <c r="J4" s="264" t="n"/>
      <c r="K4" s="264" t="n"/>
      <c r="L4" s="264" t="n"/>
      <c r="M4" s="264" t="n"/>
      <c r="N4" s="264" t="n"/>
      <c r="O4" s="264" t="n"/>
      <c r="P4" s="264" t="n"/>
      <c r="Q4" s="187" t="n"/>
      <c r="R4" s="11" t="n"/>
      <c r="W4" s="128" t="n"/>
      <c r="X4" s="128" t="n"/>
      <c r="Y4" s="128" t="n"/>
      <c r="Z4" s="128" t="n"/>
      <c r="AA4" s="128" t="n"/>
      <c r="AB4" s="128" t="n"/>
      <c r="AC4" s="128" t="n"/>
    </row>
    <row r="5" ht="18.75" customHeight="1" s="684">
      <c r="A5" s="10" t="n"/>
      <c r="B5" s="705" t="inlineStr">
        <is>
          <t>ALÇAK GERİLİM GÜÇ FAKTÖRÜ TEST SONUÇLARI</t>
        </is>
      </c>
      <c r="C5" s="125" t="n"/>
      <c r="D5" s="125" t="n"/>
      <c r="E5" s="125" t="n"/>
      <c r="F5" s="125" t="n"/>
      <c r="G5" s="125" t="n"/>
      <c r="H5" s="125" t="n"/>
      <c r="I5" s="125" t="n"/>
      <c r="J5" s="125" t="n"/>
      <c r="K5" s="125" t="n"/>
      <c r="L5" s="125" t="n"/>
      <c r="M5" s="125" t="n"/>
      <c r="N5" s="125" t="n"/>
      <c r="O5" s="125" t="n"/>
      <c r="P5" s="125" t="n"/>
      <c r="Q5" s="231" t="n"/>
      <c r="R5" s="11" t="n"/>
      <c r="V5" s="577" t="n"/>
    </row>
    <row r="6">
      <c r="A6" s="10" t="n"/>
      <c r="B6" s="3" t="n"/>
      <c r="C6" s="264" t="n"/>
      <c r="D6" s="264" t="n"/>
      <c r="E6" s="264" t="n"/>
      <c r="F6" s="264" t="n"/>
      <c r="G6" s="264" t="n"/>
      <c r="H6" s="264" t="n"/>
      <c r="I6" s="264" t="n"/>
      <c r="J6" s="264" t="n"/>
      <c r="K6" s="264" t="n"/>
      <c r="L6" s="264" t="n"/>
      <c r="M6" s="264" t="n"/>
      <c r="N6" s="264" t="n"/>
      <c r="O6" s="264" t="n"/>
      <c r="P6" s="264" t="n"/>
      <c r="Q6" s="187" t="n"/>
      <c r="R6" s="11" t="n"/>
      <c r="V6" s="541" t="inlineStr">
        <is>
          <t>Test Sıcaklığı</t>
        </is>
      </c>
      <c r="W6" s="343" t="n"/>
      <c r="X6" s="541" t="inlineStr">
        <is>
          <t>İcra Katsayısı</t>
        </is>
      </c>
      <c r="Y6" s="343"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c r="V7" s="62" t="n"/>
      <c r="W7" s="345" t="n"/>
      <c r="X7" s="62" t="n"/>
      <c r="Y7" s="345" t="n"/>
      <c r="Z7" s="264" t="n"/>
      <c r="AA7" s="264" t="n"/>
      <c r="AB7" s="264" t="n"/>
      <c r="AC7" s="264" t="n"/>
    </row>
    <row r="8" ht="15.75" customHeight="1" s="684">
      <c r="A8" s="10" t="n"/>
      <c r="B8" s="3" t="n"/>
      <c r="C8" s="264" t="n"/>
      <c r="D8" s="264" t="n"/>
      <c r="E8" s="264" t="n"/>
      <c r="F8" s="264" t="n"/>
      <c r="G8" s="264" t="n"/>
      <c r="H8" s="264" t="n"/>
      <c r="I8" s="264" t="n"/>
      <c r="J8" s="264" t="n"/>
      <c r="K8" s="264" t="n"/>
      <c r="L8" s="264" t="n"/>
      <c r="M8" s="264" t="n"/>
      <c r="N8" s="264" t="n"/>
      <c r="O8" s="264" t="n"/>
      <c r="P8" s="264" t="n"/>
      <c r="Q8" s="187" t="n"/>
      <c r="R8" s="11" t="n"/>
      <c r="V8" s="608" t="n">
        <v>10</v>
      </c>
      <c r="W8" s="231" t="n"/>
      <c r="X8" s="609" t="n">
        <v>0.8</v>
      </c>
      <c r="Y8" s="231" t="n"/>
      <c r="Z8" s="128" t="n"/>
      <c r="AA8" s="128">
        <f>IF(P15=10,X8,
IF(P15=15,X9,
IF(P15=20,X10,
IF(P15=25,X11,
IF(P15=30,X12,
IF(P15=35,X13, IF(P15=40,X14, IF(P15=45,X15, IF(P15=50,X16,IF(P15=55,X17,IF(P15=60,X18)))))))))))</f>
        <v/>
      </c>
      <c r="AB8" s="128" t="n"/>
      <c r="AC8" s="128" t="n"/>
    </row>
    <row r="9" ht="18.75" customHeight="1" s="684">
      <c r="A9" s="10" t="n"/>
      <c r="B9" s="469" t="inlineStr">
        <is>
          <t>OTURUM TARİHİ :</t>
        </is>
      </c>
      <c r="C9" s="125" t="n"/>
      <c r="D9" s="125" t="n"/>
      <c r="E9" s="125" t="n"/>
      <c r="F9" s="125" t="n"/>
      <c r="G9" s="125" t="n"/>
      <c r="H9" s="125" t="n"/>
      <c r="I9" s="125" t="n"/>
      <c r="J9" s="717">
        <f>'ANA SAYFA'!F72</f>
        <v/>
      </c>
      <c r="K9" s="125" t="n"/>
      <c r="L9" s="125" t="n"/>
      <c r="M9" s="125" t="n"/>
      <c r="N9" s="125" t="n"/>
      <c r="O9" s="125" t="n"/>
      <c r="P9" s="125" t="n"/>
      <c r="Q9" s="231" t="n"/>
      <c r="R9" s="11" t="n"/>
      <c r="V9" s="608" t="n">
        <v>15</v>
      </c>
      <c r="W9" s="231" t="n"/>
      <c r="X9" s="609" t="n">
        <v>0.9</v>
      </c>
      <c r="Y9" s="231" t="n"/>
      <c r="Z9" s="264" t="n"/>
      <c r="AA9" s="264" t="n"/>
      <c r="AB9" s="264" t="n"/>
      <c r="AC9" s="264" t="n"/>
    </row>
    <row r="10" ht="15.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V10" s="608" t="n">
        <v>20</v>
      </c>
      <c r="W10" s="231" t="n"/>
      <c r="X10" s="609" t="n">
        <v>1</v>
      </c>
      <c r="Y10" s="231" t="n"/>
      <c r="Z10" s="128" t="n"/>
      <c r="AA10" s="128" t="n"/>
      <c r="AB10" s="128" t="n"/>
      <c r="AC10" s="128" t="n"/>
    </row>
    <row r="11" ht="15.75" customHeight="1" s="684">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c r="V11" s="608" t="n">
        <v>25</v>
      </c>
      <c r="W11" s="231" t="n"/>
      <c r="X11" s="609" t="n">
        <v>1.2</v>
      </c>
      <c r="Y11" s="231" t="n"/>
      <c r="Z11" s="128" t="n"/>
      <c r="AA11" s="128" t="n"/>
      <c r="AB11" s="128" t="n"/>
      <c r="AC11" s="128" t="n"/>
    </row>
    <row r="12" ht="15.7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c r="V12" s="608" t="n">
        <v>30</v>
      </c>
      <c r="W12" s="231" t="n"/>
      <c r="X12" s="609" t="n">
        <v>1.25</v>
      </c>
      <c r="Y12" s="231" t="n"/>
      <c r="Z12" s="264" t="n"/>
      <c r="AA12" s="264" t="n"/>
      <c r="AB12" s="264" t="n"/>
      <c r="AC12" s="264"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s="608" t="n">
        <v>35</v>
      </c>
      <c r="W13" s="231" t="n"/>
      <c r="X13" s="609" t="n">
        <v>1.4</v>
      </c>
      <c r="Y13" s="231" t="n"/>
    </row>
    <row r="14" ht="15.7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c r="V14" s="608" t="n">
        <v>40</v>
      </c>
      <c r="W14" s="231" t="n"/>
      <c r="X14" s="609" t="n">
        <v>1.55</v>
      </c>
      <c r="Y14" s="231" t="n"/>
      <c r="Z14" s="264" t="n"/>
      <c r="AA14" s="264" t="n"/>
      <c r="AB14" s="264" t="n"/>
      <c r="AC14" s="264" t="n"/>
    </row>
    <row r="15" ht="21" customHeight="1" s="684">
      <c r="A15" s="10" t="n"/>
      <c r="B15" s="734" t="inlineStr">
        <is>
          <t>LV Sargı</t>
        </is>
      </c>
      <c r="C15" s="125" t="n"/>
      <c r="D15" s="125" t="n"/>
      <c r="E15" s="125" t="n"/>
      <c r="F15" s="125" t="n"/>
      <c r="G15" s="125" t="n"/>
      <c r="H15" s="125" t="n"/>
      <c r="I15" s="125" t="n"/>
      <c r="J15" s="231" t="n"/>
      <c r="K15" s="403" t="inlineStr">
        <is>
          <t xml:space="preserve">Sıcaklık: </t>
        </is>
      </c>
      <c r="L15" s="125" t="n"/>
      <c r="M15" s="125" t="n"/>
      <c r="N15" s="125" t="n"/>
      <c r="O15" s="404" t="inlineStr">
        <is>
          <t>~</t>
        </is>
      </c>
      <c r="P15" s="165">
        <f>'HV PF'!P15</f>
        <v/>
      </c>
      <c r="Q15" s="166" t="inlineStr">
        <is>
          <t>°C</t>
        </is>
      </c>
      <c r="R15" s="11" t="n"/>
      <c r="V15" s="608" t="n">
        <v>45</v>
      </c>
      <c r="W15" s="231" t="n"/>
      <c r="X15" s="609" t="n">
        <v>1.75</v>
      </c>
      <c r="Y15" s="231" t="n"/>
    </row>
    <row r="16" ht="18.75" customHeight="1" s="684">
      <c r="A16" s="10" t="n"/>
      <c r="B16" s="614" t="inlineStr">
        <is>
          <t>Testler</t>
        </is>
      </c>
      <c r="C16" s="504" t="inlineStr">
        <is>
          <t>#</t>
        </is>
      </c>
      <c r="D16" s="504" t="n"/>
      <c r="E16" s="504" t="inlineStr">
        <is>
          <t>Kapasitans</t>
        </is>
      </c>
      <c r="F16" s="125" t="n"/>
      <c r="G16" s="231" t="n"/>
      <c r="H16" s="504" t="inlineStr">
        <is>
          <t>Tarama</t>
        </is>
      </c>
      <c r="I16" s="125" t="n"/>
      <c r="J16" s="231" t="n"/>
      <c r="K16" s="504" t="inlineStr">
        <is>
          <t>Mod</t>
        </is>
      </c>
      <c r="L16" s="125" t="n"/>
      <c r="M16" s="231" t="n"/>
      <c r="N16" s="504" t="inlineStr">
        <is>
          <t>V [V]</t>
        </is>
      </c>
      <c r="O16" s="231" t="n"/>
      <c r="P16" s="504" t="inlineStr">
        <is>
          <t>f [Hz]</t>
        </is>
      </c>
      <c r="Q16" s="231" t="n"/>
      <c r="R16" s="11" t="n"/>
      <c r="V16" s="608" t="n">
        <v>50</v>
      </c>
      <c r="W16" s="231" t="n"/>
      <c r="X16" s="609" t="n">
        <v>1.95</v>
      </c>
      <c r="Y16" s="231" t="n"/>
    </row>
    <row r="17" ht="18.75" customHeight="1" s="684">
      <c r="A17" s="10" t="n"/>
      <c r="B17" s="735" t="n"/>
      <c r="C17" s="55" t="n">
        <v>1</v>
      </c>
      <c r="D17" s="669" t="n">
        <v>1</v>
      </c>
      <c r="E17" s="504" t="inlineStr">
        <is>
          <t>CL</t>
        </is>
      </c>
      <c r="F17" s="125" t="n"/>
      <c r="G17" s="231" t="n"/>
      <c r="H17" s="504" t="inlineStr">
        <is>
          <t>Hiçbiri</t>
        </is>
      </c>
      <c r="I17" s="125" t="n"/>
      <c r="J17" s="231" t="n"/>
      <c r="K17" s="582" t="inlineStr">
        <is>
          <t>GSTg-A</t>
        </is>
      </c>
      <c r="L17" s="125" t="n"/>
      <c r="M17" s="231" t="n"/>
      <c r="N17" s="504" t="n">
        <v>10000</v>
      </c>
      <c r="O17" s="231" t="n"/>
      <c r="P17" s="582" t="n">
        <v>50</v>
      </c>
      <c r="Q17" s="231" t="n"/>
      <c r="R17" s="11" t="n"/>
      <c r="V17" s="608" t="n">
        <v>55</v>
      </c>
      <c r="W17" s="231" t="n"/>
      <c r="X17" s="609" t="n">
        <v>2.18</v>
      </c>
      <c r="Y17" s="231" t="n"/>
    </row>
    <row r="18" ht="18.75" customHeight="1" s="684">
      <c r="A18" s="10" t="n"/>
      <c r="B18" s="735" t="n"/>
      <c r="C18" s="55" t="n">
        <v>2</v>
      </c>
      <c r="D18" s="669" t="n">
        <v>1</v>
      </c>
      <c r="E18" s="504" t="inlineStr">
        <is>
          <t>CHL</t>
        </is>
      </c>
      <c r="F18" s="125" t="n"/>
      <c r="G18" s="231" t="n"/>
      <c r="H18" s="504" t="inlineStr">
        <is>
          <t>Hiçbiri</t>
        </is>
      </c>
      <c r="I18" s="125" t="n"/>
      <c r="J18" s="231" t="n"/>
      <c r="K18" s="582" t="inlineStr">
        <is>
          <t>UST-A</t>
        </is>
      </c>
      <c r="L18" s="125" t="n"/>
      <c r="M18" s="231" t="n"/>
      <c r="N18" s="504" t="n">
        <v>10000</v>
      </c>
      <c r="O18" s="231" t="n"/>
      <c r="P18" s="582" t="n">
        <v>50</v>
      </c>
      <c r="Q18" s="231" t="n"/>
      <c r="R18" s="11" t="n"/>
      <c r="V18" s="608" t="n">
        <v>60</v>
      </c>
      <c r="W18" s="231" t="n"/>
      <c r="X18" s="609" t="n">
        <v>2.42</v>
      </c>
      <c r="Y18" s="231" t="n"/>
      <c r="Z18" s="128" t="n"/>
      <c r="AA18" s="128" t="n"/>
      <c r="AB18" s="128" t="n"/>
      <c r="AC18" s="128" t="n"/>
    </row>
    <row r="19" ht="18.75" customHeight="1" s="684">
      <c r="A19" s="10" t="n"/>
      <c r="B19" s="736" t="n"/>
      <c r="C19" s="55" t="n">
        <v>3</v>
      </c>
      <c r="D19" s="669" t="n">
        <v>1</v>
      </c>
      <c r="E19" s="504" t="inlineStr">
        <is>
          <t>CL+CHL</t>
        </is>
      </c>
      <c r="F19" s="125" t="n"/>
      <c r="G19" s="231" t="n"/>
      <c r="H19" s="504" t="inlineStr">
        <is>
          <t>Hiçbiri</t>
        </is>
      </c>
      <c r="I19" s="125" t="n"/>
      <c r="J19" s="231" t="n"/>
      <c r="K19" s="582" t="inlineStr">
        <is>
          <t>GST</t>
        </is>
      </c>
      <c r="L19" s="125" t="n"/>
      <c r="M19" s="231" t="n"/>
      <c r="N19" s="504" t="n">
        <v>10000</v>
      </c>
      <c r="O19" s="231" t="n"/>
      <c r="P19" s="582" t="n">
        <v>50</v>
      </c>
      <c r="Q19" s="231" t="n"/>
      <c r="R19" s="11" t="n"/>
      <c r="V19" s="608" t="n">
        <v>65</v>
      </c>
      <c r="W19" s="231" t="n"/>
      <c r="X19" s="609" t="n">
        <v>2.7</v>
      </c>
      <c r="Y19" s="231" t="n"/>
      <c r="Z19" s="128" t="n"/>
      <c r="AA19" s="128" t="n"/>
      <c r="AB19" s="128" t="n"/>
      <c r="AC19" s="128" t="n"/>
    </row>
    <row r="20" ht="18.75" customHeight="1" s="684">
      <c r="A20" s="10" t="n"/>
      <c r="B20" s="75" t="n"/>
      <c r="C20" s="76" t="n"/>
      <c r="D20" s="76" t="n"/>
      <c r="E20" s="76" t="n"/>
      <c r="F20" s="76" t="n"/>
      <c r="G20" s="76" t="n"/>
      <c r="H20" s="76" t="n"/>
      <c r="I20" s="76" t="n"/>
      <c r="J20" s="76" t="n"/>
      <c r="K20" s="76" t="n"/>
      <c r="L20" s="76" t="n"/>
      <c r="M20" s="76" t="n"/>
      <c r="N20" s="76" t="n"/>
      <c r="O20" s="76" t="n"/>
      <c r="P20" s="76" t="n"/>
      <c r="Q20" s="77" t="n"/>
      <c r="R20" s="11" t="n"/>
      <c r="V20" s="608" t="n">
        <v>70</v>
      </c>
      <c r="W20" s="231" t="n"/>
      <c r="X20" s="609" t="n">
        <v>3</v>
      </c>
      <c r="Y20" s="231" t="n"/>
      <c r="Z20" s="128" t="n"/>
      <c r="AA20" s="128" t="n"/>
      <c r="AB20" s="128" t="n"/>
      <c r="AC20" s="128" t="n"/>
    </row>
    <row r="21" ht="15.75" customHeight="1" s="684">
      <c r="A21" s="10" t="n"/>
      <c r="B21" s="610" t="inlineStr">
        <is>
          <t>Sonuçlar</t>
        </is>
      </c>
      <c r="C21" s="539" t="inlineStr">
        <is>
          <t>CL</t>
        </is>
      </c>
      <c r="D21" s="125" t="n"/>
      <c r="E21" s="125" t="n"/>
      <c r="F21" s="125" t="n"/>
      <c r="G21" s="125" t="n"/>
      <c r="H21" s="125" t="n"/>
      <c r="I21" s="125" t="n"/>
      <c r="J21" s="125" t="n"/>
      <c r="K21" s="125" t="n"/>
      <c r="L21" s="125" t="n"/>
      <c r="M21" s="125" t="n"/>
      <c r="N21" s="125" t="n"/>
      <c r="O21" s="125" t="n"/>
      <c r="P21" s="125" t="n"/>
      <c r="Q21" s="231" t="n"/>
      <c r="R21" s="11" t="n"/>
      <c r="W21" s="128" t="n"/>
      <c r="X21" s="128" t="n"/>
      <c r="Y21" s="128" t="n"/>
      <c r="Z21" s="128" t="n"/>
      <c r="AA21" s="128" t="n"/>
      <c r="AB21" s="128" t="n"/>
      <c r="AC21" s="128" t="n"/>
    </row>
    <row r="22" ht="15" customHeight="1" s="684">
      <c r="A22" s="10" t="n"/>
      <c r="B22" s="735" t="n"/>
      <c r="C22" s="483" t="inlineStr">
        <is>
          <t>#</t>
        </is>
      </c>
      <c r="D22" s="607" t="inlineStr">
        <is>
          <t>V [V]</t>
        </is>
      </c>
      <c r="E22" s="231" t="n"/>
      <c r="F22" s="607" t="inlineStr">
        <is>
          <t>f [Hz]</t>
        </is>
      </c>
      <c r="G22" s="231" t="n"/>
      <c r="H22" s="607" t="inlineStr">
        <is>
          <t>PF (%)</t>
        </is>
      </c>
      <c r="I22" s="231" t="n"/>
      <c r="J22" s="607" t="inlineStr">
        <is>
          <t>Kayıp W</t>
        </is>
      </c>
      <c r="K22" s="231" t="n"/>
      <c r="L22" s="541" t="inlineStr">
        <is>
          <t>Z (kΩ)</t>
        </is>
      </c>
      <c r="M22" s="231" t="n"/>
      <c r="N22" s="607" t="inlineStr">
        <is>
          <t>Stest (VA)</t>
        </is>
      </c>
      <c r="O22" s="231" t="n"/>
      <c r="P22" s="607" t="inlineStr">
        <is>
          <t>PF20°C</t>
        </is>
      </c>
      <c r="Q22" s="231" t="n"/>
      <c r="R22" s="11" t="n"/>
    </row>
    <row r="23">
      <c r="A23" s="10" t="n"/>
      <c r="B23" s="735" t="n"/>
      <c r="C23" s="483" t="n">
        <v>1</v>
      </c>
      <c r="D23" s="582" t="n">
        <v>1000</v>
      </c>
      <c r="E23" s="231" t="n"/>
      <c r="F23" s="582" t="n">
        <v>50</v>
      </c>
      <c r="G23" s="231" t="n"/>
      <c r="H23" s="505" t="n">
        <v>0.513</v>
      </c>
      <c r="I23" s="231" t="n"/>
      <c r="J23" s="727" t="n">
        <v>0.10228</v>
      </c>
      <c r="K23" s="231" t="n"/>
      <c r="L23" s="505" t="n">
        <v>202.124</v>
      </c>
      <c r="M23" s="231" t="n"/>
      <c r="N23" s="505" t="n">
        <v>19.915</v>
      </c>
      <c r="O23" s="231" t="n"/>
      <c r="P23" s="505">
        <f>H23/AA8</f>
        <v/>
      </c>
      <c r="Q23" s="231" t="n"/>
      <c r="R23" s="11" t="n"/>
    </row>
    <row r="24">
      <c r="A24" s="35" t="n"/>
      <c r="B24" s="735" t="n"/>
      <c r="C24" s="264" t="n"/>
      <c r="D24" s="264" t="n"/>
      <c r="E24" s="264" t="n"/>
      <c r="F24" s="264" t="n"/>
      <c r="G24" s="264" t="n"/>
      <c r="H24" s="264" t="n"/>
      <c r="I24" s="264" t="n"/>
      <c r="J24" s="264" t="n"/>
      <c r="K24" s="264" t="n"/>
      <c r="L24" s="264" t="n"/>
      <c r="M24" s="264" t="n"/>
      <c r="N24" s="264" t="n"/>
      <c r="O24" s="264" t="n"/>
      <c r="P24" s="264" t="n"/>
      <c r="Q24" s="187" t="n"/>
      <c r="R24" s="11" t="n"/>
    </row>
    <row r="25" ht="15.75" customHeight="1" s="684">
      <c r="A25" s="35" t="n"/>
      <c r="B25" s="735" t="n"/>
      <c r="C25" s="539" t="inlineStr">
        <is>
          <t>CHL</t>
        </is>
      </c>
      <c r="D25" s="125" t="n"/>
      <c r="E25" s="125" t="n"/>
      <c r="F25" s="125" t="n"/>
      <c r="G25" s="125" t="n"/>
      <c r="H25" s="125" t="n"/>
      <c r="I25" s="125" t="n"/>
      <c r="J25" s="125" t="n"/>
      <c r="K25" s="125" t="n"/>
      <c r="L25" s="125" t="n"/>
      <c r="M25" s="125" t="n"/>
      <c r="N25" s="125" t="n"/>
      <c r="O25" s="125" t="n"/>
      <c r="P25" s="125" t="n"/>
      <c r="Q25" s="231" t="n"/>
      <c r="R25" s="11" t="n"/>
    </row>
    <row r="26">
      <c r="A26" s="35" t="n"/>
      <c r="B26" s="735" t="n"/>
      <c r="C26" s="483" t="inlineStr">
        <is>
          <t>#</t>
        </is>
      </c>
      <c r="D26" s="607" t="inlineStr">
        <is>
          <t>V [V]</t>
        </is>
      </c>
      <c r="E26" s="231" t="n"/>
      <c r="F26" s="607" t="inlineStr">
        <is>
          <t>f [Hz]</t>
        </is>
      </c>
      <c r="G26" s="231" t="n"/>
      <c r="H26" s="607" t="inlineStr">
        <is>
          <t>PF (%)</t>
        </is>
      </c>
      <c r="I26" s="231" t="n"/>
      <c r="J26" s="607" t="inlineStr">
        <is>
          <t>Kayıp W</t>
        </is>
      </c>
      <c r="K26" s="231" t="n"/>
      <c r="L26" s="541" t="inlineStr">
        <is>
          <t>Z (kΩ)</t>
        </is>
      </c>
      <c r="M26" s="231" t="n"/>
      <c r="N26" s="607" t="inlineStr">
        <is>
          <t>Stest (VA)</t>
        </is>
      </c>
      <c r="O26" s="231" t="n"/>
      <c r="P26" s="607" t="inlineStr">
        <is>
          <t>PF20°C</t>
        </is>
      </c>
      <c r="Q26" s="231" t="n"/>
      <c r="R26" s="11" t="n"/>
    </row>
    <row r="27">
      <c r="A27" s="10" t="n"/>
      <c r="B27" s="735" t="n"/>
      <c r="C27" s="483" t="n">
        <v>2</v>
      </c>
      <c r="D27" s="582" t="n">
        <v>1000</v>
      </c>
      <c r="E27" s="231" t="n"/>
      <c r="F27" s="582" t="n">
        <v>50</v>
      </c>
      <c r="G27" s="231" t="n"/>
      <c r="H27" s="505" t="n">
        <v>0.323</v>
      </c>
      <c r="I27" s="231" t="n"/>
      <c r="J27" s="727" t="n">
        <v>0.0146573</v>
      </c>
      <c r="K27" s="231" t="n"/>
      <c r="L27" s="505" t="n"/>
      <c r="M27" s="231" t="n"/>
      <c r="N27" s="505" t="n">
        <v>4.528</v>
      </c>
      <c r="O27" s="231" t="n"/>
      <c r="P27" s="505">
        <f>H27/AA8</f>
        <v/>
      </c>
      <c r="Q27" s="231" t="n"/>
      <c r="R27" s="11" t="n"/>
    </row>
    <row r="28" ht="15" customHeight="1" s="684">
      <c r="A28" s="10" t="n"/>
      <c r="B28" s="735" t="n"/>
      <c r="C28" s="264" t="n"/>
      <c r="D28" s="264" t="n"/>
      <c r="E28" s="264" t="n"/>
      <c r="F28" s="24" t="n"/>
      <c r="G28" s="264" t="n"/>
      <c r="H28" s="264" t="n"/>
      <c r="I28" s="264" t="n"/>
      <c r="J28" s="264" t="n"/>
      <c r="K28" s="264" t="n"/>
      <c r="L28" s="264" t="n"/>
      <c r="M28" s="264" t="n"/>
      <c r="N28" s="264" t="n"/>
      <c r="O28" s="264" t="n"/>
      <c r="P28" s="264" t="n"/>
      <c r="Q28" s="187" t="n"/>
      <c r="R28" s="11" t="n"/>
      <c r="Z28" s="49" t="n"/>
      <c r="AA28" s="49" t="n"/>
      <c r="AB28" s="49" t="n"/>
      <c r="AC28" s="49" t="n"/>
      <c r="AD28" s="49" t="n"/>
      <c r="AE28" s="49" t="n"/>
      <c r="AF28" s="49" t="n"/>
      <c r="AG28" s="49" t="n"/>
      <c r="AH28" s="49" t="n"/>
      <c r="AI28" s="49" t="n"/>
      <c r="AJ28" s="49" t="n"/>
      <c r="AK28" s="49" t="n"/>
    </row>
    <row r="29" ht="15.75" customHeight="1" s="684">
      <c r="A29" s="10" t="n"/>
      <c r="B29" s="735" t="n"/>
      <c r="C29" s="539" t="inlineStr">
        <is>
          <t>CL+CHL</t>
        </is>
      </c>
      <c r="D29" s="125" t="n"/>
      <c r="E29" s="125" t="n"/>
      <c r="F29" s="125" t="n"/>
      <c r="G29" s="125" t="n"/>
      <c r="H29" s="125" t="n"/>
      <c r="I29" s="125" t="n"/>
      <c r="J29" s="125" t="n"/>
      <c r="K29" s="125" t="n"/>
      <c r="L29" s="125" t="n"/>
      <c r="M29" s="125" t="n"/>
      <c r="N29" s="125" t="n"/>
      <c r="O29" s="125" t="n"/>
      <c r="P29" s="125" t="n"/>
      <c r="Q29" s="231" t="n"/>
      <c r="R29" s="11" t="n"/>
      <c r="V29" s="49" t="n"/>
      <c r="W29" s="49" t="n"/>
      <c r="X29" s="49" t="n"/>
      <c r="Y29" s="49" t="n"/>
      <c r="Z29" s="49" t="n"/>
      <c r="AA29" s="49" t="n"/>
      <c r="AB29" s="49" t="n"/>
      <c r="AC29" s="49" t="n"/>
      <c r="AD29" s="49" t="n"/>
      <c r="AE29" s="49" t="n"/>
      <c r="AF29" s="49" t="n"/>
      <c r="AG29" s="49" t="n"/>
      <c r="AH29" s="49" t="n"/>
      <c r="AI29" s="49" t="n"/>
      <c r="AJ29" s="49" t="n"/>
      <c r="AK29" s="49" t="n"/>
    </row>
    <row r="30" ht="15.75" customHeight="1" s="684">
      <c r="A30" s="10" t="n"/>
      <c r="B30" s="735" t="n"/>
      <c r="C30" s="483" t="inlineStr">
        <is>
          <t>#</t>
        </is>
      </c>
      <c r="D30" s="607" t="inlineStr">
        <is>
          <t>V [V]</t>
        </is>
      </c>
      <c r="E30" s="231" t="n"/>
      <c r="F30" s="607" t="inlineStr">
        <is>
          <t>f [Hz]</t>
        </is>
      </c>
      <c r="G30" s="231" t="n"/>
      <c r="H30" s="607" t="inlineStr">
        <is>
          <t>PF (%)</t>
        </is>
      </c>
      <c r="I30" s="231" t="n"/>
      <c r="J30" s="607" t="inlineStr">
        <is>
          <t>Kayıp W</t>
        </is>
      </c>
      <c r="K30" s="231" t="n"/>
      <c r="L30" s="541" t="inlineStr">
        <is>
          <t>Z (kΩ)</t>
        </is>
      </c>
      <c r="M30" s="231" t="n"/>
      <c r="N30" s="607" t="inlineStr">
        <is>
          <t>Stest (VA)</t>
        </is>
      </c>
      <c r="O30" s="231" t="n"/>
      <c r="P30" s="607" t="inlineStr">
        <is>
          <t>PF20°C</t>
        </is>
      </c>
      <c r="Q30" s="231" t="n"/>
      <c r="R30" s="11" t="n"/>
      <c r="Z30" s="49" t="n"/>
      <c r="AA30" s="49" t="n"/>
      <c r="AB30" s="49" t="n"/>
      <c r="AC30" s="49" t="n"/>
      <c r="AD30" s="49" t="n"/>
      <c r="AE30" s="49" t="n"/>
      <c r="AF30" s="49" t="n"/>
      <c r="AG30" s="49" t="n"/>
      <c r="AH30" s="49" t="n"/>
      <c r="AI30" s="49" t="n"/>
      <c r="AJ30" s="49" t="n"/>
      <c r="AK30" s="49" t="n"/>
    </row>
    <row r="31" ht="15.75" customHeight="1" s="684">
      <c r="A31" s="10" t="n"/>
      <c r="B31" s="736" t="n"/>
      <c r="C31" s="483" t="n">
        <v>3</v>
      </c>
      <c r="D31" s="582" t="n">
        <v>1000</v>
      </c>
      <c r="E31" s="231" t="n"/>
      <c r="F31" s="582" t="n">
        <v>50</v>
      </c>
      <c r="G31" s="231" t="n"/>
      <c r="H31" s="505" t="n">
        <v>0.477</v>
      </c>
      <c r="I31" s="231" t="n"/>
      <c r="J31" s="727" t="n">
        <v>0.11662</v>
      </c>
      <c r="K31" s="231" t="n"/>
      <c r="L31" s="505" t="n">
        <v>164.684</v>
      </c>
      <c r="M31" s="231" t="n"/>
      <c r="N31" s="505">
        <f>N23+N27</f>
        <v/>
      </c>
      <c r="O31" s="231" t="n"/>
      <c r="P31" s="505">
        <f>H31/AA8</f>
        <v/>
      </c>
      <c r="Q31" s="231" t="n"/>
      <c r="R31" s="11" t="n"/>
      <c r="Z31" s="49" t="n"/>
      <c r="AA31" s="49" t="n"/>
      <c r="AB31" s="49" t="n"/>
      <c r="AC31" s="49" t="n"/>
      <c r="AD31" s="49" t="n"/>
      <c r="AE31" s="49" t="n"/>
      <c r="AF31" s="49" t="n"/>
      <c r="AG31" s="49" t="n"/>
      <c r="AH31" s="49" t="n"/>
      <c r="AI31" s="49" t="n"/>
      <c r="AJ31" s="49" t="n"/>
      <c r="AK31" s="49" t="n"/>
    </row>
    <row r="32" ht="15.75" customHeight="1" s="684">
      <c r="A32" s="10" t="n"/>
      <c r="B32" s="167" t="n"/>
      <c r="C32" s="264" t="n"/>
      <c r="D32" s="264" t="n"/>
      <c r="E32" s="264" t="n"/>
      <c r="F32" s="264" t="n"/>
      <c r="G32" s="264" t="n"/>
      <c r="H32" s="264" t="n"/>
      <c r="I32" s="264" t="n"/>
      <c r="J32" s="264" t="n"/>
      <c r="K32" s="264" t="n"/>
      <c r="L32" s="264" t="n"/>
      <c r="M32" s="264" t="n"/>
      <c r="N32" s="264" t="n"/>
      <c r="O32" s="264" t="n"/>
      <c r="P32" s="264" t="n"/>
      <c r="Q32" s="187" t="n"/>
      <c r="R32" s="11" t="n"/>
      <c r="V32" s="49" t="n"/>
      <c r="W32" s="49" t="n"/>
      <c r="X32" s="49" t="n"/>
      <c r="Y32" s="49" t="n"/>
      <c r="Z32" s="49" t="n"/>
      <c r="AA32" s="49" t="n"/>
      <c r="AB32" s="49" t="n"/>
      <c r="AC32" s="49" t="n"/>
      <c r="AD32" s="49" t="n"/>
      <c r="AE32" s="49" t="n"/>
      <c r="AF32" s="49" t="n"/>
      <c r="AG32" s="49" t="n"/>
      <c r="AH32" s="49" t="n"/>
      <c r="AI32" s="49" t="n"/>
      <c r="AJ32" s="49" t="n"/>
      <c r="AK32" s="49" t="n"/>
    </row>
    <row r="33" ht="15.75" customHeight="1" s="684">
      <c r="A33" s="10" t="n"/>
      <c r="B33" s="737"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44" t="n"/>
      <c r="R33" s="11" t="n"/>
      <c r="V33" s="49" t="n"/>
      <c r="W33" s="49" t="n"/>
      <c r="X33" s="49" t="n"/>
      <c r="Y33" s="49" t="n"/>
      <c r="Z33" s="49" t="n"/>
      <c r="AA33" s="49" t="n"/>
      <c r="AB33" s="49" t="n"/>
      <c r="AC33" s="49" t="n"/>
      <c r="AD33" s="49" t="n"/>
      <c r="AE33" s="49" t="n"/>
      <c r="AF33" s="49" t="n"/>
      <c r="AG33" s="49" t="n"/>
      <c r="AH33" s="49" t="n"/>
      <c r="AI33" s="49" t="n"/>
      <c r="AJ33" s="49" t="n"/>
      <c r="AK33" s="49" t="n"/>
    </row>
    <row r="34" ht="15" customHeight="1" s="684">
      <c r="A34" s="10" t="n"/>
      <c r="B34" s="85" t="n"/>
      <c r="Q34" s="344" t="n"/>
      <c r="R34" s="11" t="n"/>
      <c r="V34" s="49" t="n"/>
      <c r="W34" s="49" t="n"/>
      <c r="X34" s="49" t="n"/>
      <c r="Y34" s="49" t="n"/>
      <c r="Z34" s="49" t="n"/>
      <c r="AA34" s="49" t="n"/>
      <c r="AB34" s="49" t="n"/>
      <c r="AC34" s="49" t="n"/>
      <c r="AD34" s="49" t="n"/>
      <c r="AE34" s="49" t="n"/>
      <c r="AF34" s="49" t="n"/>
      <c r="AG34" s="49" t="n"/>
      <c r="AH34" s="49" t="n"/>
      <c r="AI34" s="49" t="n"/>
      <c r="AJ34" s="49" t="n"/>
      <c r="AK34" s="49" t="n"/>
    </row>
    <row r="35" ht="15.75" customHeight="1" s="684">
      <c r="A35" s="10" t="n"/>
      <c r="B35" s="85" t="n"/>
      <c r="Q35" s="344" t="n"/>
      <c r="R35" s="11" t="n"/>
      <c r="V35" s="49" t="n"/>
      <c r="W35" s="49" t="n"/>
      <c r="X35" s="49" t="n"/>
      <c r="Y35" s="49" t="n"/>
      <c r="Z35" s="49" t="n"/>
      <c r="AA35" s="49" t="n"/>
      <c r="AB35" s="49" t="n"/>
      <c r="AC35" s="49" t="n"/>
      <c r="AD35" s="49" t="n"/>
      <c r="AE35" s="49" t="n"/>
      <c r="AF35" s="49" t="n"/>
      <c r="AG35" s="49" t="n"/>
      <c r="AH35" s="49" t="n"/>
      <c r="AI35" s="49" t="n"/>
      <c r="AJ35" s="49" t="n"/>
      <c r="AK35" s="49" t="n"/>
    </row>
    <row r="36" ht="15" customHeight="1" s="684">
      <c r="A36" s="10" t="n"/>
      <c r="B36" s="545" t="inlineStr">
        <is>
          <t>TEST DEĞERLERİNİN YORUMU</t>
        </is>
      </c>
      <c r="C36" s="125" t="n"/>
      <c r="D36" s="125" t="n"/>
      <c r="E36" s="125" t="n"/>
      <c r="F36" s="125" t="n"/>
      <c r="G36" s="125" t="n"/>
      <c r="H36" s="125" t="n"/>
      <c r="I36" s="125" t="n"/>
      <c r="J36" s="125" t="n"/>
      <c r="K36" s="125" t="n"/>
      <c r="L36" s="125" t="n"/>
      <c r="M36" s="125" t="n"/>
      <c r="N36" s="125" t="n"/>
      <c r="O36" s="125" t="n"/>
      <c r="P36" s="125" t="n"/>
      <c r="Q36" s="231" t="n"/>
      <c r="R36" s="11" t="n"/>
      <c r="V36" s="49" t="n"/>
      <c r="W36" s="49" t="n"/>
      <c r="X36" s="49" t="n"/>
      <c r="Y36" s="49" t="n"/>
      <c r="Z36" s="49" t="n"/>
      <c r="AA36" s="49" t="n"/>
      <c r="AB36" s="49" t="n"/>
      <c r="AC36" s="49" t="n"/>
      <c r="AD36" s="49" t="n"/>
      <c r="AE36" s="49" t="n"/>
      <c r="AF36" s="49" t="n"/>
      <c r="AG36" s="49" t="n"/>
      <c r="AH36" s="49" t="n"/>
      <c r="AI36" s="49" t="n"/>
      <c r="AJ36" s="49" t="n"/>
      <c r="AK36" s="49" t="n"/>
    </row>
    <row r="37" ht="15" customHeight="1" s="684">
      <c r="A37" s="10" t="n"/>
      <c r="B37" s="605" t="inlineStr">
        <is>
          <t>CL (AG/Tank-Nüve) değerleri uygundur. Testlerin periyodik programa uygun olarak yaptırılıp takip edilmesi önerilir.</t>
        </is>
      </c>
      <c r="C37" s="70" t="n"/>
      <c r="D37" s="70" t="n"/>
      <c r="E37" s="70" t="n"/>
      <c r="F37" s="70" t="n"/>
      <c r="G37" s="70" t="n"/>
      <c r="H37" s="70" t="n"/>
      <c r="I37" s="70" t="n"/>
      <c r="J37" s="70" t="n"/>
      <c r="K37" s="70" t="n"/>
      <c r="L37" s="70" t="n"/>
      <c r="M37" s="70" t="n"/>
      <c r="N37" s="70" t="n"/>
      <c r="O37" s="70" t="n"/>
      <c r="P37" s="70" t="n"/>
      <c r="Q37" s="343" t="n"/>
      <c r="R37" s="11" t="n"/>
      <c r="V37" s="49" t="n"/>
      <c r="W37" s="49" t="n"/>
      <c r="X37" s="49" t="n"/>
      <c r="Y37" s="49" t="n"/>
      <c r="Z37" s="49" t="n"/>
      <c r="AA37" s="49" t="n"/>
      <c r="AB37" s="49" t="n"/>
      <c r="AC37" s="49" t="n"/>
      <c r="AD37" s="49" t="n"/>
      <c r="AE37" s="49" t="n"/>
      <c r="AF37" s="49" t="n"/>
      <c r="AG37" s="49" t="n"/>
      <c r="AH37" s="49" t="n"/>
      <c r="AI37" s="49" t="n"/>
      <c r="AJ37" s="49" t="n"/>
      <c r="AK37" s="49" t="n"/>
    </row>
    <row r="38" ht="15" customHeight="1" s="684">
      <c r="A38" s="10" t="n"/>
      <c r="B38" s="62" t="n"/>
      <c r="C38" s="135" t="n"/>
      <c r="D38" s="135" t="n"/>
      <c r="E38" s="135" t="n"/>
      <c r="F38" s="135" t="n"/>
      <c r="G38" s="135" t="n"/>
      <c r="H38" s="135" t="n"/>
      <c r="I38" s="135" t="n"/>
      <c r="J38" s="135" t="n"/>
      <c r="K38" s="135" t="n"/>
      <c r="L38" s="135" t="n"/>
      <c r="M38" s="135" t="n"/>
      <c r="N38" s="135" t="n"/>
      <c r="O38" s="135" t="n"/>
      <c r="P38" s="135" t="n"/>
      <c r="Q38" s="345" t="n"/>
      <c r="R38" s="11" t="n"/>
    </row>
    <row r="39" ht="15" customHeight="1" s="684">
      <c r="A39" s="10" t="n"/>
      <c r="B39" s="605" t="inlineStr">
        <is>
          <t>CHL (AG/YG) değerleri uygundur.</t>
        </is>
      </c>
      <c r="C39" s="70" t="n"/>
      <c r="D39" s="70" t="n"/>
      <c r="E39" s="70" t="n"/>
      <c r="F39" s="70" t="n"/>
      <c r="G39" s="70" t="n"/>
      <c r="H39" s="70" t="n"/>
      <c r="I39" s="70" t="n"/>
      <c r="J39" s="70" t="n"/>
      <c r="K39" s="70" t="n"/>
      <c r="L39" s="70" t="n"/>
      <c r="M39" s="70" t="n"/>
      <c r="N39" s="70" t="n"/>
      <c r="O39" s="70" t="n"/>
      <c r="P39" s="70" t="n"/>
      <c r="Q39" s="343" t="n"/>
      <c r="R39" s="11" t="n"/>
    </row>
    <row r="40" ht="15.75" customHeight="1" s="684">
      <c r="A40" s="10" t="n"/>
      <c r="B40" s="62" t="n"/>
      <c r="C40" s="135" t="n"/>
      <c r="D40" s="135" t="n"/>
      <c r="E40" s="135" t="n"/>
      <c r="F40" s="135" t="n"/>
      <c r="G40" s="135" t="n"/>
      <c r="H40" s="135" t="n"/>
      <c r="I40" s="135" t="n"/>
      <c r="J40" s="135" t="n"/>
      <c r="K40" s="135" t="n"/>
      <c r="L40" s="135" t="n"/>
      <c r="M40" s="135" t="n"/>
      <c r="N40" s="135" t="n"/>
      <c r="O40" s="135" t="n"/>
      <c r="P40" s="135" t="n"/>
      <c r="Q40" s="345" t="n"/>
      <c r="R40" s="11" t="n"/>
    </row>
    <row r="41" ht="15" customHeight="1" s="684">
      <c r="A41" s="10" t="n"/>
      <c r="B41" s="605" t="inlineStr">
        <is>
          <t>CL+CHL (∑AG/Tank-Nüve) değerleri uygundur.</t>
        </is>
      </c>
      <c r="C41" s="70" t="n"/>
      <c r="D41" s="70" t="n"/>
      <c r="E41" s="70" t="n"/>
      <c r="F41" s="70" t="n"/>
      <c r="G41" s="70" t="n"/>
      <c r="H41" s="70" t="n"/>
      <c r="I41" s="70" t="n"/>
      <c r="J41" s="70" t="n"/>
      <c r="K41" s="70" t="n"/>
      <c r="L41" s="70" t="n"/>
      <c r="M41" s="70" t="n"/>
      <c r="N41" s="70" t="n"/>
      <c r="O41" s="70" t="n"/>
      <c r="P41" s="70" t="n"/>
      <c r="Q41" s="343" t="n"/>
      <c r="R41" s="11" t="n"/>
    </row>
    <row r="42" ht="15.75" customHeight="1" s="684">
      <c r="A42" s="10" t="n"/>
      <c r="B42" s="62" t="n"/>
      <c r="C42" s="135" t="n"/>
      <c r="D42" s="135" t="n"/>
      <c r="E42" s="135" t="n"/>
      <c r="F42" s="135" t="n"/>
      <c r="G42" s="135" t="n"/>
      <c r="H42" s="135" t="n"/>
      <c r="I42" s="135" t="n"/>
      <c r="J42" s="135" t="n"/>
      <c r="K42" s="135" t="n"/>
      <c r="L42" s="135" t="n"/>
      <c r="M42" s="135" t="n"/>
      <c r="N42" s="135" t="n"/>
      <c r="O42" s="135" t="n"/>
      <c r="P42" s="135" t="n"/>
      <c r="Q42" s="345" t="n"/>
      <c r="R42" s="11" t="n"/>
    </row>
    <row r="43" ht="15" customHeight="1" s="684">
      <c r="A43" s="10" t="n"/>
      <c r="B43" s="50" t="n"/>
      <c r="C43" s="51" t="n"/>
      <c r="D43" s="51" t="n"/>
      <c r="E43" s="51" t="n"/>
      <c r="F43" s="51" t="n"/>
      <c r="G43" s="51" t="n"/>
      <c r="H43" s="51" t="n"/>
      <c r="I43" s="51" t="n"/>
      <c r="J43" s="51" t="n"/>
      <c r="K43" s="51" t="n"/>
      <c r="L43" s="51" t="n"/>
      <c r="M43" s="51" t="n"/>
      <c r="N43" s="51" t="n"/>
      <c r="O43" s="51" t="n"/>
      <c r="P43" s="51" t="n"/>
      <c r="Q43" s="168" t="n"/>
      <c r="R43" s="11" t="n"/>
    </row>
    <row r="44" ht="22.5" customHeight="1" s="684">
      <c r="A44" s="10" t="n"/>
      <c r="B44" s="520" t="inlineStr">
        <is>
          <t>UNVAN</t>
        </is>
      </c>
      <c r="C44" s="70" t="n"/>
      <c r="D44" s="70" t="n"/>
      <c r="E44" s="330" t="inlineStr">
        <is>
          <t>:</t>
        </is>
      </c>
      <c r="F44" s="519" t="inlineStr">
        <is>
          <t>Elektrik Mühendisi</t>
        </is>
      </c>
      <c r="G44" s="70" t="n"/>
      <c r="H44" s="70" t="n"/>
      <c r="I44" s="343" t="n"/>
      <c r="J44" s="705"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0">
        <f>'ANA SAYFA'!F73</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zoomScaleNormal="100" workbookViewId="0">
      <selection activeCell="O76" sqref="O76"/>
    </sheetView>
  </sheetViews>
  <sheetFormatPr baseColWidth="8" defaultRowHeight="15"/>
  <cols>
    <col width="1.5703125" customWidth="1" style="684" min="1" max="1"/>
    <col width="5" customWidth="1" style="684" min="2" max="19"/>
    <col width="1.5703125" customWidth="1" style="684" min="20" max="20"/>
    <col width="9.140625" customWidth="1" style="684" min="21" max="21"/>
    <col width="5" customWidth="1" style="684" min="22" max="24"/>
    <col width="5.28515625" customWidth="1" style="684" min="25" max="26"/>
    <col width="10.7109375" customWidth="1" style="684" min="27" max="27"/>
    <col width="5.28515625" customWidth="1" style="684" min="28" max="30"/>
    <col width="5" customWidth="1" style="684" min="31" max="49"/>
    <col width="9.140625" customWidth="1" style="684" min="50" max="16384"/>
  </cols>
  <sheetData>
    <row r="1" ht="5.25" customHeight="1" s="684">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684">
      <c r="A2" s="10" t="n"/>
      <c r="B2" s="229" t="n"/>
      <c r="C2" s="70" t="n"/>
      <c r="D2" s="70" t="n"/>
      <c r="E2" s="70" t="n"/>
      <c r="F2" s="70" t="n"/>
      <c r="G2" s="84" t="n"/>
      <c r="H2" s="449" t="inlineStr">
        <is>
          <t xml:space="preserve">  ŞALT SAHASI          </t>
        </is>
      </c>
      <c r="I2" s="70" t="n"/>
      <c r="J2" s="70" t="n"/>
      <c r="K2" s="738">
        <f>'ANA SAYFA'!K2</f>
        <v/>
      </c>
      <c r="L2" s="70" t="n"/>
      <c r="M2" s="70" t="n"/>
      <c r="N2" s="70" t="n"/>
      <c r="O2" s="70" t="n"/>
      <c r="P2" s="70" t="n"/>
      <c r="Q2" s="70" t="n"/>
      <c r="R2" s="70" t="n"/>
      <c r="S2" s="343" t="n"/>
      <c r="T2" s="11" t="n"/>
    </row>
    <row r="3" ht="18" customHeight="1" s="684">
      <c r="A3" s="10" t="n"/>
      <c r="B3" s="85" t="n"/>
      <c r="G3" s="87" t="n"/>
      <c r="H3" s="85" t="n"/>
      <c r="K3" s="706" t="n"/>
      <c r="L3" s="706" t="n"/>
      <c r="M3" s="706" t="n"/>
      <c r="N3" s="706" t="n"/>
      <c r="O3" s="706" t="n"/>
      <c r="P3" s="706" t="n"/>
      <c r="Q3" s="706" t="n"/>
      <c r="R3" s="706" t="n"/>
      <c r="S3" s="707" t="n"/>
      <c r="T3" s="11" t="n"/>
    </row>
    <row r="4" ht="3" customHeight="1" s="684">
      <c r="A4" s="10" t="n"/>
      <c r="B4" s="85" t="n"/>
      <c r="G4" s="87" t="n"/>
      <c r="H4" s="88" t="n"/>
      <c r="I4" s="89" t="n"/>
      <c r="J4" s="89" t="n"/>
      <c r="K4" s="660" t="n"/>
      <c r="L4" s="660" t="n"/>
      <c r="M4" s="660" t="n"/>
      <c r="N4" s="660" t="n"/>
      <c r="O4" s="660" t="n"/>
      <c r="P4" s="660" t="n"/>
      <c r="Q4" s="660" t="n"/>
      <c r="R4" s="660" t="n"/>
      <c r="S4" s="207" t="n"/>
      <c r="T4" s="11" t="n"/>
    </row>
    <row r="5" ht="18" customHeight="1" s="684">
      <c r="A5" s="10" t="n"/>
      <c r="B5" s="85" t="n"/>
      <c r="G5" s="87" t="n"/>
      <c r="H5" s="484" t="inlineStr">
        <is>
          <t xml:space="preserve">  LOKASYON</t>
        </is>
      </c>
      <c r="K5" s="738">
        <f>'ANA SAYFA'!K5</f>
        <v/>
      </c>
      <c r="L5" s="70" t="n"/>
      <c r="M5" s="70" t="n"/>
      <c r="N5" s="70" t="n"/>
      <c r="O5" s="70" t="n"/>
      <c r="P5" s="70" t="n"/>
      <c r="Q5" s="70" t="n"/>
      <c r="R5" s="70" t="n"/>
      <c r="S5" s="343" t="n"/>
      <c r="T5" s="11" t="n"/>
    </row>
    <row r="6" ht="18" customHeight="1" s="684">
      <c r="A6" s="10" t="n"/>
      <c r="B6" s="85" t="n"/>
      <c r="G6" s="87" t="n"/>
      <c r="H6" s="85" t="n"/>
      <c r="K6" s="706" t="n"/>
      <c r="L6" s="706" t="n"/>
      <c r="M6" s="706" t="n"/>
      <c r="N6" s="706" t="n"/>
      <c r="O6" s="706" t="n"/>
      <c r="P6" s="706" t="n"/>
      <c r="Q6" s="706" t="n"/>
      <c r="R6" s="706" t="n"/>
      <c r="S6" s="707" t="n"/>
      <c r="T6" s="11" t="n"/>
    </row>
    <row r="7" ht="3" customHeight="1" s="684">
      <c r="A7" s="10" t="n"/>
      <c r="B7" s="62" t="n"/>
      <c r="C7" s="135" t="n"/>
      <c r="D7" s="135" t="n"/>
      <c r="E7" s="135" t="n"/>
      <c r="F7" s="135" t="n"/>
      <c r="G7" s="90" t="n"/>
      <c r="H7" s="62" t="n"/>
      <c r="I7" s="135" t="n"/>
      <c r="J7" s="135" t="n"/>
      <c r="K7" s="64" t="n"/>
      <c r="L7" s="64" t="n"/>
      <c r="M7" s="64" t="n"/>
      <c r="N7" s="64" t="n"/>
      <c r="O7" s="64" t="n"/>
      <c r="P7" s="64" t="n"/>
      <c r="Q7" s="64" t="n"/>
      <c r="R7" s="64" t="n"/>
      <c r="S7" s="90" t="n"/>
      <c r="T7" s="11" t="n"/>
    </row>
    <row r="8" ht="3" customHeight="1" s="684">
      <c r="A8" s="10" t="n"/>
      <c r="B8" s="3" t="n"/>
      <c r="C8" s="264" t="n"/>
      <c r="D8" s="264" t="n"/>
      <c r="E8" s="264" t="n"/>
      <c r="F8" s="264" t="n"/>
      <c r="G8" s="48" t="n"/>
      <c r="H8" s="48" t="n"/>
      <c r="I8" s="264" t="n"/>
      <c r="J8" s="264" t="n"/>
      <c r="K8" s="48" t="n"/>
      <c r="L8" s="264" t="n"/>
      <c r="M8" s="264" t="n"/>
      <c r="N8" s="264" t="n"/>
      <c r="O8" s="264" t="n"/>
      <c r="P8" s="264" t="n"/>
      <c r="Q8" s="264" t="n"/>
      <c r="R8" s="264" t="n"/>
      <c r="S8" s="187" t="n"/>
      <c r="T8" s="11" t="n"/>
    </row>
    <row r="9" ht="15.75" customHeight="1" s="684">
      <c r="A9" s="10" t="n"/>
      <c r="B9" s="705" t="inlineStr">
        <is>
          <t>KESİCİ BİLGİLERİ</t>
        </is>
      </c>
      <c r="C9" s="125" t="n"/>
      <c r="D9" s="125" t="n"/>
      <c r="E9" s="125" t="n"/>
      <c r="F9" s="125" t="n"/>
      <c r="G9" s="125" t="n"/>
      <c r="H9" s="125" t="n"/>
      <c r="I9" s="125" t="n"/>
      <c r="J9" s="125" t="n"/>
      <c r="K9" s="125" t="n"/>
      <c r="L9" s="125" t="n"/>
      <c r="M9" s="125" t="n"/>
      <c r="N9" s="125" t="n"/>
      <c r="O9" s="125" t="n"/>
      <c r="P9" s="125" t="n"/>
      <c r="Q9" s="125" t="n"/>
      <c r="R9" s="125" t="n"/>
      <c r="S9" s="231" t="n"/>
      <c r="T9" s="11" t="n"/>
    </row>
    <row r="10" ht="3" customHeight="1" s="684">
      <c r="A10" s="10" t="n"/>
      <c r="B10" s="44" t="n"/>
      <c r="C10" s="45" t="n"/>
      <c r="D10" s="45" t="n"/>
      <c r="E10" s="45" t="n"/>
      <c r="F10" s="45" t="n"/>
      <c r="G10" s="45" t="n"/>
      <c r="H10" s="45" t="n"/>
      <c r="I10" s="45" t="n"/>
      <c r="J10" s="45" t="n"/>
      <c r="K10" s="393" t="n"/>
      <c r="L10" s="393" t="n"/>
      <c r="M10" s="692" t="n"/>
      <c r="N10" s="45" t="n"/>
      <c r="O10" s="45" t="n"/>
      <c r="P10" s="45" t="n"/>
      <c r="Q10" s="45" t="n"/>
      <c r="R10" s="45" t="n"/>
      <c r="S10" s="46" t="n"/>
      <c r="T10" s="11" t="n"/>
    </row>
    <row r="11">
      <c r="A11" s="10" t="n"/>
      <c r="B11" s="429" t="inlineStr">
        <is>
          <t>Kesici Markası</t>
        </is>
      </c>
      <c r="F11" s="113" t="inlineStr">
        <is>
          <t>:</t>
        </is>
      </c>
      <c r="G11" s="436" t="inlineStr">
        <is>
          <t>ABB</t>
        </is>
      </c>
      <c r="H11" s="706" t="n"/>
      <c r="I11" s="706" t="n"/>
      <c r="J11" s="706" t="n"/>
      <c r="K11" s="430" t="inlineStr">
        <is>
          <t>Kesici Tipi</t>
        </is>
      </c>
      <c r="N11" s="117" t="inlineStr">
        <is>
          <t xml:space="preserve">: </t>
        </is>
      </c>
      <c r="O11" s="650" t="inlineStr">
        <is>
          <t>USFB-36R</t>
        </is>
      </c>
      <c r="P11" s="706" t="n"/>
      <c r="Q11" s="706" t="n"/>
      <c r="R11" s="706" t="n"/>
      <c r="S11" s="739" t="n"/>
      <c r="T11" s="11" t="n"/>
    </row>
    <row r="12" ht="3" customHeight="1" s="684">
      <c r="A12" s="10" t="n"/>
      <c r="B12" s="429" t="n"/>
      <c r="C12" s="430" t="n"/>
      <c r="D12" s="430" t="n"/>
      <c r="E12" s="430" t="n"/>
      <c r="F12" s="93" t="n"/>
      <c r="G12" s="264" t="n"/>
      <c r="H12" s="264" t="n"/>
      <c r="I12" s="264" t="n"/>
      <c r="J12" s="264" t="n"/>
      <c r="K12" s="435" t="n"/>
      <c r="L12" s="435" t="n"/>
      <c r="M12" s="418" t="n"/>
      <c r="N12" s="264" t="n"/>
      <c r="O12" s="264" t="n"/>
      <c r="P12" s="264" t="n"/>
      <c r="Q12" s="264" t="n"/>
      <c r="R12" s="264" t="n"/>
      <c r="S12" s="187" t="n"/>
      <c r="T12" s="11" t="n"/>
    </row>
    <row r="13">
      <c r="A13" s="10" t="n"/>
      <c r="B13" s="370" t="inlineStr">
        <is>
          <t>Anma Akımı (A)</t>
        </is>
      </c>
      <c r="F13" s="113" t="inlineStr">
        <is>
          <t>:</t>
        </is>
      </c>
      <c r="G13" s="646" t="n">
        <v>630</v>
      </c>
      <c r="H13" s="706" t="n"/>
      <c r="I13" s="706" t="n"/>
      <c r="J13" s="706" t="n"/>
      <c r="K13" s="435" t="inlineStr">
        <is>
          <t>İmal Yılı</t>
        </is>
      </c>
      <c r="N13" s="112" t="inlineStr">
        <is>
          <t>:</t>
        </is>
      </c>
      <c r="O13" s="437" t="inlineStr">
        <is>
          <t>2016</t>
        </is>
      </c>
      <c r="P13" s="706" t="n"/>
      <c r="Q13" s="706" t="n"/>
      <c r="R13" s="706" t="n"/>
      <c r="S13" s="707" t="n"/>
      <c r="T13" s="11" t="n"/>
    </row>
    <row r="14" ht="3" customHeight="1" s="684">
      <c r="A14" s="10" t="n"/>
      <c r="B14" s="429" t="n"/>
      <c r="C14" s="430" t="n"/>
      <c r="D14" s="430" t="n"/>
      <c r="E14" s="430" t="n"/>
      <c r="F14" s="93" t="n"/>
      <c r="G14" s="264" t="n"/>
      <c r="H14" s="264" t="n"/>
      <c r="I14" s="264" t="n"/>
      <c r="J14" s="264" t="n"/>
      <c r="K14" s="435" t="n"/>
      <c r="L14" s="435" t="n"/>
      <c r="M14" s="418" t="n"/>
      <c r="N14" s="264" t="n"/>
      <c r="O14" s="264" t="n"/>
      <c r="P14" s="264" t="n"/>
      <c r="Q14" s="264" t="n"/>
      <c r="R14" s="264" t="n"/>
      <c r="S14" s="187" t="n"/>
      <c r="T14" s="11" t="n"/>
    </row>
    <row r="15">
      <c r="A15" s="10" t="n"/>
      <c r="B15" s="429" t="inlineStr">
        <is>
          <t>Gerilim Seviyesi (V)</t>
        </is>
      </c>
      <c r="F15" s="113" t="inlineStr">
        <is>
          <t xml:space="preserve">:  </t>
        </is>
      </c>
      <c r="G15" s="646" t="n">
        <v>36000</v>
      </c>
      <c r="H15" s="706" t="n"/>
      <c r="I15" s="706" t="n"/>
      <c r="J15" s="706" t="n"/>
      <c r="K15" s="435" t="inlineStr">
        <is>
          <t>Seri Numarası</t>
        </is>
      </c>
      <c r="N15" s="112" t="inlineStr">
        <is>
          <t>:</t>
        </is>
      </c>
      <c r="O15" s="645" t="n">
        <v>2196</v>
      </c>
      <c r="P15" s="706" t="n"/>
      <c r="Q15" s="706" t="n"/>
      <c r="R15" s="706" t="n"/>
      <c r="S15" s="707" t="n"/>
      <c r="T15" s="11" t="n"/>
    </row>
    <row r="16" ht="3" customHeight="1" s="684">
      <c r="A16" s="10" t="n"/>
      <c r="B16" s="429" t="n"/>
      <c r="C16" s="430" t="n"/>
      <c r="D16" s="430" t="n"/>
      <c r="E16" s="430" t="n"/>
      <c r="F16" s="93" t="n"/>
      <c r="G16" s="264" t="n"/>
      <c r="H16" s="264" t="n"/>
      <c r="I16" s="264" t="n"/>
      <c r="J16" s="264" t="n"/>
      <c r="K16" s="435" t="n"/>
      <c r="L16" s="435" t="n"/>
      <c r="M16" s="418" t="n"/>
      <c r="N16" s="264" t="n"/>
      <c r="O16" s="264" t="n"/>
      <c r="P16" s="264" t="n"/>
      <c r="Q16" s="264" t="n"/>
      <c r="R16" s="264" t="n"/>
      <c r="S16" s="187" t="n"/>
      <c r="T16" s="11" t="n"/>
    </row>
    <row r="17" ht="15" customHeight="1" s="684">
      <c r="A17" s="10" t="n"/>
      <c r="B17" s="459" t="inlineStr">
        <is>
          <t>Motor Gerilimi</t>
        </is>
      </c>
      <c r="F17" s="112" t="inlineStr">
        <is>
          <t>:</t>
        </is>
      </c>
      <c r="G17" s="646" t="inlineStr">
        <is>
          <t>220 Vac</t>
        </is>
      </c>
      <c r="H17" s="706" t="n"/>
      <c r="I17" s="706" t="n"/>
      <c r="J17" s="706" t="n"/>
      <c r="K17" s="435" t="inlineStr">
        <is>
          <t>Bobin Gerilimi</t>
        </is>
      </c>
      <c r="N17" s="112" t="inlineStr">
        <is>
          <t>:</t>
        </is>
      </c>
      <c r="O17" s="645" t="inlineStr">
        <is>
          <t>24 Vdc</t>
        </is>
      </c>
      <c r="P17" s="706" t="n"/>
      <c r="Q17" s="706" t="n"/>
      <c r="R17" s="706" t="n"/>
      <c r="S17" s="707" t="n"/>
      <c r="T17" s="11" t="n"/>
    </row>
    <row r="18" ht="3" customHeight="1" s="684">
      <c r="A18" s="10" t="n"/>
      <c r="B18" s="429" t="n"/>
      <c r="C18" s="430" t="n"/>
      <c r="D18" s="430" t="n"/>
      <c r="E18" s="430" t="n"/>
      <c r="F18" s="93" t="n"/>
      <c r="G18" s="264" t="n"/>
      <c r="H18" s="264" t="n"/>
      <c r="I18" s="264" t="n"/>
      <c r="J18" s="264" t="n"/>
      <c r="K18" s="435" t="n"/>
      <c r="L18" s="435" t="n"/>
      <c r="M18" s="418" t="n"/>
      <c r="N18" s="264" t="n"/>
      <c r="O18" s="264" t="n"/>
      <c r="P18" s="264" t="n"/>
      <c r="Q18" s="264" t="n"/>
      <c r="R18" s="264" t="n"/>
      <c r="S18" s="187" t="n"/>
      <c r="T18" s="11" t="n"/>
    </row>
    <row r="19" ht="3" customHeight="1" s="684">
      <c r="A19" s="10" t="n"/>
      <c r="B19" s="105" t="n"/>
      <c r="C19" s="697" t="n"/>
      <c r="D19" s="697" t="n"/>
      <c r="E19" s="697" t="n"/>
      <c r="F19" s="135" t="n"/>
      <c r="G19" s="135" t="n"/>
      <c r="H19" s="135" t="n"/>
      <c r="I19" s="135" t="n"/>
      <c r="J19" s="135" t="n"/>
      <c r="K19" s="558" t="n"/>
      <c r="L19" s="558" t="n"/>
      <c r="M19" s="558" t="n"/>
      <c r="N19" s="135" t="n"/>
      <c r="O19" s="135" t="n"/>
      <c r="P19" s="135" t="n"/>
      <c r="Q19" s="135" t="n"/>
      <c r="R19" s="135" t="n"/>
      <c r="S19" s="345" t="n"/>
      <c r="T19" s="11" t="n"/>
    </row>
    <row r="20" ht="3" customHeight="1" s="684">
      <c r="A20" s="10" t="n"/>
      <c r="B20" s="429" t="n"/>
      <c r="C20" s="430" t="n"/>
      <c r="D20" s="430" t="n"/>
      <c r="E20" s="430" t="n"/>
      <c r="F20" s="93" t="n"/>
      <c r="G20" s="264" t="n"/>
      <c r="H20" s="264" t="n"/>
      <c r="I20" s="264" t="n"/>
      <c r="J20" s="264" t="n"/>
      <c r="K20" s="435" t="n"/>
      <c r="L20" s="435" t="n"/>
      <c r="M20" s="418" t="n"/>
      <c r="N20" s="264" t="n"/>
      <c r="O20" s="264" t="n"/>
      <c r="P20" s="264" t="n"/>
      <c r="Q20" s="264" t="n"/>
      <c r="R20" s="264" t="n"/>
      <c r="S20" s="187" t="n"/>
      <c r="T20" s="11" t="n"/>
    </row>
    <row r="21" ht="15.75" customHeight="1" s="684">
      <c r="A21" s="10" t="n"/>
      <c r="B21" s="705" t="inlineStr">
        <is>
          <t>KONTROLLER</t>
        </is>
      </c>
      <c r="C21" s="125" t="n"/>
      <c r="D21" s="125" t="n"/>
      <c r="E21" s="125" t="n"/>
      <c r="F21" s="125" t="n"/>
      <c r="G21" s="125" t="n"/>
      <c r="H21" s="125" t="n"/>
      <c r="I21" s="125" t="n"/>
      <c r="J21" s="125" t="n"/>
      <c r="K21" s="125" t="n"/>
      <c r="L21" s="125" t="n"/>
      <c r="M21" s="125" t="n"/>
      <c r="N21" s="125" t="n"/>
      <c r="O21" s="125" t="n"/>
      <c r="P21" s="125" t="n"/>
      <c r="Q21" s="125" t="n"/>
      <c r="R21" s="125" t="n"/>
      <c r="S21" s="231" t="n"/>
      <c r="T21" s="11" t="n"/>
    </row>
    <row r="22" ht="15" customHeight="1" s="684">
      <c r="A22" s="10" t="n"/>
      <c r="B22" s="3" t="n"/>
      <c r="C22" s="264" t="n"/>
      <c r="D22" s="264" t="n"/>
      <c r="E22" s="264" t="n"/>
      <c r="F22" s="264" t="n"/>
      <c r="G22" s="264" t="n"/>
      <c r="H22" s="264" t="n"/>
      <c r="I22" s="55" t="inlineStr">
        <is>
          <t>Evet</t>
        </is>
      </c>
      <c r="J22" s="55" t="inlineStr">
        <is>
          <t>Hayır</t>
        </is>
      </c>
      <c r="K22" s="264" t="n"/>
      <c r="L22" s="264" t="n"/>
      <c r="M22" s="264" t="n"/>
      <c r="N22" s="264" t="n"/>
      <c r="O22" s="264" t="n"/>
      <c r="P22" s="264" t="n"/>
      <c r="Q22" s="264" t="n"/>
      <c r="R22" s="55" t="inlineStr">
        <is>
          <t>Evet</t>
        </is>
      </c>
      <c r="S22" s="55" t="inlineStr">
        <is>
          <t>Hayır</t>
        </is>
      </c>
      <c r="T22" s="11" t="n"/>
    </row>
    <row r="23" ht="3.75" customHeight="1" s="684">
      <c r="A23" s="10" t="n"/>
      <c r="B23" s="3" t="n"/>
      <c r="C23" s="264" t="n"/>
      <c r="D23" s="264" t="n"/>
      <c r="E23" s="264" t="n"/>
      <c r="F23" s="264" t="n"/>
      <c r="G23" s="264" t="n"/>
      <c r="H23" s="264" t="n"/>
      <c r="I23" s="264" t="n"/>
      <c r="J23" s="264" t="n"/>
      <c r="K23" s="264" t="n"/>
      <c r="L23" s="264" t="n"/>
      <c r="M23" s="264" t="n"/>
      <c r="N23" s="264" t="n"/>
      <c r="O23" s="264" t="n"/>
      <c r="P23" s="264" t="n"/>
      <c r="Q23" s="264" t="n"/>
      <c r="R23" s="264" t="n"/>
      <c r="S23" s="187" t="n"/>
      <c r="T23" s="11" t="n"/>
    </row>
    <row r="24">
      <c r="A24" s="10" t="n"/>
      <c r="B24" s="429" t="inlineStr">
        <is>
          <t xml:space="preserve">Kesici Görsel Kontrolü </t>
        </is>
      </c>
      <c r="F24" s="113" t="inlineStr">
        <is>
          <t>:</t>
        </is>
      </c>
      <c r="G24" s="413" t="inlineStr">
        <is>
          <t>UYGUN</t>
        </is>
      </c>
      <c r="H24" s="707" t="n"/>
      <c r="I24" s="119" t="inlineStr">
        <is>
          <t>ü</t>
        </is>
      </c>
      <c r="J24" s="215" t="n"/>
      <c r="K24" s="430" t="inlineStr">
        <is>
          <t>Kesici Temizliği</t>
        </is>
      </c>
      <c r="O24" s="113" t="inlineStr">
        <is>
          <t>:</t>
        </is>
      </c>
      <c r="P24" s="413" t="inlineStr">
        <is>
          <t>YAPILDI</t>
        </is>
      </c>
      <c r="Q24" s="707" t="n"/>
      <c r="R24" s="119" t="inlineStr">
        <is>
          <t>ü</t>
        </is>
      </c>
      <c r="S24" s="215" t="n"/>
      <c r="T24" s="11" t="n"/>
    </row>
    <row r="25" ht="3.75" customHeight="1" s="684">
      <c r="A25" s="10" t="n"/>
      <c r="B25" s="96" t="n"/>
      <c r="C25" s="93" t="n"/>
      <c r="D25" s="93" t="n"/>
      <c r="E25" s="93" t="n"/>
      <c r="F25" s="93" t="n"/>
      <c r="G25" s="93" t="n"/>
      <c r="H25" s="93" t="n"/>
      <c r="I25" s="120" t="n"/>
      <c r="J25" s="120" t="n"/>
      <c r="K25" s="93" t="n"/>
      <c r="L25" s="93" t="n"/>
      <c r="M25" s="93" t="n"/>
      <c r="N25" s="93" t="n"/>
      <c r="O25" s="93" t="n"/>
      <c r="P25" s="120" t="n"/>
      <c r="Q25" s="120" t="n"/>
      <c r="R25" s="120" t="n"/>
      <c r="S25" s="152" t="n"/>
      <c r="T25" s="11" t="n"/>
    </row>
    <row r="26">
      <c r="A26" s="10" t="n"/>
      <c r="B26" s="429" t="inlineStr">
        <is>
          <t>DC Redresör Kontrolü</t>
        </is>
      </c>
      <c r="F26" s="113" t="inlineStr">
        <is>
          <t>:</t>
        </is>
      </c>
      <c r="G26" s="113" t="n">
        <v>24</v>
      </c>
      <c r="H26" s="413" t="inlineStr">
        <is>
          <t>Vdc</t>
        </is>
      </c>
      <c r="I26" s="119" t="inlineStr">
        <is>
          <t>ü</t>
        </is>
      </c>
      <c r="J26" s="215" t="n"/>
      <c r="K26" s="430" t="inlineStr">
        <is>
          <t>Hücre Temizliği</t>
        </is>
      </c>
      <c r="O26" s="113" t="inlineStr">
        <is>
          <t>:</t>
        </is>
      </c>
      <c r="P26" s="413" t="inlineStr">
        <is>
          <t>YAPILDI</t>
        </is>
      </c>
      <c r="Q26" s="707" t="n"/>
      <c r="R26" s="119" t="inlineStr">
        <is>
          <t>ü</t>
        </is>
      </c>
      <c r="S26" s="215" t="n"/>
      <c r="T26" s="11" t="n"/>
    </row>
    <row r="27" ht="3.75" customHeight="1" s="684">
      <c r="A27" s="10" t="n"/>
      <c r="B27" s="96" t="n"/>
      <c r="C27" s="93" t="n"/>
      <c r="D27" s="93" t="n"/>
      <c r="E27" s="93" t="n"/>
      <c r="F27" s="93" t="n"/>
      <c r="G27" s="93" t="n"/>
      <c r="H27" s="93" t="n"/>
      <c r="I27" s="120" t="n"/>
      <c r="J27" s="120" t="n"/>
      <c r="K27" s="93" t="n"/>
      <c r="L27" s="93" t="n"/>
      <c r="M27" s="93" t="n"/>
      <c r="N27" s="93" t="n"/>
      <c r="O27" s="93" t="n"/>
      <c r="P27" s="120" t="n"/>
      <c r="Q27" s="120" t="n"/>
      <c r="R27" s="120" t="n"/>
      <c r="S27" s="152" t="n"/>
      <c r="T27" s="11" t="n"/>
    </row>
    <row r="28">
      <c r="A28" s="10" t="n"/>
      <c r="B28" s="429" t="inlineStr">
        <is>
          <t>İndikatör Kontrolü</t>
        </is>
      </c>
      <c r="F28" s="113" t="inlineStr">
        <is>
          <t>:</t>
        </is>
      </c>
      <c r="G28" s="413" t="inlineStr">
        <is>
          <t>UYGUN</t>
        </is>
      </c>
      <c r="H28" s="707" t="n"/>
      <c r="I28" s="119" t="inlineStr">
        <is>
          <t>ü</t>
        </is>
      </c>
      <c r="J28" s="119" t="n"/>
      <c r="K28" s="430" t="inlineStr">
        <is>
          <t>Bara Kontrolü</t>
        </is>
      </c>
      <c r="O28" s="146" t="inlineStr">
        <is>
          <t xml:space="preserve">: </t>
        </is>
      </c>
      <c r="P28" s="413" t="inlineStr">
        <is>
          <t>UYGUN</t>
        </is>
      </c>
      <c r="Q28" s="707" t="n"/>
      <c r="R28" s="119" t="inlineStr">
        <is>
          <t>ü</t>
        </is>
      </c>
      <c r="S28" s="119" t="n"/>
      <c r="T28" s="11" t="n"/>
    </row>
    <row r="29" ht="3.75" customHeight="1" s="684">
      <c r="A29" s="10" t="n"/>
      <c r="B29" s="96" t="n"/>
      <c r="C29" s="93" t="n"/>
      <c r="D29" s="93" t="n"/>
      <c r="E29" s="93" t="n"/>
      <c r="F29" s="93" t="n"/>
      <c r="G29" s="93" t="n"/>
      <c r="H29" s="93" t="n"/>
      <c r="I29" s="120" t="n"/>
      <c r="J29" s="120" t="n"/>
      <c r="K29" s="93" t="n"/>
      <c r="L29" s="93" t="n"/>
      <c r="M29" s="93" t="n"/>
      <c r="N29" s="93" t="n"/>
      <c r="O29" s="93" t="n"/>
      <c r="P29" s="120" t="n"/>
      <c r="Q29" s="120" t="n"/>
      <c r="R29" s="120" t="n"/>
      <c r="S29" s="152" t="n"/>
      <c r="T29" s="11" t="n"/>
    </row>
    <row r="30">
      <c r="A30" s="10" t="n"/>
      <c r="B30" s="429" t="inlineStr">
        <is>
          <t>Mekanik Konrolü</t>
        </is>
      </c>
      <c r="F30" s="113" t="inlineStr">
        <is>
          <t>:</t>
        </is>
      </c>
      <c r="G30" s="413" t="inlineStr">
        <is>
          <t>UYGUN</t>
        </is>
      </c>
      <c r="H30" s="707" t="n"/>
      <c r="I30" s="119" t="inlineStr">
        <is>
          <t>ü</t>
        </is>
      </c>
      <c r="J30" s="119" t="n"/>
      <c r="K30" s="430" t="inlineStr">
        <is>
          <t>Isıtıcı Kontrolü</t>
        </is>
      </c>
      <c r="O30" s="113" t="inlineStr">
        <is>
          <t>:</t>
        </is>
      </c>
      <c r="P30" s="413" t="inlineStr">
        <is>
          <t>UYGUN</t>
        </is>
      </c>
      <c r="Q30" s="707" t="n"/>
      <c r="R30" s="119" t="inlineStr">
        <is>
          <t>ü</t>
        </is>
      </c>
      <c r="S30" s="119" t="n"/>
      <c r="T30" s="11" t="n"/>
    </row>
    <row r="31" ht="3.75" customHeight="1" s="684">
      <c r="A31" s="10" t="n"/>
      <c r="B31" s="96" t="n"/>
      <c r="C31" s="93" t="n"/>
      <c r="D31" s="93" t="n"/>
      <c r="E31" s="93" t="n"/>
      <c r="F31" s="93" t="n"/>
      <c r="G31" s="93" t="n"/>
      <c r="H31" s="93" t="n"/>
      <c r="I31" s="120" t="n"/>
      <c r="J31" s="120" t="n"/>
      <c r="K31" s="93" t="n"/>
      <c r="L31" s="93" t="n"/>
      <c r="M31" s="93" t="n"/>
      <c r="N31" s="93" t="n"/>
      <c r="O31" s="93" t="n"/>
      <c r="P31" s="120" t="n"/>
      <c r="Q31" s="120" t="n"/>
      <c r="R31" s="120" t="n"/>
      <c r="S31" s="152" t="n"/>
      <c r="T31" s="11" t="n"/>
    </row>
    <row r="32">
      <c r="A32" s="10" t="n"/>
      <c r="B32" s="429" t="inlineStr">
        <is>
          <t>Kablo Başlığı Kontrolü</t>
        </is>
      </c>
      <c r="F32" s="140" t="inlineStr">
        <is>
          <t>:</t>
        </is>
      </c>
      <c r="G32" s="413" t="inlineStr">
        <is>
          <t>UYGUN</t>
        </is>
      </c>
      <c r="H32" s="707" t="n"/>
      <c r="I32" s="119" t="inlineStr">
        <is>
          <t>ü</t>
        </is>
      </c>
      <c r="J32" s="119" t="n"/>
      <c r="K32" s="430" t="inlineStr">
        <is>
          <t>A.A Röle Kontrolü</t>
        </is>
      </c>
      <c r="O32" s="141" t="inlineStr">
        <is>
          <t>:</t>
        </is>
      </c>
      <c r="P32" s="413" t="inlineStr">
        <is>
          <t>UYGUN</t>
        </is>
      </c>
      <c r="Q32" s="707" t="n"/>
      <c r="R32" s="119" t="inlineStr">
        <is>
          <t>ü</t>
        </is>
      </c>
      <c r="S32" s="119" t="n"/>
      <c r="T32" s="11" t="n"/>
    </row>
    <row r="33" ht="3.75" customHeight="1" s="684">
      <c r="A33" s="10" t="n"/>
      <c r="B33" s="96" t="n"/>
      <c r="C33" s="93" t="n"/>
      <c r="D33" s="93" t="n"/>
      <c r="E33" s="93" t="n"/>
      <c r="F33" s="93" t="n"/>
      <c r="G33" s="93" t="n"/>
      <c r="H33" s="93" t="n"/>
      <c r="I33" s="120" t="n"/>
      <c r="J33" s="120" t="n"/>
      <c r="K33" s="93" t="n"/>
      <c r="L33" s="93" t="n"/>
      <c r="M33" s="93" t="n"/>
      <c r="N33" s="93" t="n"/>
      <c r="O33" s="93" t="n"/>
      <c r="P33" s="120" t="n"/>
      <c r="Q33" s="120" t="n"/>
      <c r="R33" s="120" t="n"/>
      <c r="S33" s="152" t="n"/>
      <c r="T33" s="11" t="n"/>
    </row>
    <row r="34" ht="15" customHeight="1" s="684">
      <c r="A34" s="10" t="n"/>
      <c r="B34" s="216" t="n"/>
      <c r="C34" s="217" t="n"/>
      <c r="D34" s="217" t="n"/>
      <c r="E34" s="217" t="n"/>
      <c r="F34" s="217" t="n"/>
      <c r="G34" s="217" t="n"/>
      <c r="H34" s="217" t="n"/>
      <c r="I34" s="217" t="n"/>
      <c r="J34" s="217" t="n"/>
      <c r="K34" s="217" t="n"/>
      <c r="L34" s="217" t="n"/>
      <c r="M34" s="217" t="n"/>
      <c r="N34" s="217" t="n"/>
      <c r="O34" s="217" t="n"/>
      <c r="P34" s="217" t="n"/>
      <c r="Q34" s="217" t="n"/>
      <c r="R34" s="217" t="n"/>
      <c r="S34" s="218" t="n"/>
      <c r="T34" s="11" t="n"/>
    </row>
    <row r="35" ht="15.75" customHeight="1" s="684">
      <c r="A35" s="10" t="n"/>
      <c r="B35" s="705" t="inlineStr">
        <is>
          <t>BASAMAK VOLTAJ TESTİ</t>
        </is>
      </c>
      <c r="C35" s="125" t="n"/>
      <c r="D35" s="125" t="n"/>
      <c r="E35" s="125" t="n"/>
      <c r="F35" s="125" t="n"/>
      <c r="G35" s="125" t="n"/>
      <c r="H35" s="125" t="n"/>
      <c r="I35" s="125" t="n"/>
      <c r="J35" s="125" t="n"/>
      <c r="K35" s="125" t="n"/>
      <c r="L35" s="125" t="n"/>
      <c r="M35" s="125" t="n"/>
      <c r="N35" s="125" t="n"/>
      <c r="O35" s="125" t="n"/>
      <c r="P35" s="125" t="n"/>
      <c r="Q35" s="125" t="n"/>
      <c r="R35" s="125" t="n"/>
      <c r="S35" s="231" t="n"/>
      <c r="T35" s="11" t="n"/>
      <c r="V35" s="76" t="n"/>
      <c r="W35" s="76" t="n"/>
      <c r="X35" s="76" t="n"/>
      <c r="AE35" s="76" t="n"/>
      <c r="AF35" s="76" t="n"/>
      <c r="AG35" s="76" t="n"/>
      <c r="AH35" s="76" t="n"/>
      <c r="AI35" s="76" t="n"/>
      <c r="AJ35" s="76" t="n"/>
      <c r="AK35" s="76" t="n"/>
      <c r="AL35" s="76" t="n"/>
      <c r="AM35" s="76" t="n"/>
      <c r="AN35" s="76" t="n"/>
    </row>
    <row r="36" ht="3" customHeight="1" s="684">
      <c r="A36" s="10" t="n"/>
      <c r="B36" s="3" t="n"/>
      <c r="C36" s="264" t="n"/>
      <c r="D36" s="264" t="n"/>
      <c r="E36" s="264" t="n"/>
      <c r="F36" s="264" t="n"/>
      <c r="G36" s="264" t="n"/>
      <c r="H36" s="264" t="n"/>
      <c r="I36" s="264" t="n"/>
      <c r="J36" s="264" t="n"/>
      <c r="K36" s="264" t="n"/>
      <c r="L36" s="264" t="n"/>
      <c r="M36" s="264" t="n"/>
      <c r="N36" s="264" t="n"/>
      <c r="O36" s="264" t="n"/>
      <c r="P36" s="264" t="n"/>
      <c r="Q36" s="264" t="n"/>
      <c r="R36" s="264" t="n"/>
      <c r="S36" s="187"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684">
      <c r="A37" s="10" t="n"/>
      <c r="B37" s="3" t="n"/>
      <c r="C37" s="541" t="inlineStr">
        <is>
          <t>R1 (1.04kV)</t>
        </is>
      </c>
      <c r="D37" s="125" t="n"/>
      <c r="E37" s="231" t="n"/>
      <c r="F37" s="541" t="inlineStr">
        <is>
          <t>R2 (2.04kV)</t>
        </is>
      </c>
      <c r="G37" s="125" t="n"/>
      <c r="H37" s="231" t="n"/>
      <c r="I37" s="541" t="inlineStr">
        <is>
          <t>R3 (3.06kV)</t>
        </is>
      </c>
      <c r="J37" s="125" t="n"/>
      <c r="K37" s="231" t="n"/>
      <c r="L37" s="541" t="inlineStr">
        <is>
          <t>R4 (4.06kV)</t>
        </is>
      </c>
      <c r="M37" s="125" t="n"/>
      <c r="N37" s="231" t="n"/>
      <c r="O37" s="541" t="inlineStr">
        <is>
          <t>R5 (5.09kV)</t>
        </is>
      </c>
      <c r="P37" s="125" t="n"/>
      <c r="Q37" s="231" t="n"/>
      <c r="R37" s="541" t="inlineStr">
        <is>
          <t>SONUÇ</t>
        </is>
      </c>
      <c r="S37" s="231"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684">
      <c r="A38" s="10" t="n"/>
      <c r="B38" s="3" t="n"/>
      <c r="C38" s="264" t="n"/>
      <c r="D38" s="264" t="n"/>
      <c r="E38" s="264" t="n"/>
      <c r="F38" s="264" t="n"/>
      <c r="G38" s="264" t="n"/>
      <c r="H38" s="264" t="n"/>
      <c r="I38" s="264" t="n"/>
      <c r="J38" s="264" t="n"/>
      <c r="K38" s="264" t="n"/>
      <c r="L38" s="264" t="n"/>
      <c r="M38" s="264" t="n"/>
      <c r="N38" s="264" t="n"/>
      <c r="O38" s="264" t="n"/>
      <c r="P38" s="264" t="n"/>
      <c r="Q38" s="264" t="n"/>
      <c r="R38" s="264" t="n"/>
      <c r="S38" s="187"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684">
      <c r="A39" s="10" t="n"/>
      <c r="B39" s="219" t="inlineStr">
        <is>
          <t>L-1</t>
        </is>
      </c>
      <c r="C39" s="583" t="n">
        <v>2000</v>
      </c>
      <c r="D39" s="125" t="n"/>
      <c r="E39" s="220" t="inlineStr">
        <is>
          <t>GΩ</t>
        </is>
      </c>
      <c r="F39" s="583" t="n">
        <v>4000</v>
      </c>
      <c r="G39" s="125" t="n"/>
      <c r="H39" s="220" t="inlineStr">
        <is>
          <t>GΩ</t>
        </is>
      </c>
      <c r="I39" s="583" t="n">
        <v>6000</v>
      </c>
      <c r="J39" s="125" t="n"/>
      <c r="K39" s="220" t="inlineStr">
        <is>
          <t>GΩ</t>
        </is>
      </c>
      <c r="L39" s="583" t="n">
        <v>8000</v>
      </c>
      <c r="M39" s="125" t="n"/>
      <c r="N39" s="220" t="inlineStr">
        <is>
          <t>GΩ</t>
        </is>
      </c>
      <c r="O39" s="583" t="n">
        <v>10000</v>
      </c>
      <c r="P39" s="125" t="n"/>
      <c r="Q39" s="220" t="inlineStr">
        <is>
          <t>GΩ</t>
        </is>
      </c>
      <c r="R39" s="504">
        <f>IF(O39&gt;250,1,0)</f>
        <v/>
      </c>
      <c r="S39" s="231"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684">
      <c r="A40" s="10" t="n"/>
      <c r="B40" s="221" t="n"/>
      <c r="C40" s="57" t="n"/>
      <c r="D40" s="57" t="n"/>
      <c r="E40" s="264" t="n"/>
      <c r="F40" s="57" t="n"/>
      <c r="G40" s="57" t="n"/>
      <c r="H40" s="264" t="n"/>
      <c r="I40" s="57" t="n"/>
      <c r="J40" s="57" t="n"/>
      <c r="K40" s="264" t="n"/>
      <c r="L40" s="57" t="n"/>
      <c r="M40" s="57" t="n"/>
      <c r="N40" s="264" t="n"/>
      <c r="O40" s="57" t="n"/>
      <c r="P40" s="57" t="n"/>
      <c r="Q40" s="264" t="n"/>
      <c r="R40" s="264" t="n"/>
      <c r="S40" s="187"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684">
      <c r="A41" s="10" t="n"/>
      <c r="B41" s="219" t="inlineStr">
        <is>
          <t>L-2</t>
        </is>
      </c>
      <c r="C41" s="583" t="n">
        <v>2000</v>
      </c>
      <c r="D41" s="125" t="n"/>
      <c r="E41" s="220" t="inlineStr">
        <is>
          <t>GΩ</t>
        </is>
      </c>
      <c r="F41" s="583" t="n">
        <v>4000</v>
      </c>
      <c r="G41" s="125" t="n"/>
      <c r="H41" s="220" t="inlineStr">
        <is>
          <t>GΩ</t>
        </is>
      </c>
      <c r="I41" s="583" t="n">
        <v>6000</v>
      </c>
      <c r="J41" s="125" t="n"/>
      <c r="K41" s="220" t="inlineStr">
        <is>
          <t>GΩ</t>
        </is>
      </c>
      <c r="L41" s="583" t="n">
        <v>8000</v>
      </c>
      <c r="M41" s="125" t="n"/>
      <c r="N41" s="220" t="inlineStr">
        <is>
          <t>GΩ</t>
        </is>
      </c>
      <c r="O41" s="583" t="n">
        <v>10000</v>
      </c>
      <c r="P41" s="125" t="n"/>
      <c r="Q41" s="220" t="inlineStr">
        <is>
          <t>GΩ</t>
        </is>
      </c>
      <c r="R41" s="504">
        <f>IF(O41&gt;250,1,0)</f>
        <v/>
      </c>
      <c r="S41" s="231"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684">
      <c r="A42" s="10" t="n"/>
      <c r="B42" s="221" t="n"/>
      <c r="C42" s="57" t="n"/>
      <c r="D42" s="57" t="n"/>
      <c r="E42" s="264" t="n"/>
      <c r="F42" s="57" t="n"/>
      <c r="G42" s="57" t="n"/>
      <c r="H42" s="264" t="n"/>
      <c r="I42" s="57" t="n"/>
      <c r="J42" s="57" t="n"/>
      <c r="K42" s="264" t="n"/>
      <c r="L42" s="57" t="n"/>
      <c r="M42" s="57" t="n"/>
      <c r="N42" s="264" t="n"/>
      <c r="O42" s="57" t="n"/>
      <c r="P42" s="57" t="n"/>
      <c r="Q42" s="264" t="n"/>
      <c r="R42" s="264" t="n"/>
      <c r="S42" s="187"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684">
      <c r="A43" s="10" t="n"/>
      <c r="B43" s="219" t="inlineStr">
        <is>
          <t>L-3</t>
        </is>
      </c>
      <c r="C43" s="583" t="n">
        <v>2000</v>
      </c>
      <c r="D43" s="125" t="n"/>
      <c r="E43" s="220" t="inlineStr">
        <is>
          <t>GΩ</t>
        </is>
      </c>
      <c r="F43" s="583" t="n">
        <v>4000</v>
      </c>
      <c r="G43" s="125" t="n"/>
      <c r="H43" s="220" t="inlineStr">
        <is>
          <t>GΩ</t>
        </is>
      </c>
      <c r="I43" s="583" t="n">
        <v>6000</v>
      </c>
      <c r="J43" s="125" t="n"/>
      <c r="K43" s="220" t="inlineStr">
        <is>
          <t>GΩ</t>
        </is>
      </c>
      <c r="L43" s="583" t="n">
        <v>8000</v>
      </c>
      <c r="M43" s="125" t="n"/>
      <c r="N43" s="220" t="inlineStr">
        <is>
          <t>GΩ</t>
        </is>
      </c>
      <c r="O43" s="583" t="n">
        <v>10000</v>
      </c>
      <c r="P43" s="125" t="n"/>
      <c r="Q43" s="220" t="inlineStr">
        <is>
          <t>GΩ</t>
        </is>
      </c>
      <c r="R43" s="504">
        <f>IF(O43&gt;250,1,0)</f>
        <v/>
      </c>
      <c r="S43" s="231"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684">
      <c r="A44" s="10" t="n"/>
      <c r="B44" s="47" t="n"/>
      <c r="C44" s="48" t="n"/>
      <c r="D44" s="48" t="n"/>
      <c r="E44" s="48" t="n"/>
      <c r="F44" s="48" t="n"/>
      <c r="G44" s="48" t="n"/>
      <c r="H44" s="48" t="n"/>
      <c r="I44" s="48" t="n"/>
      <c r="J44" s="48" t="n"/>
      <c r="K44" s="48" t="n"/>
      <c r="L44" s="48" t="n"/>
      <c r="M44" s="48" t="n"/>
      <c r="N44" s="48" t="n"/>
      <c r="O44" s="48" t="n"/>
      <c r="P44" s="48" t="n"/>
      <c r="Q44" s="48" t="n"/>
      <c r="R44" s="48" t="n"/>
      <c r="S44" s="98"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684">
      <c r="A45" s="10" t="n"/>
      <c r="B45" s="3" t="n"/>
      <c r="C45" s="264" t="n"/>
      <c r="D45" s="264" t="n"/>
      <c r="E45" s="264" t="n"/>
      <c r="F45" s="264" t="n"/>
      <c r="G45" s="264" t="n"/>
      <c r="H45" s="264" t="n"/>
      <c r="I45" s="264" t="n"/>
      <c r="J45" s="264" t="n"/>
      <c r="K45" s="264" t="n"/>
      <c r="L45" s="264" t="n"/>
      <c r="M45" s="264" t="n"/>
      <c r="N45" s="264" t="n"/>
      <c r="O45" s="264" t="n"/>
      <c r="P45" s="264" t="n"/>
      <c r="Q45" s="264" t="n"/>
      <c r="R45" s="264" t="n"/>
      <c r="S45" s="187" t="n"/>
      <c r="T45" s="11" t="n"/>
      <c r="V45" s="418" t="n"/>
      <c r="X45" s="76" t="n"/>
      <c r="Y45" s="76" t="n"/>
      <c r="Z45" s="76" t="n"/>
      <c r="AA45" s="76" t="n"/>
      <c r="AB45" s="76" t="n"/>
      <c r="AC45" s="76" t="n"/>
      <c r="AD45" s="76" t="n"/>
      <c r="AE45" s="76" t="n"/>
      <c r="AF45" s="76" t="n"/>
      <c r="AG45" s="76" t="n"/>
      <c r="AH45" s="76" t="n"/>
      <c r="AI45" s="76" t="n"/>
      <c r="AJ45" s="76" t="n"/>
      <c r="AK45" s="76" t="n"/>
      <c r="AL45" s="76" t="n"/>
      <c r="AM45" s="76" t="n"/>
      <c r="AN45" s="76" t="n"/>
    </row>
    <row r="46" ht="15.75" customHeight="1" s="684">
      <c r="A46" s="10" t="n"/>
      <c r="B46" s="705" t="inlineStr">
        <is>
          <t>KESİCİ İZOLASYON DİRENCİ (GΩ)</t>
        </is>
      </c>
      <c r="C46" s="125" t="n"/>
      <c r="D46" s="125" t="n"/>
      <c r="E46" s="125" t="n"/>
      <c r="F46" s="125" t="n"/>
      <c r="G46" s="125" t="n"/>
      <c r="H46" s="125" t="n"/>
      <c r="I46" s="125" t="n"/>
      <c r="J46" s="231" t="n"/>
      <c r="K46" s="705" t="inlineStr">
        <is>
          <t>KESİCİ KONTAK DİRENCİ (Ω)</t>
        </is>
      </c>
      <c r="L46" s="125" t="n"/>
      <c r="M46" s="125" t="n"/>
      <c r="N46" s="125" t="n"/>
      <c r="O46" s="125" t="n"/>
      <c r="P46" s="125" t="n"/>
      <c r="Q46" s="125" t="n"/>
      <c r="R46" s="125" t="n"/>
      <c r="S46" s="231"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t="3" customHeight="1" s="684">
      <c r="A47" s="10" t="n"/>
      <c r="B47" s="3" t="n"/>
      <c r="C47" s="264" t="n"/>
      <c r="D47" s="264" t="n"/>
      <c r="E47" s="264" t="n"/>
      <c r="F47" s="264" t="n"/>
      <c r="G47" s="264" t="n"/>
      <c r="H47" s="264" t="n"/>
      <c r="I47" s="264" t="n"/>
      <c r="J47" s="187" t="n"/>
      <c r="K47" s="3" t="n"/>
      <c r="L47" s="264" t="n"/>
      <c r="M47" s="264" t="n"/>
      <c r="N47" s="45" t="n"/>
      <c r="O47" s="264" t="n"/>
      <c r="P47" s="264" t="n"/>
      <c r="Q47" s="45" t="n"/>
      <c r="R47" s="264" t="n"/>
      <c r="S47" s="187"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t="15" customHeight="1" s="684">
      <c r="A48" s="10" t="n"/>
      <c r="B48" s="3" t="n"/>
      <c r="C48" s="504" t="inlineStr">
        <is>
          <t>TEST VOLTAJI</t>
        </is>
      </c>
      <c r="D48" s="125" t="n"/>
      <c r="E48" s="125" t="n"/>
      <c r="F48" s="231" t="n"/>
      <c r="G48" s="504" t="inlineStr">
        <is>
          <t>SONUÇ</t>
        </is>
      </c>
      <c r="H48" s="125" t="n"/>
      <c r="I48" s="125" t="n"/>
      <c r="J48" s="231" t="n"/>
      <c r="K48" s="504" t="inlineStr">
        <is>
          <t>TEST AKIMI</t>
        </is>
      </c>
      <c r="L48" s="125" t="n"/>
      <c r="M48" s="125" t="n"/>
      <c r="N48" s="231" t="n"/>
      <c r="O48" s="504" t="inlineStr">
        <is>
          <t>SONUÇ</t>
        </is>
      </c>
      <c r="P48" s="125" t="n"/>
      <c r="Q48" s="125" t="n"/>
      <c r="R48" s="125" t="n"/>
      <c r="S48" s="231"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t="3" customHeight="1" s="684">
      <c r="A49" s="10" t="n"/>
      <c r="B49" s="3" t="n"/>
      <c r="C49" s="264" t="n"/>
      <c r="D49" s="264" t="n"/>
      <c r="E49" s="264" t="n"/>
      <c r="F49" s="264" t="n"/>
      <c r="G49" s="264" t="n"/>
      <c r="H49" s="264" t="n"/>
      <c r="I49" s="264" t="n"/>
      <c r="J49" s="187" t="n"/>
      <c r="K49" s="3" t="n"/>
      <c r="L49" s="264" t="n"/>
      <c r="M49" s="264" t="n"/>
      <c r="N49" s="264" t="n"/>
      <c r="O49" s="264" t="n"/>
      <c r="P49" s="264" t="n"/>
      <c r="Q49" s="264" t="n"/>
      <c r="R49" s="264" t="n"/>
      <c r="S49" s="187"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t="15" customHeight="1" s="684">
      <c r="A50" s="10" t="n"/>
      <c r="B50" s="219" t="inlineStr">
        <is>
          <t>L-1</t>
        </is>
      </c>
      <c r="C50" s="636" t="inlineStr">
        <is>
          <t>10.00</t>
        </is>
      </c>
      <c r="D50" s="125" t="n"/>
      <c r="E50" s="125" t="n"/>
      <c r="F50" s="222" t="inlineStr">
        <is>
          <t>kV</t>
        </is>
      </c>
      <c r="G50" s="638" t="n">
        <v>20000</v>
      </c>
      <c r="H50" s="125" t="n"/>
      <c r="I50" s="220" t="inlineStr">
        <is>
          <t>GΩ</t>
        </is>
      </c>
      <c r="J50" s="640">
        <f>IF(G50&gt;50,1,0)</f>
        <v/>
      </c>
      <c r="K50" s="219" t="inlineStr">
        <is>
          <t>80.00A</t>
        </is>
      </c>
      <c r="L50" s="125" t="n"/>
      <c r="M50" s="125" t="n"/>
      <c r="N50" s="231" t="n"/>
      <c r="O50" s="643" t="n">
        <v>38</v>
      </c>
      <c r="P50" s="125" t="n"/>
      <c r="Q50" s="125" t="n"/>
      <c r="R50" s="220" t="inlineStr">
        <is>
          <t>µΩ</t>
        </is>
      </c>
      <c r="S50" s="504">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t="3" customHeight="1" s="684">
      <c r="A51" s="10" t="n"/>
      <c r="B51" s="224" t="n"/>
      <c r="C51" s="225" t="n"/>
      <c r="D51" s="225" t="n"/>
      <c r="E51" s="225" t="n"/>
      <c r="F51" s="226" t="n"/>
      <c r="G51" s="227" t="n"/>
      <c r="H51" s="227" t="n"/>
      <c r="I51" s="225" t="n"/>
      <c r="J51" s="225" t="n"/>
      <c r="K51" s="225" t="n"/>
      <c r="L51" s="225" t="n"/>
      <c r="M51" s="225" t="n"/>
      <c r="N51" s="225" t="n"/>
      <c r="O51" s="228" t="n"/>
      <c r="P51" s="228" t="n"/>
      <c r="Q51" s="228" t="n"/>
      <c r="R51" s="225" t="n"/>
      <c r="S51" s="187"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t="15" customHeight="1" s="684">
      <c r="A52" s="10" t="n"/>
      <c r="B52" s="219" t="inlineStr">
        <is>
          <t>L-2</t>
        </is>
      </c>
      <c r="C52" s="636" t="inlineStr">
        <is>
          <t>10.00</t>
        </is>
      </c>
      <c r="D52" s="125" t="n"/>
      <c r="E52" s="125" t="n"/>
      <c r="F52" s="222" t="inlineStr">
        <is>
          <t>kV</t>
        </is>
      </c>
      <c r="G52" s="638" t="n">
        <v>20000</v>
      </c>
      <c r="H52" s="125" t="n"/>
      <c r="I52" s="220" t="inlineStr">
        <is>
          <t>GΩ</t>
        </is>
      </c>
      <c r="J52" s="640">
        <f>IF(G52&gt;50,1,0)</f>
        <v/>
      </c>
      <c r="K52" s="219" t="inlineStr">
        <is>
          <t>80.00A</t>
        </is>
      </c>
      <c r="L52" s="125" t="n"/>
      <c r="M52" s="125" t="n"/>
      <c r="N52" s="231" t="n"/>
      <c r="O52" s="641" t="n">
        <v>40</v>
      </c>
      <c r="P52" s="125" t="n"/>
      <c r="Q52" s="125" t="n"/>
      <c r="R52" s="220" t="inlineStr">
        <is>
          <t>µΩ</t>
        </is>
      </c>
      <c r="S52" s="504">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t="3" customHeight="1" s="684">
      <c r="A53" s="10" t="n"/>
      <c r="B53" s="224" t="n"/>
      <c r="C53" s="225" t="n"/>
      <c r="D53" s="225" t="n"/>
      <c r="E53" s="225" t="n"/>
      <c r="F53" s="226" t="n"/>
      <c r="G53" s="227" t="n"/>
      <c r="H53" s="227" t="n"/>
      <c r="I53" s="225" t="n"/>
      <c r="J53" s="225" t="n"/>
      <c r="K53" s="225" t="n"/>
      <c r="L53" s="225" t="n"/>
      <c r="M53" s="225" t="n"/>
      <c r="N53" s="225" t="n"/>
      <c r="O53" s="228" t="n"/>
      <c r="P53" s="228" t="n"/>
      <c r="Q53" s="228" t="n"/>
      <c r="R53" s="225" t="n"/>
      <c r="S53" s="187"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t="17.25" customHeight="1" s="684">
      <c r="A54" s="10" t="n"/>
      <c r="B54" s="219" t="inlineStr">
        <is>
          <t>L-3</t>
        </is>
      </c>
      <c r="C54" s="636" t="inlineStr">
        <is>
          <t>10.00</t>
        </is>
      </c>
      <c r="D54" s="125" t="n"/>
      <c r="E54" s="125" t="n"/>
      <c r="F54" s="222" t="inlineStr">
        <is>
          <t>kV</t>
        </is>
      </c>
      <c r="G54" s="638" t="n">
        <v>20000</v>
      </c>
      <c r="H54" s="125" t="n"/>
      <c r="I54" s="220" t="inlineStr">
        <is>
          <t>GΩ</t>
        </is>
      </c>
      <c r="J54" s="640">
        <f>IF(G54&gt;50,1,0)</f>
        <v/>
      </c>
      <c r="K54" s="219" t="inlineStr">
        <is>
          <t>80.00A</t>
        </is>
      </c>
      <c r="L54" s="125" t="n"/>
      <c r="M54" s="125" t="n"/>
      <c r="N54" s="231" t="n"/>
      <c r="O54" s="641" t="n">
        <v>54</v>
      </c>
      <c r="P54" s="125" t="n"/>
      <c r="Q54" s="125" t="n"/>
      <c r="R54" s="220" t="inlineStr">
        <is>
          <t>µΩ</t>
        </is>
      </c>
      <c r="S54" s="504">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t="3" customHeight="1" s="684">
      <c r="A55" s="10" t="n"/>
      <c r="B55" s="47" t="n"/>
      <c r="C55" s="48" t="n"/>
      <c r="D55" s="48" t="n"/>
      <c r="E55" s="48" t="n"/>
      <c r="F55" s="48" t="n"/>
      <c r="G55" s="48" t="n"/>
      <c r="H55" s="48" t="n"/>
      <c r="I55" s="48" t="n"/>
      <c r="J55" s="48" t="n"/>
      <c r="K55" s="586" t="n"/>
      <c r="L55" s="135" t="n"/>
      <c r="M55" s="135" t="n"/>
      <c r="N55" s="135" t="n"/>
      <c r="O55" s="135" t="n"/>
      <c r="P55" s="135" t="n"/>
      <c r="Q55" s="135" t="n"/>
      <c r="R55" s="135" t="n"/>
      <c r="S55" s="345"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t="15" customHeight="1" s="684">
      <c r="A56" s="10" t="n"/>
      <c r="B56" s="3" t="n"/>
      <c r="C56" s="264" t="n"/>
      <c r="D56" s="264" t="n"/>
      <c r="E56" s="264" t="n"/>
      <c r="F56" s="264" t="n"/>
      <c r="G56" s="264" t="n"/>
      <c r="H56" s="264" t="n"/>
      <c r="I56" s="264" t="n"/>
      <c r="J56" s="264" t="n"/>
      <c r="K56" s="264" t="n"/>
      <c r="L56" s="264" t="n"/>
      <c r="M56" s="264" t="n"/>
      <c r="N56" s="264" t="n"/>
      <c r="O56" s="264" t="n"/>
      <c r="P56" s="264" t="n"/>
      <c r="Q56" s="264" t="n"/>
      <c r="R56" s="264" t="n"/>
      <c r="S56" s="187"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684">
      <c r="A57" s="10" t="n"/>
      <c r="B57" s="705" t="inlineStr">
        <is>
          <t>KESİCİ ACMA / KAPAMA ZAMANI</t>
        </is>
      </c>
      <c r="C57" s="125" t="n"/>
      <c r="D57" s="125" t="n"/>
      <c r="E57" s="125" t="n"/>
      <c r="F57" s="125" t="n"/>
      <c r="G57" s="125" t="n"/>
      <c r="H57" s="125" t="n"/>
      <c r="I57" s="125" t="n"/>
      <c r="J57" s="125" t="n"/>
      <c r="K57" s="125" t="n"/>
      <c r="L57" s="125" t="n"/>
      <c r="M57" s="125" t="n"/>
      <c r="N57" s="125" t="n"/>
      <c r="O57" s="125" t="n"/>
      <c r="P57" s="125" t="n"/>
      <c r="Q57" s="125" t="n"/>
      <c r="R57" s="125" t="n"/>
      <c r="S57" s="231"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684">
      <c r="A58" s="10" t="n"/>
      <c r="B58" s="3" t="n"/>
      <c r="C58" s="264" t="n"/>
      <c r="D58" s="264" t="n"/>
      <c r="E58" s="264" t="n"/>
      <c r="F58" s="264" t="n"/>
      <c r="G58" s="24" t="n"/>
      <c r="H58" s="264" t="n"/>
      <c r="I58" s="264" t="n"/>
      <c r="J58" s="264" t="n"/>
      <c r="K58" s="264" t="n"/>
      <c r="L58" s="264" t="n"/>
      <c r="M58" s="264" t="n"/>
      <c r="N58" s="264" t="n"/>
      <c r="O58" s="264" t="n"/>
      <c r="P58" s="264" t="n"/>
      <c r="Q58" s="264" t="n"/>
      <c r="R58" s="264" t="n"/>
      <c r="S58" s="187"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684">
      <c r="A59" s="10" t="n"/>
      <c r="B59" s="229" t="n"/>
      <c r="C59" s="608" t="inlineStr">
        <is>
          <t>KESİCİ AÇMA</t>
        </is>
      </c>
      <c r="D59" s="125" t="n"/>
      <c r="E59" s="231" t="n"/>
      <c r="F59" s="608" t="inlineStr">
        <is>
          <t>EŞ ZAMAN FARKI</t>
        </is>
      </c>
      <c r="G59" s="125" t="n"/>
      <c r="H59" s="125" t="n"/>
      <c r="I59" s="231" t="n"/>
      <c r="J59" s="608" t="inlineStr">
        <is>
          <t>KESİCİ KAPAMA</t>
        </is>
      </c>
      <c r="K59" s="125" t="n"/>
      <c r="L59" s="231" t="n"/>
      <c r="M59" s="608" t="inlineStr">
        <is>
          <t>EŞ ZAMAN FARKI</t>
        </is>
      </c>
      <c r="N59" s="125" t="n"/>
      <c r="O59" s="125" t="n"/>
      <c r="P59" s="231" t="n"/>
      <c r="Q59" s="608" t="inlineStr">
        <is>
          <t>SONUÇ</t>
        </is>
      </c>
      <c r="R59" s="125" t="n"/>
      <c r="S59" s="231"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684">
      <c r="A60" s="10" t="n"/>
      <c r="B60" s="85" t="n"/>
      <c r="S60" s="344"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684">
      <c r="A61" s="10" t="n"/>
      <c r="B61" s="608" t="inlineStr">
        <is>
          <t>L-1</t>
        </is>
      </c>
      <c r="C61" s="633" t="n">
        <v>52.63</v>
      </c>
      <c r="D61" s="125" t="n"/>
      <c r="E61" s="231" t="inlineStr">
        <is>
          <t>ms</t>
        </is>
      </c>
      <c r="F61" s="583">
        <f>MAX(V80:V85)</f>
        <v/>
      </c>
      <c r="G61" s="125" t="n"/>
      <c r="H61" s="483" t="inlineStr">
        <is>
          <t>ms</t>
        </is>
      </c>
      <c r="I61" s="231" t="n"/>
      <c r="J61" s="633" t="n">
        <v>69.03</v>
      </c>
      <c r="K61" s="125" t="n"/>
      <c r="L61" s="231" t="inlineStr">
        <is>
          <t>ms</t>
        </is>
      </c>
      <c r="M61" s="583">
        <f>MAX(X80:X85)</f>
        <v/>
      </c>
      <c r="N61" s="125" t="n"/>
      <c r="O61" s="483" t="inlineStr">
        <is>
          <t>ms</t>
        </is>
      </c>
      <c r="P61" s="231" t="n"/>
      <c r="Q61" s="740" t="inlineStr">
        <is>
          <t>UYGUN</t>
        </is>
      </c>
      <c r="R61" s="125" t="n"/>
      <c r="S61" s="231"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684">
      <c r="A62" s="10" t="n"/>
      <c r="B62" s="232" t="n"/>
      <c r="C62" s="243" t="n"/>
      <c r="D62" s="243" t="n"/>
      <c r="F62" s="3" t="n"/>
      <c r="G62" s="264" t="n"/>
      <c r="H62" s="264" t="n"/>
      <c r="I62" s="187" t="n"/>
      <c r="J62" s="243" t="n"/>
      <c r="K62" s="243" t="n"/>
      <c r="M62" s="3" t="n"/>
      <c r="N62" s="264" t="n"/>
      <c r="O62" s="264" t="n"/>
      <c r="P62" s="187" t="n"/>
      <c r="S62" s="344"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684">
      <c r="A63" s="10" t="n"/>
      <c r="B63" s="608" t="inlineStr">
        <is>
          <t>L-2</t>
        </is>
      </c>
      <c r="C63" s="633" t="n">
        <v>54.14</v>
      </c>
      <c r="D63" s="125" t="n"/>
      <c r="E63" s="231" t="inlineStr">
        <is>
          <t>ms</t>
        </is>
      </c>
      <c r="F63" s="504" t="inlineStr">
        <is>
          <t>BOBİN AKIMI</t>
        </is>
      </c>
      <c r="G63" s="125" t="n"/>
      <c r="H63" s="125" t="n"/>
      <c r="I63" s="231" t="n"/>
      <c r="J63" s="633" t="n">
        <v>66.56999999999999</v>
      </c>
      <c r="K63" s="125" t="n"/>
      <c r="L63" s="231" t="inlineStr">
        <is>
          <t>ms</t>
        </is>
      </c>
      <c r="M63" s="504" t="inlineStr">
        <is>
          <t>BOBİN AKIMI</t>
        </is>
      </c>
      <c r="N63" s="125" t="n"/>
      <c r="O63" s="125" t="n"/>
      <c r="P63" s="231" t="n"/>
      <c r="Q63" s="740" t="inlineStr">
        <is>
          <t>UYGUN</t>
        </is>
      </c>
      <c r="R63" s="125" t="n"/>
      <c r="S63" s="231"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684">
      <c r="A64" s="10" t="n"/>
      <c r="B64" s="232" t="n"/>
      <c r="C64" s="243" t="n"/>
      <c r="D64" s="243" t="n"/>
      <c r="F64" s="3" t="n"/>
      <c r="G64" s="264" t="n"/>
      <c r="H64" s="264" t="n"/>
      <c r="I64" s="187" t="n"/>
      <c r="J64" s="243" t="n"/>
      <c r="K64" s="243" t="n"/>
      <c r="M64" s="3" t="n"/>
      <c r="N64" s="264" t="n"/>
      <c r="O64" s="264" t="n"/>
      <c r="P64" s="187" t="n"/>
      <c r="S64" s="344" t="n"/>
      <c r="T64" s="11" t="n"/>
    </row>
    <row r="65">
      <c r="A65" s="10" t="n"/>
      <c r="B65" s="608" t="inlineStr">
        <is>
          <t>L-3</t>
        </is>
      </c>
      <c r="C65" s="633" t="n">
        <v>50.45</v>
      </c>
      <c r="D65" s="125" t="n"/>
      <c r="E65" s="231" t="inlineStr">
        <is>
          <t>ms</t>
        </is>
      </c>
      <c r="F65" s="583" t="n">
        <v>1.3</v>
      </c>
      <c r="G65" s="125" t="n"/>
      <c r="H65" s="483" t="inlineStr">
        <is>
          <t>A</t>
        </is>
      </c>
      <c r="I65" s="231" t="n"/>
      <c r="J65" s="633" t="n">
        <v>68.79000000000001</v>
      </c>
      <c r="K65" s="125" t="n"/>
      <c r="L65" s="231" t="inlineStr">
        <is>
          <t>ms</t>
        </is>
      </c>
      <c r="M65" s="583" t="n">
        <v>1.3</v>
      </c>
      <c r="N65" s="125" t="n"/>
      <c r="O65" s="483" t="inlineStr">
        <is>
          <t>A</t>
        </is>
      </c>
      <c r="P65" s="231" t="n"/>
      <c r="Q65" s="740" t="inlineStr">
        <is>
          <t>UYGUN</t>
        </is>
      </c>
      <c r="R65" s="125" t="n"/>
      <c r="S65" s="231" t="n"/>
      <c r="T65" s="11" t="n"/>
    </row>
    <row r="66" ht="3" customHeight="1" s="684">
      <c r="A66" s="10" t="n"/>
      <c r="B66" s="234" t="n"/>
      <c r="C66" s="235" t="n"/>
      <c r="D66" s="235" t="n"/>
      <c r="E66" s="48" t="n"/>
      <c r="F66" s="48" t="n"/>
      <c r="G66" s="48" t="n"/>
      <c r="H66" s="48" t="n"/>
      <c r="I66" s="48" t="n"/>
      <c r="J66" s="48" t="n"/>
      <c r="K66" s="48" t="n"/>
      <c r="L66" s="48" t="n"/>
      <c r="M66" s="48" t="n"/>
      <c r="N66" s="48" t="n"/>
      <c r="O66" s="135" t="n"/>
      <c r="P66" s="101" t="n"/>
      <c r="Q66" s="407" t="n"/>
      <c r="R66" s="407" t="n"/>
      <c r="S66" s="408" t="n"/>
      <c r="T66" s="11" t="n"/>
    </row>
    <row r="67" ht="15" customHeight="1" s="684">
      <c r="A67" s="10" t="n"/>
      <c r="B67" s="481" t="n"/>
      <c r="C67" s="236" t="n"/>
      <c r="D67" s="236" t="n"/>
      <c r="E67" s="236" t="n"/>
      <c r="F67" s="236" t="n"/>
      <c r="G67" s="236" t="n"/>
      <c r="H67" s="236" t="n"/>
      <c r="I67" s="236" t="n"/>
      <c r="J67" s="236" t="n"/>
      <c r="K67" s="236" t="n"/>
      <c r="L67" s="236" t="n"/>
      <c r="M67" s="236" t="n"/>
      <c r="N67" s="236" t="n"/>
      <c r="O67" s="236" t="n"/>
      <c r="P67" s="236" t="n"/>
      <c r="Q67" s="236" t="n"/>
      <c r="R67" s="236" t="n"/>
      <c r="S67" s="483" t="n"/>
      <c r="T67" s="11" t="n"/>
    </row>
    <row r="68" ht="15.75" customHeight="1" s="684">
      <c r="A68" s="10" t="n"/>
      <c r="B68" s="237" t="inlineStr">
        <is>
          <t>Sonuç :</t>
        </is>
      </c>
      <c r="C68" s="238" t="n"/>
      <c r="D68" s="623" t="inlineStr">
        <is>
          <t xml:space="preserve">Yapılan ölçümlerde kesicinin test değerleri uygun bulundu. Kesicinin ve hücrenin </t>
        </is>
      </c>
      <c r="E68" s="116" t="n"/>
      <c r="F68" s="116" t="n"/>
      <c r="G68" s="116" t="n"/>
      <c r="H68" s="116" t="n"/>
      <c r="I68" s="116" t="n"/>
      <c r="J68" s="116" t="n"/>
      <c r="K68" s="116" t="n"/>
      <c r="L68" s="116" t="n"/>
      <c r="M68" s="116" t="n"/>
      <c r="N68" s="116" t="n"/>
      <c r="O68" s="116" t="n"/>
      <c r="P68" s="116" t="n"/>
      <c r="Q68" s="116" t="n"/>
      <c r="R68" s="116" t="n"/>
      <c r="S68" s="180" t="n"/>
      <c r="T68" s="11" t="n"/>
    </row>
    <row r="69" ht="15" customHeight="1" s="684">
      <c r="A69" s="10" t="n"/>
      <c r="B69" s="741" t="inlineStr">
        <is>
          <t>temizliği yapıldı.</t>
        </is>
      </c>
      <c r="C69" s="706" t="n"/>
      <c r="D69" s="706" t="n"/>
      <c r="E69" s="706" t="n"/>
      <c r="F69" s="706" t="n"/>
      <c r="G69" s="706" t="n"/>
      <c r="H69" s="706" t="n"/>
      <c r="I69" s="706" t="n"/>
      <c r="J69" s="706" t="n"/>
      <c r="K69" s="706" t="n"/>
      <c r="L69" s="706" t="n"/>
      <c r="M69" s="706" t="n"/>
      <c r="N69" s="706" t="n"/>
      <c r="O69" s="706" t="n"/>
      <c r="P69" s="706" t="n"/>
      <c r="Q69" s="706" t="n"/>
      <c r="R69" s="706" t="n"/>
      <c r="S69" s="707" t="n"/>
      <c r="T69" s="11" t="n"/>
    </row>
    <row r="70" ht="15.75" customHeight="1" s="684">
      <c r="A70" s="10" t="n"/>
      <c r="B70" s="742" t="n"/>
      <c r="C70" s="743" t="n"/>
      <c r="D70" s="743" t="n"/>
      <c r="E70" s="743" t="n"/>
      <c r="F70" s="743" t="n"/>
      <c r="G70" s="743" t="n"/>
      <c r="H70" s="743" t="n"/>
      <c r="I70" s="743" t="n"/>
      <c r="J70" s="743" t="n"/>
      <c r="K70" s="743" t="n"/>
      <c r="L70" s="743" t="n"/>
      <c r="M70" s="743" t="n"/>
      <c r="N70" s="743" t="n"/>
      <c r="O70" s="743" t="n"/>
      <c r="P70" s="743" t="n"/>
      <c r="Q70" s="743" t="n"/>
      <c r="R70" s="743" t="n"/>
      <c r="S70" s="744" t="n"/>
      <c r="T70" s="11" t="n"/>
    </row>
    <row r="71" ht="15.75" customHeight="1" s="684">
      <c r="A71" s="10" t="n"/>
      <c r="B71" s="742" t="n"/>
      <c r="C71" s="743" t="n"/>
      <c r="D71" s="743" t="n"/>
      <c r="E71" s="743" t="n"/>
      <c r="F71" s="743" t="n"/>
      <c r="G71" s="743" t="n"/>
      <c r="H71" s="743" t="n"/>
      <c r="I71" s="743" t="n"/>
      <c r="J71" s="743" t="n"/>
      <c r="K71" s="743" t="n"/>
      <c r="L71" s="743" t="n"/>
      <c r="M71" s="743" t="n"/>
      <c r="N71" s="743" t="n"/>
      <c r="O71" s="743" t="n"/>
      <c r="P71" s="743" t="n"/>
      <c r="Q71" s="743" t="n"/>
      <c r="R71" s="743" t="n"/>
      <c r="S71" s="744" t="n"/>
      <c r="T71" s="11" t="n"/>
    </row>
    <row r="72" ht="15.75" customHeight="1" s="684">
      <c r="A72" s="10" t="n"/>
      <c r="B72" s="239" t="n"/>
      <c r="C72" s="240" t="n"/>
      <c r="D72" s="240" t="n"/>
      <c r="E72" s="240" t="n"/>
      <c r="F72" s="240" t="n"/>
      <c r="G72" s="240" t="n"/>
      <c r="H72" s="240" t="n"/>
      <c r="I72" s="240" t="n"/>
      <c r="J72" s="240" t="n"/>
      <c r="K72" s="240" t="n"/>
      <c r="L72" s="240" t="n"/>
      <c r="M72" s="240" t="n"/>
      <c r="N72" s="240" t="n"/>
      <c r="O72" s="240" t="n"/>
      <c r="P72" s="240" t="n"/>
      <c r="Q72" s="240" t="n"/>
      <c r="R72" s="240" t="n"/>
      <c r="S72" s="241" t="n"/>
      <c r="T72" s="11" t="n"/>
    </row>
    <row r="73" ht="4.5" customHeight="1" s="684">
      <c r="A73" s="10" t="n"/>
      <c r="B73" s="745" t="n"/>
      <c r="C73" s="135" t="n"/>
      <c r="D73" s="135" t="n"/>
      <c r="E73" s="135" t="n"/>
      <c r="F73" s="135" t="n"/>
      <c r="G73" s="135" t="n"/>
      <c r="H73" s="135" t="n"/>
      <c r="I73" s="135" t="n"/>
      <c r="J73" s="135" t="n"/>
      <c r="K73" s="135" t="n"/>
      <c r="L73" s="135" t="n"/>
      <c r="M73" s="135" t="n"/>
      <c r="N73" s="135" t="n"/>
      <c r="O73" s="135" t="n"/>
      <c r="P73" s="135" t="n"/>
      <c r="Q73" s="135" t="n"/>
      <c r="R73" s="135" t="n"/>
      <c r="S73" s="345" t="n"/>
      <c r="T73" s="11" t="n"/>
    </row>
    <row r="74" ht="13.5" customHeight="1" s="684">
      <c r="A74" s="10" t="n"/>
      <c r="B74" s="392" t="inlineStr">
        <is>
          <t>Rapor Tarihi</t>
        </is>
      </c>
      <c r="C74" s="70" t="n"/>
      <c r="D74" s="70" t="n"/>
      <c r="E74" s="291" t="inlineStr">
        <is>
          <t>:</t>
        </is>
      </c>
      <c r="F74" s="395">
        <f>'ANA SAYFA'!F72</f>
        <v/>
      </c>
      <c r="G74" s="70" t="n"/>
      <c r="H74" s="70" t="n"/>
      <c r="I74" s="70" t="n"/>
      <c r="J74" s="343" t="n"/>
      <c r="K74" s="541" t="inlineStr">
        <is>
          <t>ONAYLAYAN</t>
        </is>
      </c>
      <c r="L74" s="125" t="n"/>
      <c r="M74" s="125" t="n"/>
      <c r="N74" s="125" t="n"/>
      <c r="O74" s="125" t="n"/>
      <c r="P74" s="125" t="n"/>
      <c r="Q74" s="125" t="n"/>
      <c r="R74" s="125" t="n"/>
      <c r="S74" s="231" t="n"/>
      <c r="T74" s="11" t="n"/>
    </row>
    <row r="75" ht="13.5" customHeight="1" s="684">
      <c r="A75" s="10" t="n"/>
      <c r="B75" s="459" t="inlineStr">
        <is>
          <t>Test Tarihi</t>
        </is>
      </c>
      <c r="E75" s="291" t="inlineStr">
        <is>
          <t>:</t>
        </is>
      </c>
      <c r="F75" s="714">
        <f>'ANA SAYFA'!F73</f>
        <v/>
      </c>
      <c r="J75" s="344" t="n"/>
      <c r="K75" s="292" t="n"/>
      <c r="L75" s="293" t="n"/>
      <c r="M75" s="291" t="n"/>
      <c r="N75" s="715" t="n"/>
      <c r="O75" s="715" t="n"/>
      <c r="P75" s="715" t="n"/>
      <c r="Q75" s="715" t="n"/>
      <c r="R75" s="715" t="n"/>
      <c r="S75" s="716" t="n"/>
      <c r="T75" s="11" t="n"/>
    </row>
    <row r="76" ht="13.5" customHeight="1" s="684">
      <c r="A76" s="10" t="n"/>
      <c r="B76" s="459" t="inlineStr">
        <is>
          <t>Unvan</t>
        </is>
      </c>
      <c r="E76" s="291" t="inlineStr">
        <is>
          <t>:</t>
        </is>
      </c>
      <c r="F76" s="746" t="inlineStr">
        <is>
          <t>Elektrik Mühendisi</t>
        </is>
      </c>
      <c r="J76" s="344" t="n"/>
      <c r="K76" s="292" t="n"/>
      <c r="L76" s="293" t="n"/>
      <c r="M76" s="291" t="n"/>
      <c r="N76" s="291" t="n"/>
      <c r="O76" s="291" t="n"/>
      <c r="P76" s="291" t="n"/>
      <c r="Q76" s="291" t="n"/>
      <c r="R76" s="291" t="n"/>
      <c r="S76" s="301" t="n"/>
      <c r="T76" s="11" t="n"/>
    </row>
    <row r="77" ht="13.5" customHeight="1" s="684">
      <c r="A77" s="10" t="n"/>
      <c r="B77" s="459" t="inlineStr">
        <is>
          <t>Sicil No</t>
        </is>
      </c>
      <c r="E77" s="291" t="inlineStr">
        <is>
          <t>:</t>
        </is>
      </c>
      <c r="F77" s="466" t="n">
        <v>88258</v>
      </c>
      <c r="J77" s="344" t="n"/>
      <c r="K77" s="459" t="n"/>
      <c r="L77" s="435" t="n"/>
      <c r="M77" s="291" t="n"/>
      <c r="N77" s="465" t="n"/>
      <c r="O77" s="465" t="n"/>
      <c r="P77" s="465" t="n"/>
      <c r="Q77" s="465" t="n"/>
      <c r="R77" s="465" t="n"/>
      <c r="S77" s="466" t="n"/>
      <c r="T77" s="11" t="n"/>
    </row>
    <row r="78" ht="13.5" customHeight="1" s="684">
      <c r="A78" s="10" t="n"/>
      <c r="B78" s="467" t="inlineStr">
        <is>
          <t>Ekipnet No</t>
        </is>
      </c>
      <c r="C78" s="135" t="n"/>
      <c r="D78" s="135" t="n"/>
      <c r="E78" s="296" t="inlineStr">
        <is>
          <t>:</t>
        </is>
      </c>
      <c r="F78" s="747" t="inlineStr">
        <is>
          <t>K202439698</t>
        </is>
      </c>
      <c r="G78" s="135" t="n"/>
      <c r="H78" s="135" t="n"/>
      <c r="I78" s="135" t="n"/>
      <c r="J78" s="345" t="n"/>
      <c r="K78" s="467" t="n"/>
      <c r="L78" s="468" t="n"/>
      <c r="M78" s="296" t="n"/>
      <c r="N78" s="457" t="n"/>
      <c r="O78" s="457" t="n"/>
      <c r="P78" s="457" t="n"/>
      <c r="Q78" s="457" t="n"/>
      <c r="R78" s="457" t="n"/>
      <c r="S78" s="458" t="n"/>
      <c r="T78" s="11" t="n"/>
    </row>
    <row r="79" ht="6" customHeight="1" s="684"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42">
        <f>C61-C63</f>
        <v/>
      </c>
      <c r="X80" s="243">
        <f>J61-J63</f>
        <v/>
      </c>
    </row>
    <row r="81">
      <c r="V81" s="242">
        <f>C61-C65</f>
        <v/>
      </c>
      <c r="X81" s="243">
        <f>J61-J65</f>
        <v/>
      </c>
    </row>
    <row r="82">
      <c r="V82" s="242">
        <f>C63-C65</f>
        <v/>
      </c>
      <c r="X82" s="243">
        <f>J63-J65</f>
        <v/>
      </c>
    </row>
    <row r="83">
      <c r="V83" s="242">
        <f>C63-C61</f>
        <v/>
      </c>
      <c r="X83" s="243">
        <f>J63-J61</f>
        <v/>
      </c>
    </row>
    <row r="84">
      <c r="V84" s="242">
        <f>C65-C61</f>
        <v/>
      </c>
      <c r="X84" s="243">
        <f>J65-J61</f>
        <v/>
      </c>
    </row>
    <row r="85">
      <c r="V85" s="242">
        <f>C65-C63</f>
        <v/>
      </c>
      <c r="X85" s="243">
        <f>J65-J63</f>
        <v/>
      </c>
      <c r="AA85" s="243"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conditionalFormatting sqref="R39:S39">
    <cfRule type="iconSet" priority="7">
      <iconSet iconSet="3Symbols2" showValue="0">
        <cfvo type="percent" val="0"/>
        <cfvo type="num" val="1"/>
        <cfvo type="num" val="1"/>
      </iconSet>
    </cfRule>
  </conditionalFormatting>
  <conditionalFormatting sqref="R41:S41 R43:S43">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F54"/>
  <sheetViews>
    <sheetView topLeftCell="A33" zoomScaleNormal="100" workbookViewId="0">
      <selection activeCell="N52" sqref="N52"/>
    </sheetView>
  </sheetViews>
  <sheetFormatPr baseColWidth="8" defaultRowHeight="15"/>
  <cols>
    <col width="3.5703125" customWidth="1" style="684" min="1" max="1"/>
    <col width="5.42578125" customWidth="1" style="684" min="2" max="15"/>
    <col width="4.85546875" customWidth="1" style="684" min="16" max="16"/>
    <col width="4.5703125" customWidth="1" style="684" min="17"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658" t="inlineStr">
        <is>
          <t xml:space="preserve">  ŞALT SAHASI          </t>
        </is>
      </c>
      <c r="H2" s="70" t="n"/>
      <c r="I2" s="70" t="n"/>
      <c r="J2" s="275" t="inlineStr">
        <is>
          <t>:</t>
        </is>
      </c>
      <c r="K2" s="448">
        <f>'ANA SAYFA KESİCİ'!K2</f>
        <v/>
      </c>
      <c r="L2" s="70" t="n"/>
      <c r="M2" s="70" t="n"/>
      <c r="N2" s="70" t="n"/>
      <c r="O2" s="70" t="n"/>
      <c r="P2" s="70" t="n"/>
      <c r="Q2" s="343" t="n"/>
      <c r="R2" s="11" t="n"/>
    </row>
    <row r="3" ht="29.25" customHeight="1" s="684">
      <c r="A3" s="10" t="n"/>
      <c r="B3" s="62" t="n"/>
      <c r="C3" s="135" t="n"/>
      <c r="D3" s="135" t="n"/>
      <c r="E3" s="135" t="n"/>
      <c r="F3" s="345" t="n"/>
      <c r="G3" s="659" t="inlineStr">
        <is>
          <t xml:space="preserve">  LOKASYON</t>
        </is>
      </c>
      <c r="H3" s="135" t="n"/>
      <c r="I3" s="135" t="n"/>
      <c r="J3" s="660" t="inlineStr">
        <is>
          <t>:</t>
        </is>
      </c>
      <c r="K3" s="489">
        <f>'ANA SAYFA KESİCİ'!K5</f>
        <v/>
      </c>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KESİCİ İZOLASYON DİRENCİ TEST SONUÇLARI</t>
        </is>
      </c>
      <c r="C5" s="125" t="n"/>
      <c r="D5" s="125" t="n"/>
      <c r="E5" s="125" t="n"/>
      <c r="F5" s="125" t="n"/>
      <c r="G5" s="125" t="n"/>
      <c r="H5" s="125" t="n"/>
      <c r="I5" s="125" t="n"/>
      <c r="J5" s="125" t="n"/>
      <c r="K5" s="125" t="n"/>
      <c r="L5" s="125" t="n"/>
      <c r="M5" s="125" t="n"/>
      <c r="N5" s="125" t="n"/>
      <c r="O5" s="125" t="n"/>
      <c r="P5" s="125" t="n"/>
      <c r="Q5" s="231"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6.75" customHeight="1" s="684">
      <c r="A7" s="10" t="n"/>
      <c r="B7" s="3" t="n"/>
      <c r="C7" s="264" t="n"/>
      <c r="D7" s="264" t="n"/>
      <c r="E7" s="264" t="n"/>
      <c r="F7" s="264" t="n"/>
      <c r="G7" s="264" t="n"/>
      <c r="H7" s="264" t="n"/>
      <c r="I7" s="264" t="n"/>
      <c r="J7" s="264" t="n"/>
      <c r="K7" s="264" t="n"/>
      <c r="L7" s="264" t="n"/>
      <c r="M7" s="264" t="n"/>
      <c r="N7" s="264" t="n"/>
      <c r="O7" s="264" t="n"/>
      <c r="P7" s="264" t="n"/>
      <c r="Q7" s="187" t="n"/>
      <c r="R7" s="11" t="n"/>
    </row>
    <row r="8" ht="18.75" customHeight="1" s="684">
      <c r="A8" s="10" t="n"/>
      <c r="B8" s="469" t="inlineStr">
        <is>
          <t>OTURUM TARİHİ :</t>
        </is>
      </c>
      <c r="C8" s="125" t="n"/>
      <c r="D8" s="125" t="n"/>
      <c r="E8" s="125" t="n"/>
      <c r="F8" s="125" t="n"/>
      <c r="G8" s="125" t="n"/>
      <c r="H8" s="125" t="n"/>
      <c r="I8" s="125" t="n"/>
      <c r="J8" s="717">
        <f>'ANA SAYFA KESİCİ'!F74</f>
        <v/>
      </c>
      <c r="K8" s="125" t="n"/>
      <c r="L8" s="125" t="n"/>
      <c r="M8" s="125" t="n"/>
      <c r="N8" s="125" t="n"/>
      <c r="O8" s="125" t="n"/>
      <c r="P8" s="125" t="n"/>
      <c r="Q8" s="231" t="n"/>
      <c r="R8" s="11" t="n"/>
    </row>
    <row r="9" ht="6.75" customHeight="1" s="684">
      <c r="A9" s="10" t="n"/>
      <c r="B9" s="3" t="n"/>
      <c r="C9" s="264" t="n"/>
      <c r="D9" s="264" t="n"/>
      <c r="E9" s="264" t="n"/>
      <c r="F9" s="264" t="n"/>
      <c r="G9" s="264" t="n"/>
      <c r="H9" s="264" t="n"/>
      <c r="I9" s="264" t="n"/>
      <c r="J9" s="264" t="n"/>
      <c r="K9" s="264" t="n"/>
      <c r="L9" s="264" t="n"/>
      <c r="M9" s="264" t="n"/>
      <c r="N9" s="264" t="n"/>
      <c r="O9" s="264" t="n"/>
      <c r="P9" s="264" t="n"/>
      <c r="Q9" s="187" t="n"/>
      <c r="R9" s="11" t="n"/>
    </row>
    <row r="10">
      <c r="A10" s="10" t="n"/>
      <c r="B10" s="525" t="inlineStr">
        <is>
          <t>Operatör :</t>
        </is>
      </c>
      <c r="C10" s="231" t="n"/>
      <c r="D10" s="526" t="inlineStr">
        <is>
          <t>Ahmet YILMAZ</t>
        </is>
      </c>
      <c r="E10" s="125" t="n"/>
      <c r="F10" s="125" t="n"/>
      <c r="G10" s="231" t="n"/>
      <c r="H10" s="525" t="inlineStr">
        <is>
          <t>Cihaz :</t>
        </is>
      </c>
      <c r="I10" s="231" t="n"/>
      <c r="J10" s="504" t="inlineStr">
        <is>
          <t>STS 5000</t>
        </is>
      </c>
      <c r="K10" s="125" t="n"/>
      <c r="L10" s="231" t="n"/>
      <c r="M10" s="504" t="inlineStr">
        <is>
          <t>Cihaz S/N :</t>
        </is>
      </c>
      <c r="N10" s="231" t="n"/>
      <c r="O10" s="504" t="inlineStr">
        <is>
          <t>SN-19B20</t>
        </is>
      </c>
      <c r="P10" s="125" t="n"/>
      <c r="Q10" s="231" t="n"/>
      <c r="R10" s="11" t="n"/>
      <c r="U10" t="inlineStr">
        <is>
          <t>r1</t>
        </is>
      </c>
      <c r="V10" t="n">
        <v>250</v>
      </c>
      <c r="W10" t="n">
        <v>200</v>
      </c>
      <c r="X10" t="n">
        <v>150</v>
      </c>
      <c r="Y10" t="n">
        <v>100</v>
      </c>
      <c r="Z10" t="n">
        <v>50</v>
      </c>
    </row>
    <row r="11" ht="7.5" customHeight="1" s="684">
      <c r="A11" s="10" t="n"/>
      <c r="B11" s="3" t="n"/>
      <c r="C11" s="264" t="n"/>
      <c r="D11" s="264" t="n"/>
      <c r="E11" s="264" t="n"/>
      <c r="F11" s="264" t="n"/>
      <c r="G11" s="264" t="n"/>
      <c r="H11" s="264" t="n"/>
      <c r="I11" s="264" t="n"/>
      <c r="J11" s="264" t="n"/>
      <c r="K11" s="264" t="n"/>
      <c r="L11" s="264" t="n"/>
      <c r="M11" s="264" t="n"/>
      <c r="N11" s="264" t="n"/>
      <c r="O11" s="264" t="n"/>
      <c r="P11" s="264" t="n"/>
      <c r="Q11" s="187" t="n"/>
      <c r="R11" s="11" t="n"/>
    </row>
    <row r="12" ht="18.75" customHeight="1" s="684">
      <c r="A12" s="10" t="n"/>
      <c r="B12" s="524" t="inlineStr">
        <is>
          <t>Sonuçlar</t>
        </is>
      </c>
      <c r="C12" s="125" t="n"/>
      <c r="D12" s="125" t="n"/>
      <c r="E12" s="125" t="n"/>
      <c r="F12" s="125" t="n"/>
      <c r="G12" s="125" t="n"/>
      <c r="H12" s="125" t="n"/>
      <c r="I12" s="125" t="n"/>
      <c r="J12" s="125" t="n"/>
      <c r="K12" s="125" t="n"/>
      <c r="L12" s="125" t="n"/>
      <c r="M12" s="125" t="n"/>
      <c r="N12" s="125" t="n"/>
      <c r="O12" s="125" t="n"/>
      <c r="P12" s="125" t="n"/>
      <c r="Q12" s="231" t="n"/>
      <c r="R12" s="11" t="n"/>
    </row>
    <row r="13" ht="7.5" customHeight="1" s="684">
      <c r="A13" s="10" t="n"/>
      <c r="B13" s="3" t="n"/>
      <c r="C13" s="264" t="n"/>
      <c r="D13" s="264" t="n"/>
      <c r="E13" s="264" t="n"/>
      <c r="F13" s="264" t="n"/>
      <c r="G13" s="264" t="n"/>
      <c r="H13" s="264" t="n"/>
      <c r="I13" s="264" t="n"/>
      <c r="J13" s="264" t="n"/>
      <c r="K13" s="264" t="n"/>
      <c r="L13" s="264" t="n"/>
      <c r="M13" s="264" t="n"/>
      <c r="N13" s="264" t="n"/>
      <c r="O13" s="264" t="n"/>
      <c r="P13" s="264" t="n"/>
      <c r="Q13" s="187" t="n"/>
      <c r="R13" s="11" t="n"/>
    </row>
    <row r="14" ht="18.75" customHeight="1" s="684">
      <c r="A14" s="10" t="n"/>
      <c r="B14" s="705" t="inlineStr">
        <is>
          <t>KESİCİ İZOLASYON</t>
        </is>
      </c>
      <c r="C14" s="125" t="n"/>
      <c r="D14" s="125" t="n"/>
      <c r="E14" s="125" t="n"/>
      <c r="F14" s="125" t="n"/>
      <c r="G14" s="125" t="n"/>
      <c r="H14" s="125" t="n"/>
      <c r="I14" s="125" t="n"/>
      <c r="J14" s="125" t="n"/>
      <c r="K14" s="125" t="n"/>
      <c r="L14" s="125" t="n"/>
      <c r="M14" s="125" t="n"/>
      <c r="N14" s="125" t="n"/>
      <c r="O14" s="125" t="n"/>
      <c r="P14" s="125" t="n"/>
      <c r="Q14" s="231" t="n"/>
      <c r="R14" s="11" t="n"/>
    </row>
    <row r="15" ht="5.25" customHeight="1" s="684">
      <c r="A15" s="10" t="n"/>
      <c r="B15" s="3" t="n"/>
      <c r="C15" s="264" t="n"/>
      <c r="D15" s="264" t="n"/>
      <c r="E15" s="264" t="n"/>
      <c r="F15" s="264" t="n"/>
      <c r="G15" s="264" t="n"/>
      <c r="H15" s="264" t="n"/>
      <c r="I15" s="264" t="n"/>
      <c r="J15" s="264" t="n"/>
      <c r="K15" s="264" t="n"/>
      <c r="L15" s="264" t="n"/>
      <c r="M15" s="264" t="n"/>
      <c r="N15" s="264" t="n"/>
      <c r="O15" s="264" t="n"/>
      <c r="P15" s="264" t="n"/>
      <c r="Q15" s="187" t="n"/>
      <c r="R15" s="11" t="n"/>
    </row>
    <row r="16">
      <c r="A16" s="10" t="n"/>
      <c r="B16" s="397" t="inlineStr">
        <is>
          <t>R min.</t>
        </is>
      </c>
      <c r="C16" s="125" t="n"/>
      <c r="D16" s="398" t="n">
        <v>50</v>
      </c>
      <c r="E16" s="125" t="n"/>
      <c r="F16" s="399" t="inlineStr">
        <is>
          <t>GΩ</t>
        </is>
      </c>
      <c r="G16" s="231" t="n"/>
      <c r="H16" s="541" t="inlineStr">
        <is>
          <t>Test Gerilimi</t>
        </is>
      </c>
      <c r="I16" s="125" t="n"/>
      <c r="J16" s="231" t="n"/>
      <c r="K16" s="541" t="inlineStr">
        <is>
          <t>Test Akımı</t>
        </is>
      </c>
      <c r="L16" s="125" t="n"/>
      <c r="M16" s="231" t="n"/>
      <c r="N16" s="541" t="inlineStr">
        <is>
          <t>Sonuç</t>
        </is>
      </c>
      <c r="O16" s="125" t="n"/>
      <c r="P16" s="125" t="n"/>
      <c r="Q16" s="231" t="n"/>
      <c r="R16" s="11" t="n"/>
    </row>
    <row r="17">
      <c r="A17" s="10" t="n"/>
      <c r="B17" s="730" t="inlineStr">
        <is>
          <t>L-1</t>
        </is>
      </c>
      <c r="C17" s="231" t="n"/>
      <c r="D17" s="582">
        <f>'ANA SAYFA KESİCİ'!G50</f>
        <v/>
      </c>
      <c r="E17" s="231" t="n"/>
      <c r="F17" s="731" t="inlineStr">
        <is>
          <t>GΩ</t>
        </is>
      </c>
      <c r="G17" s="231" t="n"/>
      <c r="H17" s="481" t="n">
        <v>10000</v>
      </c>
      <c r="I17" s="125" t="n"/>
      <c r="J17" s="27" t="inlineStr">
        <is>
          <t>VDC</t>
        </is>
      </c>
      <c r="K17" s="506">
        <f>H17/D17</f>
        <v/>
      </c>
      <c r="L17" s="125" t="n"/>
      <c r="M17" s="27" t="inlineStr">
        <is>
          <t>nA</t>
        </is>
      </c>
      <c r="N17" s="473">
        <f>IF(D17&gt;D16,1,0)</f>
        <v/>
      </c>
      <c r="O17" s="483">
        <f>IF(D17&gt;D16,"UYGUN","UYGUN DEĞİL")</f>
        <v/>
      </c>
      <c r="P17" s="125" t="n"/>
      <c r="Q17" s="231" t="n"/>
      <c r="R17" s="11" t="n"/>
    </row>
    <row r="18">
      <c r="A18" s="10" t="n"/>
      <c r="B18" s="730" t="inlineStr">
        <is>
          <t>L-2</t>
        </is>
      </c>
      <c r="C18" s="231" t="n"/>
      <c r="D18" s="582">
        <f>'ANA SAYFA KESİCİ'!G52</f>
        <v/>
      </c>
      <c r="E18" s="231" t="n"/>
      <c r="F18" s="730" t="inlineStr">
        <is>
          <t>GΩ</t>
        </is>
      </c>
      <c r="G18" s="231" t="n"/>
      <c r="H18" s="481" t="n">
        <v>10000</v>
      </c>
      <c r="I18" s="125" t="n"/>
      <c r="J18" s="27" t="inlineStr">
        <is>
          <t>VDC</t>
        </is>
      </c>
      <c r="K18" s="506">
        <f>H18/D18</f>
        <v/>
      </c>
      <c r="L18" s="125" t="n"/>
      <c r="M18" s="27" t="inlineStr">
        <is>
          <t>nA</t>
        </is>
      </c>
      <c r="N18" s="473">
        <f>IF(D18&gt;D16,1,0)</f>
        <v/>
      </c>
      <c r="O18" s="483">
        <f>IF(D18&gt;D16,"UYGUN","UYGUN DEĞİL")</f>
        <v/>
      </c>
      <c r="P18" s="125" t="n"/>
      <c r="Q18" s="231" t="n"/>
      <c r="R18" s="11" t="n"/>
    </row>
    <row r="19">
      <c r="A19" s="10" t="n"/>
      <c r="B19" s="730" t="inlineStr">
        <is>
          <t>L-3</t>
        </is>
      </c>
      <c r="C19" s="231" t="n"/>
      <c r="D19" s="582">
        <f>'ANA SAYFA KESİCİ'!G54</f>
        <v/>
      </c>
      <c r="E19" s="231" t="n"/>
      <c r="F19" s="730" t="inlineStr">
        <is>
          <t>GΩ</t>
        </is>
      </c>
      <c r="G19" s="231" t="n"/>
      <c r="H19" s="481" t="n">
        <v>10000</v>
      </c>
      <c r="I19" s="125" t="n"/>
      <c r="J19" s="27" t="inlineStr">
        <is>
          <t>VDC</t>
        </is>
      </c>
      <c r="K19" s="506">
        <f>H19/D19</f>
        <v/>
      </c>
      <c r="L19" s="125" t="n"/>
      <c r="M19" s="27" t="inlineStr">
        <is>
          <t>nA</t>
        </is>
      </c>
      <c r="N19" s="473">
        <f>IF(D19&gt;D16,1,0)</f>
        <v/>
      </c>
      <c r="O19" s="483">
        <f>IF(D19&gt;D16,"UYGUN","UYGUN DEĞİL")</f>
        <v/>
      </c>
      <c r="P19" s="125" t="n"/>
      <c r="Q19" s="231" t="n"/>
      <c r="R19" s="11" t="n"/>
    </row>
    <row r="20">
      <c r="A20" s="35" t="n"/>
      <c r="Q20" s="343" t="n"/>
      <c r="R20" s="11" t="n"/>
      <c r="X20">
        <f>N17+N18+N19</f>
        <v/>
      </c>
    </row>
    <row r="21">
      <c r="A21" s="35" t="n"/>
      <c r="Q21" s="344" t="n"/>
      <c r="R21" s="11" t="n"/>
    </row>
    <row r="22">
      <c r="A22" s="35" t="n"/>
      <c r="Q22" s="344" t="n"/>
      <c r="R22" s="11" t="n"/>
    </row>
    <row r="23">
      <c r="A23" s="35" t="n"/>
      <c r="Q23" s="344" t="n"/>
      <c r="R23" s="11" t="n"/>
    </row>
    <row r="24">
      <c r="A24" s="35" t="n"/>
      <c r="Q24" s="344" t="n"/>
      <c r="R24" s="11" t="n"/>
      <c r="X24">
        <f>(N32+N33+N34+N35+N36)/5</f>
        <v/>
      </c>
    </row>
    <row r="25">
      <c r="A25" s="35" t="n"/>
      <c r="Q25" s="344" t="n"/>
      <c r="R25" s="11" t="n"/>
    </row>
    <row r="26">
      <c r="A26" s="35" t="n"/>
      <c r="Q26" s="344" t="n"/>
      <c r="R26" s="11" t="n"/>
    </row>
    <row r="27">
      <c r="A27" s="35" t="n"/>
      <c r="Q27" s="344" t="n"/>
      <c r="R27" s="11" t="n"/>
      <c r="X27" s="652" t="inlineStr">
        <is>
          <t>Yapılan ölçümlerde kesicinin İzolasyon değerleri uygundur.</t>
        </is>
      </c>
    </row>
    <row r="28">
      <c r="A28" s="35" t="n"/>
      <c r="Q28" s="345" t="n"/>
      <c r="R28" s="11" t="n"/>
      <c r="X28" s="652" t="inlineStr">
        <is>
          <t>Yapılan ölçümlerde kesicinin İzolasyon değerleri uygun değildir.</t>
        </is>
      </c>
    </row>
    <row r="29" ht="18.75" customHeight="1" s="684">
      <c r="A29" s="35" t="n"/>
      <c r="B29" s="705" t="inlineStr">
        <is>
          <t>BASAMAK VOLTAJ TESTİ</t>
        </is>
      </c>
      <c r="C29" s="125" t="n"/>
      <c r="D29" s="125" t="n"/>
      <c r="E29" s="125" t="n"/>
      <c r="F29" s="125" t="n"/>
      <c r="G29" s="125" t="n"/>
      <c r="H29" s="125" t="n"/>
      <c r="I29" s="125" t="n"/>
      <c r="J29" s="125" t="n"/>
      <c r="K29" s="125" t="n"/>
      <c r="L29" s="125" t="n"/>
      <c r="M29" s="125" t="n"/>
      <c r="N29" s="125" t="n"/>
      <c r="O29" s="125" t="n"/>
      <c r="P29" s="125" t="n"/>
      <c r="Q29" s="231" t="n"/>
      <c r="R29" s="11" t="n"/>
    </row>
    <row r="30" ht="5.25" customHeight="1" s="684">
      <c r="A30" s="35" t="n"/>
      <c r="B30" s="171" t="n"/>
      <c r="C30" s="544" t="n"/>
      <c r="E30" s="544" t="n"/>
      <c r="G30" s="560" t="n"/>
      <c r="I30" s="544" t="n"/>
      <c r="K30" s="560" t="n"/>
      <c r="M30" s="560" t="n"/>
      <c r="O30" s="560" t="n"/>
      <c r="Q30" s="702" t="n"/>
      <c r="R30" s="11" t="n"/>
    </row>
    <row r="31">
      <c r="A31" s="35" t="n"/>
      <c r="B31" s="245" t="n"/>
      <c r="C31" s="246" t="n"/>
      <c r="D31" s="748" t="inlineStr">
        <is>
          <t>L-1</t>
        </is>
      </c>
      <c r="E31" s="231" t="n"/>
      <c r="F31" s="748" t="inlineStr">
        <is>
          <t>L-2</t>
        </is>
      </c>
      <c r="G31" s="231" t="n"/>
      <c r="H31" s="748" t="inlineStr">
        <is>
          <t>L-3</t>
        </is>
      </c>
      <c r="I31" s="231" t="n"/>
      <c r="J31" s="261" t="n"/>
      <c r="K31" s="541" t="inlineStr">
        <is>
          <t>Basamak Gerilimi</t>
        </is>
      </c>
      <c r="L31" s="125" t="n"/>
      <c r="M31" s="231" t="n"/>
      <c r="N31" s="541" t="inlineStr">
        <is>
          <t>Sonuç</t>
        </is>
      </c>
      <c r="O31" s="125" t="n"/>
      <c r="P31" s="125" t="n"/>
      <c r="Q31" s="231" t="n"/>
      <c r="R31" s="11" t="n"/>
    </row>
    <row r="32" ht="13.5" customHeight="1" s="684">
      <c r="A32" s="10" t="n"/>
      <c r="B32" s="730" t="inlineStr">
        <is>
          <t>R1</t>
        </is>
      </c>
      <c r="C32" s="231" t="n"/>
      <c r="D32" s="582">
        <f>'ANA SAYFA KESİCİ'!C39</f>
        <v/>
      </c>
      <c r="E32" s="231" t="n"/>
      <c r="F32" s="582">
        <f>'ANA SAYFA KESİCİ'!C41</f>
        <v/>
      </c>
      <c r="G32" s="231" t="n"/>
      <c r="H32" s="582">
        <f>'ANA SAYFA KESİCİ'!C43</f>
        <v/>
      </c>
      <c r="I32" s="231" t="n"/>
      <c r="J32" s="27" t="inlineStr">
        <is>
          <t>GΩ</t>
        </is>
      </c>
      <c r="K32" s="481" t="n">
        <v>1.04</v>
      </c>
      <c r="L32" s="125" t="n"/>
      <c r="M32" s="248" t="inlineStr">
        <is>
          <t>kV</t>
        </is>
      </c>
      <c r="N32" s="473">
        <f>IF(D32&gt;50,1,0)</f>
        <v/>
      </c>
      <c r="O32" s="483">
        <f>IF(D32&gt;50,"UYGUN","UYGUN DEĞİL")</f>
        <v/>
      </c>
      <c r="P32" s="125" t="n"/>
      <c r="Q32" s="231" t="n"/>
      <c r="R32" s="11" t="n"/>
    </row>
    <row r="33" ht="13.5" customHeight="1" s="684">
      <c r="A33" s="10" t="n"/>
      <c r="B33" s="730" t="inlineStr">
        <is>
          <t>R2</t>
        </is>
      </c>
      <c r="C33" s="231" t="n"/>
      <c r="D33" s="582">
        <f>'ANA SAYFA KESİCİ'!F39</f>
        <v/>
      </c>
      <c r="E33" s="231" t="n"/>
      <c r="F33" s="582">
        <f>'ANA SAYFA KESİCİ'!F41</f>
        <v/>
      </c>
      <c r="G33" s="231" t="n"/>
      <c r="H33" s="582">
        <f>'ANA SAYFA KESİCİ'!F43</f>
        <v/>
      </c>
      <c r="I33" s="231" t="n"/>
      <c r="J33" s="27" t="inlineStr">
        <is>
          <t>GΩ</t>
        </is>
      </c>
      <c r="K33" s="481" t="n">
        <v>2.04</v>
      </c>
      <c r="L33" s="125" t="n"/>
      <c r="M33" s="248" t="inlineStr">
        <is>
          <t>kV</t>
        </is>
      </c>
      <c r="N33" s="473">
        <f>IF(D33&gt;50,1,0)</f>
        <v/>
      </c>
      <c r="O33" s="483">
        <f>IF(D33&gt;50,"UYGUN","UYGUN DEĞİL")</f>
        <v/>
      </c>
      <c r="P33" s="125" t="n"/>
      <c r="Q33" s="231" t="n"/>
      <c r="R33" s="11" t="n"/>
    </row>
    <row r="34" ht="13.5" customHeight="1" s="684">
      <c r="A34" s="10" t="n"/>
      <c r="B34" s="730" t="inlineStr">
        <is>
          <t>R3</t>
        </is>
      </c>
      <c r="C34" s="231" t="n"/>
      <c r="D34" s="582">
        <f>'ANA SAYFA KESİCİ'!I39</f>
        <v/>
      </c>
      <c r="E34" s="231" t="n"/>
      <c r="F34" s="582">
        <f>'ANA SAYFA KESİCİ'!I41</f>
        <v/>
      </c>
      <c r="G34" s="231" t="n"/>
      <c r="H34" s="582">
        <f>'ANA SAYFA KESİCİ'!I43</f>
        <v/>
      </c>
      <c r="I34" s="231" t="n"/>
      <c r="J34" s="27" t="inlineStr">
        <is>
          <t>GΩ</t>
        </is>
      </c>
      <c r="K34" s="481" t="n">
        <v>3.05</v>
      </c>
      <c r="L34" s="125" t="n"/>
      <c r="M34" s="248" t="inlineStr">
        <is>
          <t>kV</t>
        </is>
      </c>
      <c r="N34" s="473">
        <f>IF(D34&gt;50,1,0)</f>
        <v/>
      </c>
      <c r="O34" s="483">
        <f>IF(D34&gt;50,"UYGUN","UYGUN DEĞİL")</f>
        <v/>
      </c>
      <c r="P34" s="125" t="n"/>
      <c r="Q34" s="231" t="n"/>
      <c r="R34" s="11" t="n"/>
    </row>
    <row r="35" ht="13.5" customHeight="1" s="684">
      <c r="A35" s="10" t="n"/>
      <c r="B35" s="730" t="inlineStr">
        <is>
          <t>R4</t>
        </is>
      </c>
      <c r="C35" s="231" t="n"/>
      <c r="D35" s="582">
        <f>'ANA SAYFA KESİCİ'!L39</f>
        <v/>
      </c>
      <c r="E35" s="231" t="n"/>
      <c r="F35" s="582">
        <f>'ANA SAYFA KESİCİ'!L41</f>
        <v/>
      </c>
      <c r="G35" s="231" t="n"/>
      <c r="H35" s="582">
        <f>'ANA SAYFA KESİCİ'!L43</f>
        <v/>
      </c>
      <c r="I35" s="231" t="n"/>
      <c r="J35" s="27" t="inlineStr">
        <is>
          <t>GΩ</t>
        </is>
      </c>
      <c r="K35" s="481" t="n">
        <v>4.05</v>
      </c>
      <c r="L35" s="125" t="n"/>
      <c r="M35" s="248" t="inlineStr">
        <is>
          <t>kV</t>
        </is>
      </c>
      <c r="N35" s="473">
        <f>IF(D35&gt;50,1,0)</f>
        <v/>
      </c>
      <c r="O35" s="483">
        <f>IF(D35&gt;50,"UYGUN","UYGUN DEĞİL")</f>
        <v/>
      </c>
      <c r="P35" s="125" t="n"/>
      <c r="Q35" s="231" t="n"/>
      <c r="R35" s="11" t="n"/>
    </row>
    <row r="36" ht="13.5" customHeight="1" s="684">
      <c r="A36" s="10" t="n"/>
      <c r="B36" s="730" t="inlineStr">
        <is>
          <t>R5</t>
        </is>
      </c>
      <c r="C36" s="231" t="n"/>
      <c r="D36" s="582">
        <f>'ANA SAYFA KESİCİ'!O39</f>
        <v/>
      </c>
      <c r="E36" s="231" t="n"/>
      <c r="F36" s="582">
        <f>'ANA SAYFA KESİCİ'!O41</f>
        <v/>
      </c>
      <c r="G36" s="231" t="n"/>
      <c r="H36" s="582">
        <f>'ANA SAYFA KESİCİ'!O43</f>
        <v/>
      </c>
      <c r="I36" s="231" t="n"/>
      <c r="J36" s="27" t="inlineStr">
        <is>
          <t>GΩ</t>
        </is>
      </c>
      <c r="K36" s="481" t="n">
        <v>5.09</v>
      </c>
      <c r="L36" s="125" t="n"/>
      <c r="M36" s="248" t="inlineStr">
        <is>
          <t>kV</t>
        </is>
      </c>
      <c r="N36" s="473">
        <f>IF(D36&gt;50,1,0)</f>
        <v/>
      </c>
      <c r="O36" s="483">
        <f>IF(D36&gt;50,"UYGUN","UYGUN DEĞİL")</f>
        <v/>
      </c>
      <c r="P36" s="125" t="n"/>
      <c r="Q36" s="231" t="n"/>
      <c r="R36" s="11" t="n"/>
    </row>
    <row r="37">
      <c r="A37" s="10" t="n"/>
      <c r="B37" s="3" t="n"/>
      <c r="C37" s="418" t="n"/>
      <c r="D37" s="418" t="n"/>
      <c r="E37" s="418" t="n"/>
      <c r="F37" s="418" t="n"/>
      <c r="G37" s="418" t="n"/>
      <c r="H37" s="418" t="n"/>
      <c r="I37" s="418" t="n"/>
      <c r="J37" s="418" t="n"/>
      <c r="K37" s="264" t="n"/>
      <c r="L37" s="418" t="n"/>
      <c r="M37" s="418" t="n"/>
      <c r="N37" s="418" t="n"/>
      <c r="O37" s="418" t="n"/>
      <c r="P37" s="418" t="n"/>
      <c r="Q37" s="702" t="n"/>
      <c r="R37" s="11" t="n"/>
    </row>
    <row r="38">
      <c r="A38" s="10" t="n"/>
      <c r="B38" s="56" t="n"/>
      <c r="C38" s="418" t="n"/>
      <c r="E38" s="418" t="n"/>
      <c r="G38" s="418" t="n"/>
      <c r="I38" s="418" t="n"/>
      <c r="K38" s="264" t="n"/>
      <c r="L38" s="651" t="n"/>
      <c r="N38" s="264" t="n"/>
      <c r="O38" s="651" t="n"/>
      <c r="Q38" s="187" t="n"/>
      <c r="R38" s="11" t="n"/>
    </row>
    <row r="39">
      <c r="A39" s="10" t="n"/>
      <c r="B39" s="56" t="n"/>
      <c r="C39" s="418" t="n"/>
      <c r="D39" s="418" t="n"/>
      <c r="E39" s="418" t="n"/>
      <c r="F39" s="418" t="n"/>
      <c r="G39" s="418" t="n"/>
      <c r="H39" s="418" t="n"/>
      <c r="I39" s="418" t="n"/>
      <c r="J39" s="418" t="n"/>
      <c r="K39" s="264" t="n"/>
      <c r="L39" s="651" t="n"/>
      <c r="M39" s="651" t="n"/>
      <c r="N39" s="264" t="n"/>
      <c r="O39" s="651" t="n"/>
      <c r="P39" s="651" t="n"/>
      <c r="Q39" s="187" t="n"/>
      <c r="R39" s="11" t="n"/>
    </row>
    <row r="40">
      <c r="A40" s="10" t="n"/>
      <c r="B40" s="56" t="n"/>
      <c r="C40" s="418" t="n"/>
      <c r="E40" s="418" t="n"/>
      <c r="G40" s="418" t="n"/>
      <c r="I40" s="418" t="n"/>
      <c r="K40" s="264" t="n"/>
      <c r="L40" s="651" t="n"/>
      <c r="N40" s="264" t="n"/>
      <c r="O40" s="651" t="n"/>
      <c r="Q40" s="187" t="n"/>
      <c r="R40" s="11" t="n"/>
    </row>
    <row r="41">
      <c r="A41" s="10" t="n"/>
      <c r="B41" s="56" t="n"/>
      <c r="C41" s="418" t="n"/>
      <c r="D41" s="418" t="n"/>
      <c r="E41" s="418" t="n"/>
      <c r="F41" s="418" t="n"/>
      <c r="G41" s="418" t="n"/>
      <c r="H41" s="418" t="n"/>
      <c r="I41" s="418" t="n"/>
      <c r="J41" s="418" t="n"/>
      <c r="K41" s="264" t="n"/>
      <c r="L41" s="651" t="n"/>
      <c r="M41" s="651" t="n"/>
      <c r="N41" s="264" t="n"/>
      <c r="O41" s="651" t="n"/>
      <c r="P41" s="651" t="n"/>
      <c r="Q41" s="187" t="n"/>
      <c r="R41" s="11" t="n"/>
    </row>
    <row r="42">
      <c r="A42" s="10" t="n"/>
      <c r="B42" s="56" t="n"/>
      <c r="C42" s="418" t="n"/>
      <c r="D42" s="418" t="n"/>
      <c r="E42" s="418" t="n"/>
      <c r="F42" s="418" t="n"/>
      <c r="G42" s="418" t="n"/>
      <c r="H42" s="418" t="n"/>
      <c r="I42" s="418" t="n"/>
      <c r="J42" s="418" t="n"/>
      <c r="K42" s="264" t="n"/>
      <c r="L42" s="651" t="n"/>
      <c r="M42" s="651" t="n"/>
      <c r="N42" s="264" t="n"/>
      <c r="O42" s="651" t="n"/>
      <c r="P42" s="651" t="n"/>
      <c r="Q42" s="187" t="n"/>
      <c r="R42" s="11" t="n"/>
    </row>
    <row r="43">
      <c r="A43" s="10" t="n"/>
      <c r="B43" s="56" t="n"/>
      <c r="C43" s="418" t="n"/>
      <c r="D43" s="418" t="n"/>
      <c r="E43" s="418" t="n"/>
      <c r="F43" s="418" t="n"/>
      <c r="G43" s="418" t="n"/>
      <c r="H43" s="418" t="n"/>
      <c r="I43" s="418" t="n"/>
      <c r="J43" s="418" t="n"/>
      <c r="K43" s="264" t="n"/>
      <c r="L43" s="651" t="n"/>
      <c r="M43" s="651" t="n"/>
      <c r="N43" s="264" t="n"/>
      <c r="O43" s="651" t="n"/>
      <c r="P43" s="651" t="n"/>
      <c r="Q43" s="187" t="n"/>
      <c r="R43" s="11" t="n"/>
    </row>
    <row r="44">
      <c r="A44" s="10" t="n"/>
      <c r="B44" s="56" t="n"/>
      <c r="C44" s="418" t="n"/>
      <c r="D44" s="418" t="n"/>
      <c r="E44" s="418" t="n"/>
      <c r="F44" s="418" t="n"/>
      <c r="G44" s="418" t="n"/>
      <c r="H44" s="418" t="n"/>
      <c r="I44" s="418" t="n"/>
      <c r="J44" s="418" t="n"/>
      <c r="K44" s="264" t="n"/>
      <c r="L44" s="651" t="n"/>
      <c r="M44" s="651" t="n"/>
      <c r="N44" s="264" t="n"/>
      <c r="O44" s="651" t="n"/>
      <c r="P44" s="651" t="n"/>
      <c r="Q44" s="187" t="n"/>
      <c r="R44" s="11" t="n"/>
    </row>
    <row r="45">
      <c r="A45" s="10" t="n"/>
      <c r="B45" s="56" t="n"/>
      <c r="C45" s="418" t="n"/>
      <c r="D45" s="418" t="n"/>
      <c r="E45" s="418" t="n"/>
      <c r="F45" s="418" t="n"/>
      <c r="G45" s="418" t="n"/>
      <c r="H45" s="418" t="n"/>
      <c r="I45" s="418" t="n"/>
      <c r="J45" s="418" t="n"/>
      <c r="K45" s="264" t="n"/>
      <c r="L45" s="651" t="n"/>
      <c r="M45" s="651" t="n"/>
      <c r="N45" s="264" t="n"/>
      <c r="O45" s="651" t="n"/>
      <c r="P45" s="651" t="n"/>
      <c r="Q45" s="187" t="n"/>
      <c r="R45" s="11" t="n"/>
    </row>
    <row r="46">
      <c r="A46" s="10" t="n"/>
      <c r="B46" s="171" t="n"/>
      <c r="C46" s="24" t="n"/>
      <c r="D46" s="24" t="n"/>
      <c r="E46" s="24" t="n"/>
      <c r="F46" s="24" t="n"/>
      <c r="G46" s="24" t="n"/>
      <c r="H46" s="24" t="n"/>
      <c r="I46" s="24" t="n"/>
      <c r="J46" s="24" t="n"/>
      <c r="K46" s="24" t="n"/>
      <c r="L46" s="24" t="n"/>
      <c r="M46" s="24" t="n"/>
      <c r="N46" s="24" t="n"/>
      <c r="O46" s="24" t="n"/>
      <c r="P46" s="24" t="n"/>
      <c r="Q46" s="702" t="n"/>
      <c r="R46" s="11" t="n"/>
    </row>
    <row r="47" ht="15.75" customHeight="1" s="684">
      <c r="A47" s="10" t="n"/>
      <c r="B47" s="545" t="inlineStr">
        <is>
          <t>Sonuç :</t>
        </is>
      </c>
      <c r="C47" s="231" t="n"/>
      <c r="D47" s="515">
        <f>IF(OR(X24&lt;1,X20&lt;3),X28,X27)</f>
        <v/>
      </c>
      <c r="E47" s="70" t="n"/>
      <c r="F47" s="70" t="n"/>
      <c r="G47" s="70" t="n"/>
      <c r="H47" s="70" t="n"/>
      <c r="I47" s="70" t="n"/>
      <c r="J47" s="70" t="n"/>
      <c r="K47" s="70" t="n"/>
      <c r="L47" s="70" t="n"/>
      <c r="M47" s="70" t="n"/>
      <c r="N47" s="70" t="n"/>
      <c r="O47" s="70" t="n"/>
      <c r="P47" s="70" t="n"/>
      <c r="Q47" s="343" t="n"/>
      <c r="R47" s="11" t="n"/>
    </row>
    <row r="48" ht="15" customHeight="1" s="684">
      <c r="A48" s="10" t="n"/>
      <c r="B48" s="171" t="n"/>
      <c r="C48" s="24" t="n"/>
      <c r="Q48" s="344" t="n"/>
      <c r="R48" s="11" t="n"/>
    </row>
    <row r="49" ht="11.25" customHeight="1" s="684">
      <c r="A49" s="10" t="n"/>
      <c r="B49" s="313" t="n"/>
      <c r="C49" s="653" t="n"/>
      <c r="Q49" s="344" t="n"/>
      <c r="R49" s="11" t="n"/>
    </row>
    <row r="50" ht="22.5" customHeight="1" s="684">
      <c r="A50" s="10" t="n"/>
      <c r="B50" s="520" t="inlineStr">
        <is>
          <t>UNVAN</t>
        </is>
      </c>
      <c r="C50" s="70" t="n"/>
      <c r="D50" s="70" t="n"/>
      <c r="E50" s="330" t="inlineStr">
        <is>
          <t>:</t>
        </is>
      </c>
      <c r="F50" s="519" t="inlineStr">
        <is>
          <t>Elektrik Mühendisi</t>
        </is>
      </c>
      <c r="G50" s="70" t="n"/>
      <c r="H50" s="70" t="n"/>
      <c r="I50" s="343" t="n"/>
      <c r="J50" s="705" t="inlineStr">
        <is>
          <t>ONAYLAYAN</t>
        </is>
      </c>
      <c r="K50" s="125" t="n"/>
      <c r="L50" s="125" t="n"/>
      <c r="M50" s="125" t="n"/>
      <c r="N50" s="125" t="n"/>
      <c r="O50" s="125" t="n"/>
      <c r="P50" s="125" t="n"/>
      <c r="Q50" s="231" t="n"/>
      <c r="R50" s="11" t="n"/>
    </row>
    <row r="51" ht="22.5" customHeight="1" s="684">
      <c r="A51" s="10" t="n"/>
      <c r="B51" s="520" t="inlineStr">
        <is>
          <t>TEST TARİHİ</t>
        </is>
      </c>
      <c r="C51" s="70" t="n"/>
      <c r="D51" s="70" t="n"/>
      <c r="E51" s="330" t="inlineStr">
        <is>
          <t>:</t>
        </is>
      </c>
      <c r="F51" s="720">
        <f>'ANA SAYFA KESİCİ'!F75:J75</f>
        <v/>
      </c>
      <c r="G51" s="70" t="n"/>
      <c r="H51" s="70" t="n"/>
      <c r="I51" s="343" t="n"/>
      <c r="J51" s="75" t="n"/>
      <c r="K51" s="76" t="n"/>
      <c r="L51" s="176" t="n"/>
      <c r="M51" s="176" t="n"/>
      <c r="N51" s="176" t="n"/>
      <c r="O51" s="176" t="n"/>
      <c r="P51" s="176" t="n"/>
      <c r="Q51" s="178" t="n"/>
      <c r="R51" s="11" t="n"/>
    </row>
    <row r="52" ht="22.5" customHeight="1" s="684">
      <c r="A52" s="10" t="n"/>
      <c r="B52" s="495" t="inlineStr">
        <is>
          <t>ODA SİCİL NO</t>
        </is>
      </c>
      <c r="C52" s="125" t="n"/>
      <c r="D52" s="125" t="n"/>
      <c r="E52" s="587" t="inlineStr">
        <is>
          <t>:</t>
        </is>
      </c>
      <c r="F52" s="588">
        <f>'ANA SAYFA KESİCİ'!F77:J77</f>
        <v/>
      </c>
      <c r="G52" s="70" t="n"/>
      <c r="H52" s="70" t="n"/>
      <c r="I52" s="343" t="n"/>
      <c r="J52" s="75" t="n"/>
      <c r="K52" s="76" t="n"/>
      <c r="L52" s="176" t="n"/>
      <c r="M52" s="176" t="n"/>
      <c r="N52" s="176" t="n"/>
      <c r="O52" s="176" t="n"/>
      <c r="P52" s="176" t="n"/>
      <c r="Q52" s="178" t="n"/>
      <c r="R52" s="11" t="n"/>
    </row>
    <row r="53" ht="22.5" customHeight="1" s="684">
      <c r="A53" s="10" t="n"/>
      <c r="B53" s="495" t="inlineStr">
        <is>
          <t>EKİPNET NO</t>
        </is>
      </c>
      <c r="C53" s="125" t="n"/>
      <c r="D53" s="125" t="n"/>
      <c r="E53" s="496" t="inlineStr">
        <is>
          <t>:</t>
        </is>
      </c>
      <c r="F53" s="497">
        <f>'ANA SAYFA KESİCİ'!F78:J78</f>
        <v/>
      </c>
      <c r="G53" s="125" t="n"/>
      <c r="H53" s="125" t="n"/>
      <c r="I53" s="231" t="n"/>
      <c r="J53" s="336" t="n"/>
      <c r="K53" s="182" t="n"/>
      <c r="L53" s="182" t="n"/>
      <c r="M53" s="182" t="n"/>
      <c r="N53" s="182" t="n"/>
      <c r="O53" s="182" t="n"/>
      <c r="P53" s="182" t="n"/>
      <c r="Q53" s="179" t="n"/>
      <c r="R53" s="11" t="n"/>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09">
    <mergeCell ref="H35:I35"/>
    <mergeCell ref="X28:AF28"/>
    <mergeCell ref="F16:G16"/>
    <mergeCell ref="H10:I10"/>
    <mergeCell ref="K33:L33"/>
    <mergeCell ref="B53:D53"/>
    <mergeCell ref="D36:E36"/>
    <mergeCell ref="D31:E31"/>
    <mergeCell ref="K35:L35"/>
    <mergeCell ref="F53:I53"/>
    <mergeCell ref="M10:N10"/>
    <mergeCell ref="B8:I8"/>
    <mergeCell ref="L38:M38"/>
    <mergeCell ref="O40:P40"/>
    <mergeCell ref="K16:M16"/>
    <mergeCell ref="L40:M40"/>
    <mergeCell ref="O10:Q10"/>
    <mergeCell ref="G2:I2"/>
    <mergeCell ref="O19:Q19"/>
    <mergeCell ref="O33:Q33"/>
    <mergeCell ref="B33:C33"/>
    <mergeCell ref="D33:E33"/>
    <mergeCell ref="B32:C32"/>
    <mergeCell ref="B29:Q29"/>
    <mergeCell ref="B35:C35"/>
    <mergeCell ref="D35:E35"/>
    <mergeCell ref="I30:J30"/>
    <mergeCell ref="K30:L30"/>
    <mergeCell ref="B16:C16"/>
    <mergeCell ref="C30:D30"/>
    <mergeCell ref="N31:Q31"/>
    <mergeCell ref="D19:E19"/>
    <mergeCell ref="D34:E34"/>
    <mergeCell ref="F19:G19"/>
    <mergeCell ref="F34:G34"/>
    <mergeCell ref="K31:M31"/>
    <mergeCell ref="D47:Q48"/>
    <mergeCell ref="F52:I52"/>
    <mergeCell ref="B18:C18"/>
    <mergeCell ref="H16:J16"/>
    <mergeCell ref="H34:I34"/>
    <mergeCell ref="E38:F38"/>
    <mergeCell ref="G38:H38"/>
    <mergeCell ref="K3:Q3"/>
    <mergeCell ref="K32:L32"/>
    <mergeCell ref="F18:G18"/>
    <mergeCell ref="F33:G33"/>
    <mergeCell ref="H36:I36"/>
    <mergeCell ref="C40:D40"/>
    <mergeCell ref="N16:Q16"/>
    <mergeCell ref="E40:F40"/>
    <mergeCell ref="F17:G17"/>
    <mergeCell ref="H17:I17"/>
    <mergeCell ref="F31:G31"/>
    <mergeCell ref="H19:I19"/>
    <mergeCell ref="K17:L17"/>
    <mergeCell ref="O18:Q18"/>
    <mergeCell ref="K19:L19"/>
    <mergeCell ref="J8:Q8"/>
    <mergeCell ref="O35:Q35"/>
    <mergeCell ref="G3:I3"/>
    <mergeCell ref="H31:I31"/>
    <mergeCell ref="B5:Q5"/>
    <mergeCell ref="O30:P30"/>
    <mergeCell ref="F36:G36"/>
    <mergeCell ref="O17:Q17"/>
    <mergeCell ref="B17:C17"/>
    <mergeCell ref="D10:G10"/>
    <mergeCell ref="D17:E17"/>
    <mergeCell ref="B51:D51"/>
    <mergeCell ref="B19:C19"/>
    <mergeCell ref="B34:C34"/>
    <mergeCell ref="B50:D50"/>
    <mergeCell ref="F50:I50"/>
    <mergeCell ref="C38:D38"/>
    <mergeCell ref="J10:L10"/>
    <mergeCell ref="B2:F3"/>
    <mergeCell ref="O38:P38"/>
    <mergeCell ref="K18:L18"/>
    <mergeCell ref="B47:C47"/>
    <mergeCell ref="K34:L34"/>
    <mergeCell ref="O32:Q32"/>
    <mergeCell ref="K36:L36"/>
    <mergeCell ref="D32:E32"/>
    <mergeCell ref="F32:G32"/>
    <mergeCell ref="F35:G35"/>
    <mergeCell ref="M30:N30"/>
    <mergeCell ref="D16:E16"/>
    <mergeCell ref="E30:F30"/>
    <mergeCell ref="G30:H30"/>
    <mergeCell ref="H32:I32"/>
    <mergeCell ref="B10:C10"/>
    <mergeCell ref="B12:Q12"/>
    <mergeCell ref="D18:E18"/>
    <mergeCell ref="X27:AF27"/>
    <mergeCell ref="C49:Q49"/>
    <mergeCell ref="F51:I51"/>
    <mergeCell ref="O34:Q34"/>
    <mergeCell ref="B14:Q14"/>
    <mergeCell ref="I38:J38"/>
    <mergeCell ref="J50:Q50"/>
    <mergeCell ref="H18:I18"/>
    <mergeCell ref="H33:I33"/>
    <mergeCell ref="O36:Q36"/>
    <mergeCell ref="B36:C36"/>
    <mergeCell ref="B52:D52"/>
    <mergeCell ref="G40:H40"/>
    <mergeCell ref="K2:Q2"/>
    <mergeCell ref="I40:J40"/>
  </mergeCells>
  <conditionalFormatting sqref="N32">
    <cfRule type="iconSet" priority="4">
      <iconSet iconSet="3Symbols2" showValue="0">
        <cfvo type="percent" val="0"/>
        <cfvo type="num" val="1"/>
        <cfvo type="num" val="1"/>
      </iconSet>
    </cfRule>
  </conditionalFormatting>
  <conditionalFormatting sqref="N33:N36">
    <cfRule type="iconSet" priority="3">
      <iconSet iconSet="3Symbols2" showValue="0">
        <cfvo type="percent" val="0"/>
        <cfvo type="num" val="1"/>
        <cfvo type="num" val="1"/>
      </iconSet>
    </cfRule>
  </conditionalFormatting>
  <conditionalFormatting sqref="N17:N19">
    <cfRule type="iconSet" priority="2">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topLeftCell="A35" zoomScaleNormal="100" workbookViewId="0">
      <selection activeCell="N52" sqref="N52"/>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658" t="inlineStr">
        <is>
          <t xml:space="preserve">  ŞALT SAHASI          </t>
        </is>
      </c>
      <c r="H2" s="70" t="n"/>
      <c r="I2" s="70" t="n"/>
      <c r="J2" s="275" t="inlineStr">
        <is>
          <t>:</t>
        </is>
      </c>
      <c r="K2" s="448">
        <f>'ANA SAYFA KESİCİ'!K2</f>
        <v/>
      </c>
      <c r="L2" s="70" t="n"/>
      <c r="M2" s="70" t="n"/>
      <c r="N2" s="70" t="n"/>
      <c r="O2" s="70" t="n"/>
      <c r="P2" s="70" t="n"/>
      <c r="Q2" s="343" t="n"/>
      <c r="R2" s="11" t="n"/>
    </row>
    <row r="3" ht="29.25" customHeight="1" s="684">
      <c r="A3" s="10" t="n"/>
      <c r="B3" s="62" t="n"/>
      <c r="C3" s="135" t="n"/>
      <c r="D3" s="135" t="n"/>
      <c r="E3" s="135" t="n"/>
      <c r="F3" s="345" t="n"/>
      <c r="G3" s="659" t="inlineStr">
        <is>
          <t xml:space="preserve">  LOKASYON</t>
        </is>
      </c>
      <c r="H3" s="135" t="n"/>
      <c r="I3" s="135" t="n"/>
      <c r="J3" s="660" t="inlineStr">
        <is>
          <t>:</t>
        </is>
      </c>
      <c r="K3" s="489">
        <f>'ANA SAYFA KESİCİ'!K5</f>
        <v/>
      </c>
      <c r="L3" s="135" t="n"/>
      <c r="M3" s="135" t="n"/>
      <c r="N3" s="135" t="n"/>
      <c r="O3" s="135" t="n"/>
      <c r="P3" s="135" t="n"/>
      <c r="Q3" s="345" t="n"/>
      <c r="R3" s="11" t="n"/>
    </row>
    <row r="4" ht="11.2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KESİCİ KONTAK DİRENCİ TEST SONUÇLARI</t>
        </is>
      </c>
      <c r="C5" s="125" t="n"/>
      <c r="D5" s="125" t="n"/>
      <c r="E5" s="125" t="n"/>
      <c r="F5" s="125" t="n"/>
      <c r="G5" s="125" t="n"/>
      <c r="H5" s="125" t="n"/>
      <c r="I5" s="125" t="n"/>
      <c r="J5" s="125" t="n"/>
      <c r="K5" s="125" t="n"/>
      <c r="L5" s="125" t="n"/>
      <c r="M5" s="125" t="n"/>
      <c r="N5" s="125" t="n"/>
      <c r="O5" s="125" t="n"/>
      <c r="P5" s="125" t="n"/>
      <c r="Q5" s="231" t="n"/>
      <c r="R5" s="11" t="n"/>
    </row>
    <row r="6" ht="6"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6" customHeight="1" s="684">
      <c r="A7" s="10" t="n"/>
      <c r="B7" s="3" t="n"/>
      <c r="C7" s="264" t="n"/>
      <c r="D7" s="264" t="n"/>
      <c r="E7" s="264" t="n"/>
      <c r="F7" s="264" t="n"/>
      <c r="G7" s="264" t="n"/>
      <c r="H7" s="264" t="n"/>
      <c r="I7" s="264" t="n"/>
      <c r="J7" s="264" t="n"/>
      <c r="K7" s="264" t="n"/>
      <c r="L7" s="264" t="n"/>
      <c r="M7" s="264" t="n"/>
      <c r="N7" s="264" t="n"/>
      <c r="O7" s="264" t="n"/>
      <c r="P7" s="264" t="n"/>
      <c r="Q7" s="187" t="n"/>
      <c r="R7" s="11" t="n"/>
    </row>
    <row r="8" ht="18.75" customHeight="1" s="684">
      <c r="A8" s="10" t="n"/>
      <c r="B8" s="469" t="inlineStr">
        <is>
          <t>OTURUM TARİHİ :</t>
        </is>
      </c>
      <c r="C8" s="125" t="n"/>
      <c r="D8" s="125" t="n"/>
      <c r="E8" s="125" t="n"/>
      <c r="F8" s="125" t="n"/>
      <c r="G8" s="125" t="n"/>
      <c r="H8" s="125" t="n"/>
      <c r="I8" s="125" t="n"/>
      <c r="J8" s="717">
        <f>'ANA SAYFA KESİCİ'!F74</f>
        <v/>
      </c>
      <c r="K8" s="125" t="n"/>
      <c r="L8" s="125" t="n"/>
      <c r="M8" s="125" t="n"/>
      <c r="N8" s="125" t="n"/>
      <c r="O8" s="125" t="n"/>
      <c r="P8" s="125" t="n"/>
      <c r="Q8" s="231" t="n"/>
      <c r="R8" s="11" t="n"/>
    </row>
    <row r="9" ht="5.25" customHeight="1" s="684">
      <c r="A9" s="10" t="n"/>
      <c r="B9" s="3" t="n"/>
      <c r="C9" s="264" t="n"/>
      <c r="D9" s="264" t="n"/>
      <c r="E9" s="264" t="n"/>
      <c r="F9" s="264" t="n"/>
      <c r="G9" s="264" t="n"/>
      <c r="H9" s="264" t="n"/>
      <c r="I9" s="264" t="n"/>
      <c r="J9" s="264" t="n"/>
      <c r="K9" s="264" t="n"/>
      <c r="L9" s="264" t="n"/>
      <c r="M9" s="264" t="n"/>
      <c r="N9" s="264" t="n"/>
      <c r="O9" s="264" t="n"/>
      <c r="P9" s="264" t="n"/>
      <c r="Q9" s="187" t="n"/>
      <c r="R9" s="11" t="n"/>
    </row>
    <row r="10">
      <c r="A10" s="10" t="n"/>
      <c r="B10" s="525" t="inlineStr">
        <is>
          <t>Operatör :</t>
        </is>
      </c>
      <c r="C10" s="231" t="n"/>
      <c r="D10" s="526" t="inlineStr">
        <is>
          <t>Ahmet YILMAZ</t>
        </is>
      </c>
      <c r="E10" s="125" t="n"/>
      <c r="F10" s="125" t="n"/>
      <c r="G10" s="231" t="n"/>
      <c r="H10" s="525" t="inlineStr">
        <is>
          <t>Cihaz :</t>
        </is>
      </c>
      <c r="I10" s="231" t="n"/>
      <c r="J10" s="504" t="inlineStr">
        <is>
          <t>STS 5000</t>
        </is>
      </c>
      <c r="K10" s="125" t="n"/>
      <c r="L10" s="231" t="n"/>
      <c r="M10" s="504" t="inlineStr">
        <is>
          <t>Cihaz S/N :</t>
        </is>
      </c>
      <c r="N10" s="231" t="n"/>
      <c r="O10" s="504" t="inlineStr">
        <is>
          <t>SN-19B20</t>
        </is>
      </c>
      <c r="P10" s="125" t="n"/>
      <c r="Q10" s="231" t="n"/>
      <c r="R10" s="11" t="n"/>
    </row>
    <row r="11" ht="6" customHeight="1" s="684">
      <c r="A11" s="10" t="n"/>
      <c r="B11" s="3" t="n"/>
      <c r="C11" s="264" t="n"/>
      <c r="D11" s="264" t="n"/>
      <c r="E11" s="264" t="n"/>
      <c r="F11" s="264" t="n"/>
      <c r="G11" s="264" t="n"/>
      <c r="H11" s="264" t="n"/>
      <c r="I11" s="264" t="n"/>
      <c r="J11" s="264" t="n"/>
      <c r="K11" s="264" t="n"/>
      <c r="L11" s="264" t="n"/>
      <c r="M11" s="264" t="n"/>
      <c r="N11" s="264" t="n"/>
      <c r="O11" s="264" t="n"/>
      <c r="P11" s="264" t="n"/>
      <c r="Q11" s="187" t="n"/>
      <c r="R11" s="11" t="n"/>
    </row>
    <row r="12" ht="18.75" customHeight="1" s="684">
      <c r="A12" s="10" t="n"/>
      <c r="B12" s="524" t="inlineStr">
        <is>
          <t>Sonuçlar</t>
        </is>
      </c>
      <c r="C12" s="125" t="n"/>
      <c r="D12" s="125" t="n"/>
      <c r="E12" s="125" t="n"/>
      <c r="F12" s="125" t="n"/>
      <c r="G12" s="125" t="n"/>
      <c r="H12" s="125" t="n"/>
      <c r="I12" s="125" t="n"/>
      <c r="J12" s="125" t="n"/>
      <c r="K12" s="125" t="n"/>
      <c r="L12" s="125" t="n"/>
      <c r="M12" s="125" t="n"/>
      <c r="N12" s="125" t="n"/>
      <c r="O12" s="125" t="n"/>
      <c r="P12" s="125" t="n"/>
      <c r="Q12" s="231" t="n"/>
      <c r="R12" s="11" t="n"/>
    </row>
    <row r="13" ht="6" customHeight="1" s="684">
      <c r="A13" s="10" t="n"/>
      <c r="B13" s="3" t="n"/>
      <c r="C13" s="264" t="n"/>
      <c r="D13" s="264" t="n"/>
      <c r="E13" s="264" t="n"/>
      <c r="F13" s="264" t="n"/>
      <c r="G13" s="264" t="n"/>
      <c r="H13" s="264" t="n"/>
      <c r="I13" s="264" t="n"/>
      <c r="J13" s="264" t="n"/>
      <c r="K13" s="264" t="n"/>
      <c r="L13" s="264" t="n"/>
      <c r="M13" s="264" t="n"/>
      <c r="N13" s="264" t="n"/>
      <c r="O13" s="264" t="n"/>
      <c r="P13" s="264" t="n"/>
      <c r="Q13" s="187" t="n"/>
      <c r="R13" s="11" t="n"/>
    </row>
    <row r="14" ht="18.75" customHeight="1" s="684">
      <c r="A14" s="10" t="n"/>
      <c r="B14" s="528" t="inlineStr">
        <is>
          <t>Kontak Direnci µΩ</t>
        </is>
      </c>
      <c r="C14" s="125" t="n"/>
      <c r="D14" s="125" t="n"/>
      <c r="E14" s="125" t="n"/>
      <c r="F14" s="125" t="n"/>
      <c r="G14" s="125" t="n"/>
      <c r="H14" s="125" t="n"/>
      <c r="I14" s="231" t="n"/>
      <c r="J14" s="249" t="inlineStr">
        <is>
          <t xml:space="preserve">L-1 </t>
        </is>
      </c>
      <c r="K14" s="102" t="n"/>
      <c r="L14" s="102" t="n"/>
      <c r="M14" s="102" t="n"/>
      <c r="N14" s="102" t="n"/>
      <c r="O14" s="102" t="n"/>
      <c r="P14" s="669">
        <f>IF(N20&lt;150,1,0)</f>
        <v/>
      </c>
      <c r="Q14" s="231" t="n"/>
      <c r="R14" s="11" t="n"/>
    </row>
    <row r="15" ht="9" customHeight="1" s="684">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498" t="inlineStr">
        <is>
          <t>Nominal Değerler</t>
        </is>
      </c>
      <c r="F16" s="577" t="n"/>
      <c r="J16" s="499" t="inlineStr">
        <is>
          <t>Ölçülen</t>
        </is>
      </c>
      <c r="N16" s="420" t="n"/>
      <c r="Q16" s="344" t="n"/>
      <c r="R16" s="11" t="n"/>
    </row>
    <row r="17">
      <c r="A17" s="10" t="n"/>
      <c r="B17" s="426" t="inlineStr">
        <is>
          <t>Maksimum Direnç</t>
        </is>
      </c>
      <c r="F17" s="571" t="n">
        <v>150</v>
      </c>
      <c r="H17" s="250" t="inlineStr">
        <is>
          <t>µΩ</t>
        </is>
      </c>
      <c r="I17" s="264" t="n"/>
      <c r="J17" s="577" t="inlineStr">
        <is>
          <t>Akım DC</t>
        </is>
      </c>
      <c r="N17" s="570" t="n">
        <v>82</v>
      </c>
      <c r="P17" s="420" t="inlineStr">
        <is>
          <t>A</t>
        </is>
      </c>
      <c r="Q17" s="344" t="n"/>
      <c r="R17" s="11" t="n"/>
    </row>
    <row r="18">
      <c r="A18" s="10" t="n"/>
      <c r="B18" s="426" t="n"/>
      <c r="F18" s="577" t="n"/>
      <c r="J18" s="577" t="inlineStr">
        <is>
          <t>Gerilim DC</t>
        </is>
      </c>
      <c r="N18" s="571">
        <f>N20*N17/1000</f>
        <v/>
      </c>
      <c r="P18" s="420" t="inlineStr">
        <is>
          <t>mV</t>
        </is>
      </c>
      <c r="Q18" s="344" t="n"/>
      <c r="R18" s="11" t="n"/>
    </row>
    <row r="19">
      <c r="A19" s="10" t="n"/>
      <c r="B19" s="426" t="inlineStr">
        <is>
          <t>Çıkış Kademesi</t>
        </is>
      </c>
      <c r="F19" s="668" t="inlineStr">
        <is>
          <t>DC 400A</t>
        </is>
      </c>
      <c r="H19" s="264" t="n"/>
      <c r="I19" s="264" t="n"/>
      <c r="J19" s="499" t="inlineStr">
        <is>
          <t>Sonuçlar</t>
        </is>
      </c>
      <c r="N19" s="420" t="n"/>
      <c r="Q19" s="344" t="n"/>
      <c r="R19" s="11" t="n"/>
    </row>
    <row r="20">
      <c r="A20" s="10" t="n"/>
      <c r="B20" s="431" t="inlineStr">
        <is>
          <t>Akım</t>
        </is>
      </c>
      <c r="F20" s="665" t="inlineStr">
        <is>
          <t>80,00A</t>
        </is>
      </c>
      <c r="H20" s="264" t="n"/>
      <c r="I20" s="264" t="n"/>
      <c r="J20" s="577" t="inlineStr">
        <is>
          <t>Ölçülen Direnç</t>
        </is>
      </c>
      <c r="N20" s="571">
        <f>'ANA SAYFA KESİCİ'!O50</f>
        <v/>
      </c>
      <c r="P20" s="667" t="inlineStr">
        <is>
          <t>µΩ</t>
        </is>
      </c>
      <c r="Q20" s="344" t="n"/>
      <c r="R20" s="11" t="n"/>
    </row>
    <row r="21" ht="15" customHeight="1" s="684">
      <c r="A21" s="10" t="n"/>
      <c r="B21" s="47" t="n"/>
      <c r="C21" s="48" t="n"/>
      <c r="D21" s="48" t="n"/>
      <c r="E21" s="48" t="n"/>
      <c r="F21" s="48" t="n"/>
      <c r="G21" s="48" t="n"/>
      <c r="H21" s="48" t="n"/>
      <c r="I21" s="48" t="n"/>
      <c r="J21" s="585" t="inlineStr">
        <is>
          <t>Hata</t>
        </is>
      </c>
      <c r="K21" s="135" t="n"/>
      <c r="L21" s="135" t="n"/>
      <c r="M21" s="135" t="n"/>
      <c r="N21" s="407" t="n"/>
      <c r="O21" s="135" t="n"/>
      <c r="P21" s="586" t="inlineStr">
        <is>
          <t>%</t>
        </is>
      </c>
      <c r="Q21" s="345" t="n"/>
      <c r="R21" s="11" t="n"/>
    </row>
    <row r="22" ht="6" customHeight="1" s="684">
      <c r="A22" s="10" t="n"/>
      <c r="B22" s="171" t="n"/>
      <c r="C22" s="670" t="n"/>
      <c r="E22" s="418" t="n"/>
      <c r="G22" s="418" t="n"/>
      <c r="I22" s="418" t="n"/>
      <c r="K22" s="418" t="n"/>
      <c r="M22" s="418" t="n"/>
      <c r="O22" s="418" t="n"/>
      <c r="Q22" s="702" t="n"/>
      <c r="R22" s="11" t="n"/>
    </row>
    <row r="23" ht="18.75" customHeight="1" s="684">
      <c r="A23" s="10" t="n"/>
      <c r="B23" s="528" t="inlineStr">
        <is>
          <t>Kontak Direnci µΩ</t>
        </is>
      </c>
      <c r="C23" s="125" t="n"/>
      <c r="D23" s="125" t="n"/>
      <c r="E23" s="125" t="n"/>
      <c r="F23" s="125" t="n"/>
      <c r="G23" s="125" t="n"/>
      <c r="H23" s="125" t="n"/>
      <c r="I23" s="231" t="n"/>
      <c r="J23" s="249" t="inlineStr">
        <is>
          <t>L-2</t>
        </is>
      </c>
      <c r="K23" s="102" t="n"/>
      <c r="L23" s="102" t="n"/>
      <c r="M23" s="102" t="n"/>
      <c r="N23" s="102" t="n"/>
      <c r="O23" s="102" t="n"/>
      <c r="P23" s="669">
        <f>IF(N29&lt;150,1,0)</f>
        <v/>
      </c>
      <c r="Q23" s="231"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652" t="inlineStr">
        <is>
          <t>Kesicinin L1 kontağına ait geçiş direci uygundur.</t>
        </is>
      </c>
    </row>
    <row r="25">
      <c r="A25" s="10" t="n"/>
      <c r="B25" s="498" t="inlineStr">
        <is>
          <t>Nominal Değerler</t>
        </is>
      </c>
      <c r="F25" s="577" t="n"/>
      <c r="J25" s="499" t="inlineStr">
        <is>
          <t>Ölçülen</t>
        </is>
      </c>
      <c r="N25" s="665" t="n"/>
      <c r="P25" s="420" t="n"/>
      <c r="Q25" s="344" t="n"/>
      <c r="R25" s="11" t="n"/>
      <c r="V25" s="652" t="inlineStr">
        <is>
          <t>Kesicinin L1 kontağına ait geçiş direci uygun değildir.</t>
        </is>
      </c>
    </row>
    <row r="26">
      <c r="A26" s="10" t="n"/>
      <c r="B26" s="426" t="inlineStr">
        <is>
          <t>Nominal Direnç</t>
        </is>
      </c>
      <c r="F26" s="571" t="n">
        <v>150</v>
      </c>
      <c r="H26" s="250" t="inlineStr">
        <is>
          <t>µΩ</t>
        </is>
      </c>
      <c r="I26" s="264" t="n"/>
      <c r="J26" s="577" t="inlineStr">
        <is>
          <t>Akım DC</t>
        </is>
      </c>
      <c r="N26" s="570" t="n">
        <v>82</v>
      </c>
      <c r="P26" s="420" t="inlineStr">
        <is>
          <t>A</t>
        </is>
      </c>
      <c r="Q26" s="344" t="n"/>
      <c r="R26" s="11" t="n"/>
      <c r="V26" s="652" t="inlineStr">
        <is>
          <t>Kesicinin L2 kontağına ait geçiş direci uygundur.</t>
        </is>
      </c>
    </row>
    <row r="27">
      <c r="A27" s="10" t="n"/>
      <c r="B27" s="426" t="n"/>
      <c r="F27" s="577" t="n"/>
      <c r="J27" s="577" t="inlineStr">
        <is>
          <t>Gerilim DC</t>
        </is>
      </c>
      <c r="N27" s="571">
        <f>N29*N26/1000</f>
        <v/>
      </c>
      <c r="P27" s="420" t="inlineStr">
        <is>
          <t>mV</t>
        </is>
      </c>
      <c r="Q27" s="344" t="n"/>
      <c r="R27" s="11" t="n"/>
      <c r="V27" s="652" t="inlineStr">
        <is>
          <t>Kesicinin L2 kontağına ait geçiş direci uygun değildir.</t>
        </is>
      </c>
    </row>
    <row r="28">
      <c r="A28" s="10" t="n"/>
      <c r="B28" s="426" t="inlineStr">
        <is>
          <t>Çıkış Kademesi</t>
        </is>
      </c>
      <c r="F28" s="668" t="inlineStr">
        <is>
          <t>DC 400A</t>
        </is>
      </c>
      <c r="H28" s="264" t="n"/>
      <c r="I28" s="264" t="n"/>
      <c r="J28" s="499" t="inlineStr">
        <is>
          <t>Sonuçlar</t>
        </is>
      </c>
      <c r="N28" s="420" t="n"/>
      <c r="Q28" s="344" t="n"/>
      <c r="R28" s="11" t="n"/>
      <c r="V28" s="652" t="inlineStr">
        <is>
          <t>Kesicinin L3 kontağına ait geçiş direci uygundur.</t>
        </is>
      </c>
    </row>
    <row r="29">
      <c r="A29" s="10" t="n"/>
      <c r="B29" s="431" t="inlineStr">
        <is>
          <t>Akım</t>
        </is>
      </c>
      <c r="F29" s="665" t="inlineStr">
        <is>
          <t>80,00A</t>
        </is>
      </c>
      <c r="H29" s="264" t="n"/>
      <c r="I29" s="264" t="n"/>
      <c r="J29" s="577" t="inlineStr">
        <is>
          <t>Ölçülen Direnç</t>
        </is>
      </c>
      <c r="N29" s="571">
        <f>'ANA SAYFA KESİCİ'!O52</f>
        <v/>
      </c>
      <c r="P29" s="667" t="inlineStr">
        <is>
          <t>µΩ</t>
        </is>
      </c>
      <c r="Q29" s="344" t="n"/>
      <c r="R29" s="11" t="n"/>
      <c r="V29" s="652" t="inlineStr">
        <is>
          <t>Kesicinin L3 kontağına ait geçiş direci uygun değildir.</t>
        </is>
      </c>
    </row>
    <row r="30" ht="15" customHeight="1" s="684">
      <c r="A30" s="10" t="n"/>
      <c r="B30" s="47" t="n"/>
      <c r="C30" s="48" t="n"/>
      <c r="D30" s="48" t="n"/>
      <c r="E30" s="48" t="n"/>
      <c r="F30" s="48" t="n"/>
      <c r="G30" s="48" t="n"/>
      <c r="H30" s="48" t="n"/>
      <c r="I30" s="48" t="n"/>
      <c r="J30" s="585" t="n"/>
      <c r="K30" s="135" t="n"/>
      <c r="L30" s="135" t="n"/>
      <c r="M30" s="135" t="n"/>
      <c r="N30" s="407" t="n"/>
      <c r="O30" s="135" t="n"/>
      <c r="P30" s="586" t="inlineStr">
        <is>
          <t>%</t>
        </is>
      </c>
      <c r="Q30" s="345" t="n"/>
      <c r="R30" s="11" t="n"/>
    </row>
    <row r="31" ht="7.5" customHeight="1" s="684">
      <c r="A31" s="10" t="n"/>
      <c r="B31" s="3" t="n"/>
      <c r="C31" s="264" t="n"/>
      <c r="D31" s="264" t="n"/>
      <c r="E31" s="264" t="n"/>
      <c r="F31" s="264" t="n"/>
      <c r="G31" s="264" t="n"/>
      <c r="H31" s="264" t="n"/>
      <c r="I31" s="264" t="n"/>
      <c r="J31" s="264" t="n"/>
      <c r="K31" s="264" t="n"/>
      <c r="L31" s="264" t="n"/>
      <c r="M31" s="264" t="n"/>
      <c r="N31" s="264" t="n"/>
      <c r="O31" s="264" t="n"/>
      <c r="P31" s="264" t="n"/>
      <c r="Q31" s="187" t="n"/>
      <c r="R31" s="11" t="n"/>
    </row>
    <row r="32" ht="18.75" customHeight="1" s="684">
      <c r="A32" s="10" t="n"/>
      <c r="B32" s="528" t="inlineStr">
        <is>
          <t>Kontak Direnci µΩ</t>
        </is>
      </c>
      <c r="C32" s="125" t="n"/>
      <c r="D32" s="125" t="n"/>
      <c r="E32" s="125" t="n"/>
      <c r="F32" s="125" t="n"/>
      <c r="G32" s="125" t="n"/>
      <c r="H32" s="125" t="n"/>
      <c r="I32" s="231" t="n"/>
      <c r="J32" s="249" t="inlineStr">
        <is>
          <t xml:space="preserve">L-3 </t>
        </is>
      </c>
      <c r="K32" s="102" t="n"/>
      <c r="L32" s="102" t="n"/>
      <c r="M32" s="102" t="n"/>
      <c r="N32" s="102" t="n"/>
      <c r="O32" s="102" t="n"/>
      <c r="P32" s="669">
        <f>IF(N38&lt;150,1,0)</f>
        <v/>
      </c>
      <c r="Q32" s="231"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498" t="inlineStr">
        <is>
          <t>Nominal Değerler</t>
        </is>
      </c>
      <c r="F34" s="577" t="n"/>
      <c r="J34" s="499" t="inlineStr">
        <is>
          <t>Ölçülen</t>
        </is>
      </c>
      <c r="N34" s="665" t="n"/>
      <c r="P34" s="420" t="n"/>
      <c r="Q34" s="344" t="n"/>
      <c r="R34" s="11" t="n"/>
    </row>
    <row r="35">
      <c r="A35" s="10" t="n"/>
      <c r="B35" s="426" t="inlineStr">
        <is>
          <t>Nominal Direnç</t>
        </is>
      </c>
      <c r="F35" s="571" t="n">
        <v>150</v>
      </c>
      <c r="H35" s="250" t="inlineStr">
        <is>
          <t>µΩ</t>
        </is>
      </c>
      <c r="I35" s="264" t="n"/>
      <c r="J35" s="577" t="inlineStr">
        <is>
          <t>Akım DC</t>
        </is>
      </c>
      <c r="N35" s="570" t="n">
        <v>82</v>
      </c>
      <c r="P35" s="420" t="inlineStr">
        <is>
          <t>A</t>
        </is>
      </c>
      <c r="Q35" s="344" t="n"/>
      <c r="R35" s="11" t="n"/>
    </row>
    <row r="36">
      <c r="A36" s="10" t="n"/>
      <c r="B36" s="426" t="n"/>
      <c r="F36" s="577" t="n"/>
      <c r="J36" s="577" t="inlineStr">
        <is>
          <t>Gerilim DC</t>
        </is>
      </c>
      <c r="N36" s="571">
        <f>N38*N35/1000</f>
        <v/>
      </c>
      <c r="P36" s="420" t="inlineStr">
        <is>
          <t>mV</t>
        </is>
      </c>
      <c r="Q36" s="344" t="n"/>
      <c r="R36" s="11" t="n"/>
    </row>
    <row r="37" ht="15.75" customHeight="1" s="684">
      <c r="A37" s="10" t="n"/>
      <c r="B37" s="426" t="inlineStr">
        <is>
          <t>Çıkış Kademesi</t>
        </is>
      </c>
      <c r="F37" s="668" t="inlineStr">
        <is>
          <t>DC 400A</t>
        </is>
      </c>
      <c r="H37" s="264" t="n"/>
      <c r="I37" s="264" t="n"/>
      <c r="J37" s="499" t="inlineStr">
        <is>
          <t>Sonuçlar</t>
        </is>
      </c>
      <c r="N37" s="420" t="n"/>
      <c r="Q37" s="344" t="n"/>
      <c r="R37" s="11" t="n"/>
    </row>
    <row r="38" ht="15" customHeight="1" s="684">
      <c r="A38" s="10" t="n"/>
      <c r="B38" s="431" t="inlineStr">
        <is>
          <t>Akım</t>
        </is>
      </c>
      <c r="F38" s="665" t="inlineStr">
        <is>
          <t>80,00A</t>
        </is>
      </c>
      <c r="H38" s="264" t="n"/>
      <c r="I38" s="264" t="n"/>
      <c r="J38" s="577" t="inlineStr">
        <is>
          <t>Ölçülen Direnç</t>
        </is>
      </c>
      <c r="N38" s="571">
        <f>'ANA SAYFA KESİCİ'!O54</f>
        <v/>
      </c>
      <c r="P38" s="667" t="inlineStr">
        <is>
          <t>µΩ</t>
        </is>
      </c>
      <c r="Q38" s="344" t="n"/>
      <c r="R38" s="11" t="n"/>
    </row>
    <row r="39" ht="15" customHeight="1" s="684">
      <c r="A39" s="10" t="n"/>
      <c r="B39" s="47" t="n"/>
      <c r="C39" s="48" t="n"/>
      <c r="D39" s="48" t="n"/>
      <c r="E39" s="48" t="n"/>
      <c r="F39" s="48" t="n"/>
      <c r="G39" s="48" t="n"/>
      <c r="H39" s="48" t="n"/>
      <c r="I39" s="48" t="n"/>
      <c r="J39" s="585" t="n"/>
      <c r="K39" s="135" t="n"/>
      <c r="L39" s="135" t="n"/>
      <c r="M39" s="135" t="n"/>
      <c r="N39" s="407" t="n"/>
      <c r="O39" s="135" t="n"/>
      <c r="P39" s="586" t="inlineStr">
        <is>
          <t>%</t>
        </is>
      </c>
      <c r="Q39" s="345" t="n"/>
      <c r="R39" s="11" t="n"/>
    </row>
    <row r="40" ht="15" customHeight="1" s="684">
      <c r="A40" s="10" t="n"/>
      <c r="B40" s="3" t="n"/>
      <c r="C40" s="264" t="n"/>
      <c r="D40" s="264" t="n"/>
      <c r="E40" s="264" t="n"/>
      <c r="F40" s="264" t="n"/>
      <c r="G40" s="264" t="n"/>
      <c r="H40" s="264" t="n"/>
      <c r="I40" s="264" t="n"/>
      <c r="J40" s="577" t="n"/>
      <c r="K40" s="577" t="n"/>
      <c r="L40" s="577" t="n"/>
      <c r="M40" s="577" t="n"/>
      <c r="N40" s="418" t="n"/>
      <c r="O40" s="418" t="n"/>
      <c r="P40" s="577" t="n"/>
      <c r="Q40" s="420" t="n"/>
      <c r="R40" s="11" t="n"/>
    </row>
    <row r="41" ht="15" customHeight="1" s="684">
      <c r="A41" s="10" t="n"/>
      <c r="B41" s="3" t="n"/>
      <c r="C41" s="264" t="n"/>
      <c r="D41" s="264" t="n"/>
      <c r="E41" s="264" t="n"/>
      <c r="F41" s="264" t="n"/>
      <c r="G41" s="264" t="n"/>
      <c r="H41" s="264" t="n"/>
      <c r="I41" s="264" t="n"/>
      <c r="J41" s="577" t="n"/>
      <c r="K41" s="577" t="n"/>
      <c r="L41" s="577" t="n"/>
      <c r="M41" s="577" t="n"/>
      <c r="N41" s="418" t="n"/>
      <c r="O41" s="418" t="n"/>
      <c r="P41" s="577" t="n"/>
      <c r="Q41" s="420" t="n"/>
      <c r="R41" s="11" t="n"/>
    </row>
    <row r="42" ht="15" customHeight="1" s="684">
      <c r="A42" s="10" t="n"/>
      <c r="B42" s="3" t="n"/>
      <c r="C42" s="264" t="n"/>
      <c r="D42" s="264" t="n"/>
      <c r="E42" s="264" t="n"/>
      <c r="F42" s="264" t="n"/>
      <c r="G42" s="264" t="n"/>
      <c r="H42" s="264" t="n"/>
      <c r="I42" s="264" t="n"/>
      <c r="J42" s="577" t="n"/>
      <c r="K42" s="577" t="n"/>
      <c r="L42" s="577" t="n"/>
      <c r="M42" s="577" t="n"/>
      <c r="N42" s="418" t="n"/>
      <c r="O42" s="418" t="n"/>
      <c r="P42" s="577" t="n"/>
      <c r="Q42" s="420" t="n"/>
      <c r="R42" s="11" t="n"/>
    </row>
    <row r="43" ht="15" customHeight="1" s="684">
      <c r="A43" s="10" t="n"/>
      <c r="B43" s="3" t="n"/>
      <c r="C43" s="264" t="n"/>
      <c r="D43" s="264" t="n"/>
      <c r="E43" s="264" t="n"/>
      <c r="F43" s="264" t="n"/>
      <c r="G43" s="264" t="n"/>
      <c r="H43" s="264" t="n"/>
      <c r="I43" s="264" t="n"/>
      <c r="J43" s="577" t="n"/>
      <c r="K43" s="577" t="n"/>
      <c r="L43" s="577" t="n"/>
      <c r="M43" s="577" t="n"/>
      <c r="N43" s="418" t="n"/>
      <c r="O43" s="418" t="n"/>
      <c r="P43" s="577" t="n"/>
      <c r="Q43" s="420" t="n"/>
      <c r="R43" s="11" t="n"/>
    </row>
    <row r="44" ht="15" customHeight="1" s="684">
      <c r="A44" s="10" t="n"/>
      <c r="B44" s="3" t="n"/>
      <c r="C44" s="264" t="n"/>
      <c r="D44" s="264" t="n"/>
      <c r="E44" s="264" t="n"/>
      <c r="F44" s="264" t="n"/>
      <c r="G44" s="264" t="n"/>
      <c r="H44" s="264" t="n"/>
      <c r="I44" s="264" t="n"/>
      <c r="J44" s="577" t="n"/>
      <c r="K44" s="577" t="n"/>
      <c r="L44" s="577" t="n"/>
      <c r="M44" s="577" t="n"/>
      <c r="N44" s="418" t="n"/>
      <c r="O44" s="418" t="n"/>
      <c r="P44" s="577" t="n"/>
      <c r="Q44" s="420" t="n"/>
      <c r="R44" s="11" t="n"/>
    </row>
    <row r="45" ht="15" customHeight="1" s="684">
      <c r="A45" s="10" t="n"/>
      <c r="B45" s="512" t="inlineStr">
        <is>
          <t>Sonuç:</t>
        </is>
      </c>
      <c r="C45" s="70" t="n"/>
      <c r="D45" s="662">
        <f>IF(P14&lt;1,V25,V24)</f>
        <v/>
      </c>
      <c r="E45" s="70" t="n"/>
      <c r="F45" s="70" t="n"/>
      <c r="G45" s="70" t="n"/>
      <c r="H45" s="70" t="n"/>
      <c r="I45" s="70" t="n"/>
      <c r="J45" s="70" t="n"/>
      <c r="K45" s="70" t="n"/>
      <c r="L45" s="70" t="n"/>
      <c r="M45" s="70" t="n"/>
      <c r="N45" s="70" t="n"/>
      <c r="O45" s="70" t="n"/>
      <c r="P45" s="70" t="n"/>
      <c r="Q45" s="343" t="n"/>
      <c r="R45" s="11" t="n"/>
    </row>
    <row r="46" ht="15" customHeight="1" s="684">
      <c r="A46" s="10" t="n"/>
      <c r="B46" s="251" t="n"/>
      <c r="C46" s="49" t="n"/>
      <c r="D46" s="664">
        <f>IF(P23&lt;1,V27,V26)</f>
        <v/>
      </c>
      <c r="Q46" s="344" t="n"/>
      <c r="R46" s="11" t="n"/>
    </row>
    <row r="47" ht="15" customHeight="1" s="684">
      <c r="A47" s="10" t="n"/>
      <c r="B47" s="251" t="n"/>
      <c r="C47" s="49" t="n"/>
      <c r="D47" s="664">
        <f>IF(P32&lt;1,V29,V28)</f>
        <v/>
      </c>
      <c r="Q47" s="344" t="n"/>
      <c r="R47" s="11" t="n"/>
    </row>
    <row r="48" ht="15" customHeight="1" s="684">
      <c r="A48" s="10" t="n"/>
      <c r="B48" s="251" t="n"/>
      <c r="C48" s="49" t="n"/>
      <c r="D48" s="664" t="n"/>
      <c r="Q48" s="344" t="n"/>
      <c r="R48" s="11" t="n"/>
    </row>
    <row r="49" ht="9" customHeight="1" s="684">
      <c r="A49" s="10" t="n"/>
      <c r="B49" s="50" t="n"/>
      <c r="C49" s="51" t="n"/>
      <c r="D49" s="664" t="n"/>
      <c r="Q49" s="344" t="n"/>
      <c r="R49" s="11" t="n"/>
    </row>
    <row r="50" ht="22.5" customHeight="1" s="684">
      <c r="A50" s="10" t="n"/>
      <c r="B50" s="520" t="inlineStr">
        <is>
          <t>UNVAN</t>
        </is>
      </c>
      <c r="C50" s="70" t="n"/>
      <c r="D50" s="70" t="n"/>
      <c r="E50" s="330" t="inlineStr">
        <is>
          <t>:</t>
        </is>
      </c>
      <c r="F50" s="519" t="inlineStr">
        <is>
          <t>Elektrik Mühendisi</t>
        </is>
      </c>
      <c r="G50" s="70" t="n"/>
      <c r="H50" s="70" t="n"/>
      <c r="I50" s="343" t="n"/>
      <c r="J50" s="705" t="inlineStr">
        <is>
          <t>ONAYLAYAN</t>
        </is>
      </c>
      <c r="K50" s="125" t="n"/>
      <c r="L50" s="125" t="n"/>
      <c r="M50" s="125" t="n"/>
      <c r="N50" s="125" t="n"/>
      <c r="O50" s="125" t="n"/>
      <c r="P50" s="125" t="n"/>
      <c r="Q50" s="231" t="n"/>
      <c r="R50" s="11" t="n"/>
    </row>
    <row r="51" ht="22.5" customHeight="1" s="684">
      <c r="A51" s="10" t="n"/>
      <c r="B51" s="520" t="inlineStr">
        <is>
          <t>TEST TARİHİ</t>
        </is>
      </c>
      <c r="C51" s="70" t="n"/>
      <c r="D51" s="70" t="n"/>
      <c r="E51" s="330" t="inlineStr">
        <is>
          <t>:</t>
        </is>
      </c>
      <c r="F51" s="720">
        <f>'ANA SAYFA KESİCİ'!F75:J75</f>
        <v/>
      </c>
      <c r="G51" s="70" t="n"/>
      <c r="H51" s="70" t="n"/>
      <c r="I51" s="343" t="n"/>
      <c r="J51" s="75" t="n"/>
      <c r="K51" s="76" t="n"/>
      <c r="L51" s="176" t="n"/>
      <c r="M51" s="176" t="n"/>
      <c r="N51" s="176" t="n"/>
      <c r="O51" s="176" t="n"/>
      <c r="P51" s="176" t="n"/>
      <c r="Q51" s="178" t="n"/>
      <c r="R51" s="11" t="n"/>
    </row>
    <row r="52" ht="22.5" customHeight="1" s="684">
      <c r="A52" s="10" t="n"/>
      <c r="B52" s="495" t="inlineStr">
        <is>
          <t>ODA SİCİL NO</t>
        </is>
      </c>
      <c r="C52" s="125" t="n"/>
      <c r="D52" s="125" t="n"/>
      <c r="E52" s="587" t="inlineStr">
        <is>
          <t>:</t>
        </is>
      </c>
      <c r="F52" s="588">
        <f>'ANA SAYFA KESİCİ'!F77:J77</f>
        <v/>
      </c>
      <c r="G52" s="70" t="n"/>
      <c r="H52" s="70" t="n"/>
      <c r="I52" s="343" t="n"/>
      <c r="J52" s="75" t="n"/>
      <c r="K52" s="76" t="n"/>
      <c r="L52" s="176" t="n"/>
      <c r="M52" s="176" t="n"/>
      <c r="N52" s="176" t="n"/>
      <c r="O52" s="176" t="n"/>
      <c r="P52" s="176" t="n"/>
      <c r="Q52" s="178" t="n"/>
      <c r="R52" s="11" t="n"/>
    </row>
    <row r="53" ht="22.5" customHeight="1" s="684">
      <c r="A53" s="10" t="n"/>
      <c r="B53" s="495" t="inlineStr">
        <is>
          <t>EKİPNET NO</t>
        </is>
      </c>
      <c r="C53" s="125" t="n"/>
      <c r="D53" s="125" t="n"/>
      <c r="E53" s="496" t="inlineStr">
        <is>
          <t>:</t>
        </is>
      </c>
      <c r="F53" s="497">
        <f>'ANA SAYFA KESİCİ'!F78:J78</f>
        <v/>
      </c>
      <c r="G53" s="125" t="n"/>
      <c r="H53" s="125" t="n"/>
      <c r="I53" s="231" t="n"/>
      <c r="J53" s="336" t="n"/>
      <c r="K53" s="182" t="n"/>
      <c r="L53" s="182" t="n"/>
      <c r="M53" s="182" t="n"/>
      <c r="N53" s="182" t="n"/>
      <c r="O53" s="182" t="n"/>
      <c r="P53" s="182" t="n"/>
      <c r="Q53" s="179" t="n"/>
      <c r="R53" s="11" t="n"/>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topLeftCell="A33" zoomScale="85" zoomScaleNormal="85" workbookViewId="0">
      <selection activeCell="O50" sqref="O50"/>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658" t="inlineStr">
        <is>
          <t xml:space="preserve">  ŞALT SAHASI          </t>
        </is>
      </c>
      <c r="H2" s="70" t="n"/>
      <c r="I2" s="70" t="n"/>
      <c r="J2" s="275" t="inlineStr">
        <is>
          <t>:</t>
        </is>
      </c>
      <c r="K2" s="448">
        <f>'ANA SAYFA KESİCİ'!K2</f>
        <v/>
      </c>
      <c r="L2" s="70" t="n"/>
      <c r="M2" s="70" t="n"/>
      <c r="N2" s="70" t="n"/>
      <c r="O2" s="70" t="n"/>
      <c r="P2" s="70" t="n"/>
      <c r="Q2" s="343" t="n"/>
      <c r="R2" s="11" t="n"/>
    </row>
    <row r="3" ht="29.25" customHeight="1" s="684">
      <c r="A3" s="10" t="n"/>
      <c r="B3" s="62" t="n"/>
      <c r="C3" s="135" t="n"/>
      <c r="D3" s="135" t="n"/>
      <c r="E3" s="135" t="n"/>
      <c r="F3" s="345" t="n"/>
      <c r="G3" s="659" t="inlineStr">
        <is>
          <t xml:space="preserve">  LOKASYON</t>
        </is>
      </c>
      <c r="H3" s="135" t="n"/>
      <c r="I3" s="135" t="n"/>
      <c r="J3" s="660" t="inlineStr">
        <is>
          <t>:</t>
        </is>
      </c>
      <c r="K3" s="489">
        <f>'ANA SAYFA KESİCİ'!K5</f>
        <v/>
      </c>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5" t="inlineStr">
        <is>
          <t>KESİCİ AÇMA-KAPAMA SÜRELERİ TEST SONUÇLARI</t>
        </is>
      </c>
      <c r="C5" s="125" t="n"/>
      <c r="D5" s="125" t="n"/>
      <c r="E5" s="125" t="n"/>
      <c r="F5" s="125" t="n"/>
      <c r="G5" s="125" t="n"/>
      <c r="H5" s="125" t="n"/>
      <c r="I5" s="125" t="n"/>
      <c r="J5" s="125" t="n"/>
      <c r="K5" s="125" t="n"/>
      <c r="L5" s="125" t="n"/>
      <c r="M5" s="125" t="n"/>
      <c r="N5" s="125" t="n"/>
      <c r="O5" s="125" t="n"/>
      <c r="P5" s="125" t="n"/>
      <c r="Q5" s="231"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7">
        <f>'ANA SAYFA KESİCİ'!F74</f>
        <v/>
      </c>
      <c r="K7" s="125" t="n"/>
      <c r="L7" s="125" t="n"/>
      <c r="M7" s="125" t="n"/>
      <c r="N7" s="125" t="n"/>
      <c r="O7" s="125" t="n"/>
      <c r="P7" s="125" t="n"/>
      <c r="Q7" s="231" t="n"/>
      <c r="R7" s="11" t="n"/>
    </row>
    <row r="8" ht="6.75" customHeight="1" s="684">
      <c r="A8" s="10" t="n"/>
      <c r="B8" s="3" t="n"/>
      <c r="C8" s="264" t="n"/>
      <c r="D8" s="264" t="n"/>
      <c r="E8" s="264" t="n"/>
      <c r="F8" s="264" t="n"/>
      <c r="G8" s="264" t="n"/>
      <c r="H8" s="264" t="n"/>
      <c r="I8" s="264" t="n"/>
      <c r="J8" s="264" t="n"/>
      <c r="K8" s="264" t="n"/>
      <c r="L8" s="264" t="n"/>
      <c r="M8" s="264" t="n"/>
      <c r="N8" s="264" t="n"/>
      <c r="O8" s="264" t="n"/>
      <c r="P8" s="264" t="n"/>
      <c r="Q8" s="187" t="n"/>
      <c r="R8" s="11" t="n"/>
      <c r="T8" t="n">
        <v>1</v>
      </c>
    </row>
    <row r="9">
      <c r="A9" s="10" t="n"/>
      <c r="B9" s="525" t="inlineStr">
        <is>
          <t>Operatör :</t>
        </is>
      </c>
      <c r="C9" s="231" t="n"/>
      <c r="D9" s="526" t="inlineStr">
        <is>
          <t>Ahmet YILMAZ</t>
        </is>
      </c>
      <c r="E9" s="125" t="n"/>
      <c r="F9" s="125" t="n"/>
      <c r="G9" s="231" t="n"/>
      <c r="H9" s="525" t="inlineStr">
        <is>
          <t>Cihaz :</t>
        </is>
      </c>
      <c r="I9" s="231" t="n"/>
      <c r="J9" s="504" t="inlineStr">
        <is>
          <t>STS 5000</t>
        </is>
      </c>
      <c r="K9" s="125" t="n"/>
      <c r="L9" s="231" t="n"/>
      <c r="M9" s="504" t="inlineStr">
        <is>
          <t>Cihaz S/N :</t>
        </is>
      </c>
      <c r="N9" s="231" t="n"/>
      <c r="O9" s="504" t="inlineStr">
        <is>
          <t>SN-19B20</t>
        </is>
      </c>
      <c r="P9" s="125" t="n"/>
      <c r="Q9" s="231" t="n"/>
      <c r="R9" s="11" t="n"/>
      <c r="V9" t="n">
        <v>3</v>
      </c>
    </row>
    <row r="10" ht="6.75" customHeight="1" s="684">
      <c r="A10" s="10" t="n"/>
      <c r="B10" s="473" t="n"/>
      <c r="C10" s="214" t="n"/>
      <c r="D10" s="476" t="n"/>
      <c r="E10" s="476" t="n"/>
      <c r="F10" s="476" t="n"/>
      <c r="G10" s="476" t="n"/>
      <c r="H10" s="214" t="n"/>
      <c r="I10" s="214" t="n"/>
      <c r="J10" s="482" t="n"/>
      <c r="K10" s="482" t="n"/>
      <c r="L10" s="482" t="n"/>
      <c r="M10" s="482" t="n"/>
      <c r="N10" s="482" t="n"/>
      <c r="O10" s="482" t="n"/>
      <c r="P10" s="482" t="n"/>
      <c r="Q10" s="482" t="n"/>
      <c r="R10" s="95" t="n"/>
    </row>
    <row r="11" ht="14.25" customHeight="1" s="684">
      <c r="A11" s="10" t="n"/>
      <c r="B11" s="705" t="inlineStr">
        <is>
          <t>KESİCİ BİLGİLERİ</t>
        </is>
      </c>
      <c r="C11" s="125" t="n"/>
      <c r="D11" s="125" t="n"/>
      <c r="E11" s="125" t="n"/>
      <c r="F11" s="125" t="n"/>
      <c r="G11" s="125" t="n"/>
      <c r="H11" s="125" t="n"/>
      <c r="I11" s="125" t="n"/>
      <c r="J11" s="125" t="n"/>
      <c r="K11" s="125" t="n"/>
      <c r="L11" s="125" t="n"/>
      <c r="M11" s="125" t="n"/>
      <c r="N11" s="125" t="n"/>
      <c r="O11" s="125" t="n"/>
      <c r="P11" s="125" t="n"/>
      <c r="Q11" s="231" t="n"/>
      <c r="R11" s="252" t="n"/>
      <c r="T11" t="n">
        <v>20</v>
      </c>
    </row>
    <row r="12" ht="5.25" customHeight="1" s="684">
      <c r="A12" s="10" t="n"/>
      <c r="B12" s="3" t="n"/>
      <c r="C12" s="264" t="n"/>
      <c r="D12" s="264" t="n"/>
      <c r="E12" s="264" t="n"/>
      <c r="F12" s="264" t="n"/>
      <c r="G12" s="264" t="n"/>
      <c r="H12" s="264" t="n"/>
      <c r="I12" s="264" t="n"/>
      <c r="J12" s="264" t="n"/>
      <c r="K12" s="435" t="n"/>
      <c r="L12" s="435" t="n"/>
      <c r="M12" s="418" t="n"/>
      <c r="N12" s="264" t="n"/>
      <c r="O12" s="264" t="n"/>
      <c r="P12" s="264" t="n"/>
      <c r="Q12" s="187" t="n"/>
      <c r="R12" s="253" t="n"/>
    </row>
    <row r="13" ht="14.25" customHeight="1" s="684">
      <c r="A13" s="10" t="n"/>
      <c r="B13" s="429" t="inlineStr">
        <is>
          <t>Kesici Markası</t>
        </is>
      </c>
      <c r="F13" s="113" t="inlineStr">
        <is>
          <t>:</t>
        </is>
      </c>
      <c r="G13" s="436">
        <f>'ANA SAYFA KESİCİ'!G11</f>
        <v/>
      </c>
      <c r="H13" s="706" t="n"/>
      <c r="I13" s="706" t="n"/>
      <c r="J13" s="430" t="inlineStr">
        <is>
          <t>Kesici Tipi</t>
        </is>
      </c>
      <c r="M13" s="117" t="inlineStr">
        <is>
          <t xml:space="preserve">: </t>
        </is>
      </c>
      <c r="N13" s="696">
        <f>'ANA SAYFA KESİCİ'!O11</f>
        <v/>
      </c>
      <c r="O13" s="706" t="n"/>
      <c r="P13" s="706" t="n"/>
      <c r="Q13" s="707" t="n"/>
      <c r="R13" s="95" t="n"/>
    </row>
    <row r="14" ht="5.25" customHeight="1" s="684">
      <c r="A14" s="10" t="n"/>
      <c r="B14" s="429" t="n"/>
      <c r="C14" s="430" t="n"/>
      <c r="D14" s="430" t="n"/>
      <c r="E14" s="430" t="n"/>
      <c r="F14" s="93" t="n"/>
      <c r="G14" s="264" t="n"/>
      <c r="H14" s="264" t="n"/>
      <c r="I14" s="264" t="n"/>
      <c r="J14" s="435" t="n"/>
      <c r="K14" s="435" t="n"/>
      <c r="L14" s="418" t="n"/>
      <c r="M14" s="264" t="n"/>
      <c r="N14" s="264" t="n"/>
      <c r="O14" s="264" t="n"/>
      <c r="P14" s="264" t="n"/>
      <c r="Q14" s="187" t="n"/>
      <c r="R14" s="95" t="n"/>
    </row>
    <row r="15" ht="14.25" customHeight="1" s="684">
      <c r="A15" s="10" t="n"/>
      <c r="B15" s="370" t="inlineStr">
        <is>
          <t>Anma Akımı (A)</t>
        </is>
      </c>
      <c r="F15" s="113" t="inlineStr">
        <is>
          <t>:</t>
        </is>
      </c>
      <c r="G15" s="646">
        <f>'ANA SAYFA KESİCİ'!G13</f>
        <v/>
      </c>
      <c r="H15" s="706" t="n"/>
      <c r="I15" s="706" t="n"/>
      <c r="J15" s="435" t="inlineStr">
        <is>
          <t>İmal Yılı</t>
        </is>
      </c>
      <c r="M15" s="112" t="inlineStr">
        <is>
          <t>:</t>
        </is>
      </c>
      <c r="N15" s="437">
        <f>'ANA SAYFA KESİCİ'!O13</f>
        <v/>
      </c>
      <c r="O15" s="706" t="n"/>
      <c r="P15" s="706" t="n"/>
      <c r="Q15" s="707" t="n"/>
      <c r="R15" s="95" t="n"/>
      <c r="W15" t="inlineStr">
        <is>
          <t>Uygun</t>
        </is>
      </c>
    </row>
    <row r="16" ht="5.25" customHeight="1" s="684">
      <c r="A16" s="10" t="n"/>
      <c r="B16" s="429" t="n"/>
      <c r="C16" s="430" t="n"/>
      <c r="D16" s="430" t="n"/>
      <c r="E16" s="430" t="n"/>
      <c r="F16" s="93" t="n"/>
      <c r="G16" s="264" t="n"/>
      <c r="H16" s="264" t="n"/>
      <c r="I16" s="264" t="n"/>
      <c r="J16" s="435" t="n"/>
      <c r="K16" s="435" t="n"/>
      <c r="L16" s="418" t="n"/>
      <c r="M16" s="264" t="n"/>
      <c r="N16" s="264" t="n"/>
      <c r="O16" s="264" t="n"/>
      <c r="P16" s="264" t="n"/>
      <c r="Q16" s="187" t="n"/>
      <c r="R16" s="95" t="n"/>
    </row>
    <row r="17" ht="14.25" customHeight="1" s="684">
      <c r="A17" s="10" t="n"/>
      <c r="B17" s="429" t="inlineStr">
        <is>
          <t>Gerilim Seviyesi (V)</t>
        </is>
      </c>
      <c r="F17" s="113" t="inlineStr">
        <is>
          <t xml:space="preserve">:  </t>
        </is>
      </c>
      <c r="G17" s="646">
        <f>'ANA SAYFA KESİCİ'!G15</f>
        <v/>
      </c>
      <c r="H17" s="706" t="n"/>
      <c r="I17" s="706" t="n"/>
      <c r="J17" s="435" t="inlineStr">
        <is>
          <t>Seri Numarası</t>
        </is>
      </c>
      <c r="M17" s="112" t="inlineStr">
        <is>
          <t>:</t>
        </is>
      </c>
      <c r="N17" s="645">
        <f>'ANA SAYFA KESİCİ'!O15</f>
        <v/>
      </c>
      <c r="O17" s="706" t="n"/>
      <c r="P17" s="706" t="n"/>
      <c r="Q17" s="707" t="n"/>
      <c r="R17" s="95" t="n"/>
      <c r="W17" t="inlineStr">
        <is>
          <t>Uygun Değil</t>
        </is>
      </c>
    </row>
    <row r="18" ht="5.25" customHeight="1" s="684">
      <c r="A18" s="10" t="n"/>
      <c r="B18" s="429" t="n"/>
      <c r="C18" s="430" t="n"/>
      <c r="D18" s="430" t="n"/>
      <c r="E18" s="430" t="n"/>
      <c r="F18" s="93" t="n"/>
      <c r="G18" s="264" t="n"/>
      <c r="H18" s="264" t="n"/>
      <c r="I18" s="264" t="n"/>
      <c r="J18" s="435" t="n"/>
      <c r="K18" s="435" t="n"/>
      <c r="L18" s="418" t="n"/>
      <c r="M18" s="264" t="n"/>
      <c r="N18" s="264" t="n"/>
      <c r="O18" s="264" t="n"/>
      <c r="P18" s="264" t="n"/>
      <c r="Q18" s="187" t="n"/>
      <c r="R18" s="95" t="n"/>
    </row>
    <row r="19" ht="14.25" customHeight="1" s="684">
      <c r="A19" s="10" t="n"/>
      <c r="B19" s="459" t="inlineStr">
        <is>
          <t>Motor Gerilimi</t>
        </is>
      </c>
      <c r="F19" s="112" t="inlineStr">
        <is>
          <t>:</t>
        </is>
      </c>
      <c r="G19" s="646">
        <f>'ANA SAYFA KESİCİ'!G17</f>
        <v/>
      </c>
      <c r="H19" s="706" t="n"/>
      <c r="I19" s="706" t="n"/>
      <c r="J19" s="435" t="inlineStr">
        <is>
          <t>Bobin Gerilimi</t>
        </is>
      </c>
      <c r="M19" s="112" t="inlineStr">
        <is>
          <t>:</t>
        </is>
      </c>
      <c r="N19" s="645">
        <f>'ANA SAYFA KESİCİ'!O17</f>
        <v/>
      </c>
      <c r="O19" s="706" t="n"/>
      <c r="P19" s="706" t="n"/>
      <c r="Q19" s="707" t="n"/>
      <c r="R19" s="95" t="n"/>
      <c r="S19" s="418" t="inlineStr">
        <is>
          <t>Max.</t>
        </is>
      </c>
      <c r="T19" s="418" t="inlineStr">
        <is>
          <t>Max.</t>
        </is>
      </c>
      <c r="U19" s="418" t="inlineStr">
        <is>
          <t>Max.</t>
        </is>
      </c>
      <c r="V19" s="418" t="n"/>
    </row>
    <row r="20" ht="5.25" customHeight="1" s="684">
      <c r="A20" s="10" t="n"/>
      <c r="B20" s="459" t="n"/>
      <c r="C20" s="435" t="n"/>
      <c r="D20" s="435" t="n"/>
      <c r="E20" s="435" t="n"/>
      <c r="F20" s="264" t="n"/>
      <c r="G20" s="418" t="n"/>
      <c r="H20" s="418" t="n"/>
      <c r="I20" s="418" t="n"/>
      <c r="J20" s="435" t="n"/>
      <c r="K20" s="435" t="n"/>
      <c r="L20" s="435" t="n"/>
      <c r="M20" s="264" t="n"/>
      <c r="N20" s="418" t="n"/>
      <c r="O20" s="418" t="n"/>
      <c r="P20" s="418" t="n"/>
      <c r="Q20" s="702" t="n"/>
      <c r="R20" s="11" t="n"/>
      <c r="S20" s="418" t="n"/>
      <c r="T20" s="418" t="n"/>
      <c r="U20" s="418" t="n"/>
      <c r="V20" s="418" t="n"/>
    </row>
    <row r="21" ht="18.75" customHeight="1" s="684">
      <c r="A21" s="10" t="n"/>
      <c r="B21" s="705" t="inlineStr">
        <is>
          <t>KESİCİ AÇMA / KAPAMA ZAMANI</t>
        </is>
      </c>
      <c r="C21" s="125" t="n"/>
      <c r="D21" s="125" t="n"/>
      <c r="E21" s="125" t="n"/>
      <c r="F21" s="125" t="n"/>
      <c r="G21" s="125" t="n"/>
      <c r="H21" s="125" t="n"/>
      <c r="I21" s="125" t="n"/>
      <c r="J21" s="125" t="n"/>
      <c r="K21" s="125" t="n"/>
      <c r="L21" s="125" t="n"/>
      <c r="M21" s="125" t="n"/>
      <c r="N21" s="125" t="n"/>
      <c r="O21" s="125" t="n"/>
      <c r="P21" s="125" t="n"/>
      <c r="Q21" s="231" t="n"/>
      <c r="R21" s="11" t="n"/>
      <c r="S21" s="651" t="n">
        <v>80</v>
      </c>
      <c r="T21" s="651" t="n">
        <v>120</v>
      </c>
      <c r="U21" s="418" t="n">
        <v>5</v>
      </c>
      <c r="V21" s="418" t="n"/>
      <c r="W21" t="n">
        <v>0</v>
      </c>
    </row>
    <row r="22" ht="8.25" customHeight="1" s="684">
      <c r="A22" s="10" t="n"/>
      <c r="B22" s="210" t="n"/>
      <c r="C22" s="209" t="n"/>
      <c r="D22" s="209" t="n"/>
      <c r="E22" s="209" t="n"/>
      <c r="F22" s="209" t="n"/>
      <c r="G22" s="209" t="n"/>
      <c r="H22" s="209" t="n"/>
      <c r="I22" s="209" t="n"/>
      <c r="J22" s="209" t="n"/>
      <c r="K22" s="699" t="n"/>
      <c r="L22" s="699" t="n"/>
      <c r="M22" s="699" t="n"/>
      <c r="N22" s="699" t="n"/>
      <c r="O22" s="699" t="n"/>
      <c r="P22" s="699" t="n"/>
      <c r="Q22" s="700" t="n"/>
      <c r="R22" s="11" t="n"/>
      <c r="S22" s="418" t="n"/>
      <c r="T22" s="418" t="n"/>
      <c r="U22" s="418" t="n"/>
      <c r="V22" s="418" t="n"/>
    </row>
    <row r="23" ht="18.75" customHeight="1" s="684">
      <c r="A23" s="35" t="n"/>
      <c r="B23" s="705" t="inlineStr">
        <is>
          <t>Açma</t>
        </is>
      </c>
      <c r="C23" s="125" t="n"/>
      <c r="D23" s="125" t="n"/>
      <c r="E23" s="125" t="n"/>
      <c r="F23" s="125" t="n"/>
      <c r="G23" s="125" t="n"/>
      <c r="H23" s="125" t="n"/>
      <c r="I23" s="231" t="n"/>
      <c r="J23" s="705" t="inlineStr">
        <is>
          <t>Kapama</t>
        </is>
      </c>
      <c r="K23" s="125" t="n"/>
      <c r="L23" s="125" t="n"/>
      <c r="M23" s="125" t="n"/>
      <c r="N23" s="125" t="n"/>
      <c r="O23" s="125" t="n"/>
      <c r="P23" s="125" t="n"/>
      <c r="Q23" s="231" t="n"/>
      <c r="R23" s="11" t="n"/>
      <c r="S23" s="418" t="n"/>
      <c r="T23" s="418" t="n"/>
      <c r="U23" s="418" t="n"/>
      <c r="V23" s="418" t="n"/>
    </row>
    <row r="24" ht="12" customHeight="1" s="684">
      <c r="A24" s="35" t="n"/>
      <c r="B24" s="264" t="n"/>
      <c r="C24" s="264" t="n"/>
      <c r="D24" s="264" t="n"/>
      <c r="E24" s="264" t="n"/>
      <c r="F24" s="264" t="n"/>
      <c r="G24" s="264" t="n"/>
      <c r="J24" s="264" t="n"/>
      <c r="K24" s="264" t="n"/>
      <c r="L24" s="264" t="n"/>
      <c r="M24" s="264" t="n"/>
      <c r="Q24" s="344" t="n"/>
      <c r="R24" s="11" t="n"/>
      <c r="S24" s="418" t="n">
        <v>40</v>
      </c>
      <c r="T24" s="418" t="n">
        <v>30</v>
      </c>
      <c r="U24" s="418" t="n">
        <v>20</v>
      </c>
      <c r="V24" s="418" t="n">
        <v>10</v>
      </c>
    </row>
    <row r="25">
      <c r="A25" s="35" t="n"/>
      <c r="B25" s="483" t="inlineStr">
        <is>
          <t>A-1</t>
        </is>
      </c>
      <c r="C25" s="583">
        <f>'ANA SAYFA KESİCİ'!C61:D61</f>
        <v/>
      </c>
      <c r="D25" s="125" t="n"/>
      <c r="E25" s="27" t="inlineStr">
        <is>
          <t>ms</t>
        </is>
      </c>
      <c r="F25" s="689" t="inlineStr">
        <is>
          <t>Bobin Gerilimi</t>
        </is>
      </c>
      <c r="G25" s="70" t="n"/>
      <c r="H25" s="483">
        <f>'ANA SAYFA KESİCİ'!O17</f>
        <v/>
      </c>
      <c r="I25" s="343" t="n"/>
      <c r="J25" s="504" t="inlineStr">
        <is>
          <t>A-1</t>
        </is>
      </c>
      <c r="K25" s="694">
        <f>'ANA SAYFA KESİCİ'!J61</f>
        <v/>
      </c>
      <c r="L25" s="70" t="n"/>
      <c r="M25" s="46" t="inlineStr">
        <is>
          <t>ms</t>
        </is>
      </c>
      <c r="N25" s="689" t="inlineStr">
        <is>
          <t>Bobin Gerilimi</t>
        </is>
      </c>
      <c r="O25" s="70" t="n"/>
      <c r="P25" s="483">
        <f>'ANA SAYFA KESİCİ'!O17</f>
        <v/>
      </c>
      <c r="Q25" s="343" t="n"/>
      <c r="R25" s="11" t="n"/>
      <c r="S25" s="418" t="n">
        <v>40</v>
      </c>
      <c r="T25" s="418" t="n">
        <v>30</v>
      </c>
      <c r="U25" s="418" t="n">
        <v>20</v>
      </c>
      <c r="V25" s="418" t="n">
        <v>10</v>
      </c>
    </row>
    <row r="26">
      <c r="A26" s="35" t="n"/>
      <c r="B26" s="483" t="inlineStr">
        <is>
          <t>B-1</t>
        </is>
      </c>
      <c r="C26" s="583">
        <f>'ANA SAYFA KESİCİ'!C63:D63</f>
        <v/>
      </c>
      <c r="D26" s="125" t="n"/>
      <c r="E26" s="27" t="inlineStr">
        <is>
          <t>ms</t>
        </is>
      </c>
      <c r="F26" s="62" t="n"/>
      <c r="G26" s="135" t="n"/>
      <c r="H26" s="135" t="n"/>
      <c r="I26" s="345" t="n"/>
      <c r="J26" s="504" t="inlineStr">
        <is>
          <t>B-1</t>
        </is>
      </c>
      <c r="K26" s="583">
        <f>'ANA SAYFA KESİCİ'!J63</f>
        <v/>
      </c>
      <c r="L26" s="125" t="n"/>
      <c r="M26" s="27" t="inlineStr">
        <is>
          <t>ms</t>
        </is>
      </c>
      <c r="N26" s="62" t="n"/>
      <c r="O26" s="135" t="n"/>
      <c r="P26" s="135" t="n"/>
      <c r="Q26" s="345" t="n"/>
      <c r="R26" s="11" t="n"/>
    </row>
    <row r="27">
      <c r="A27" s="35" t="n"/>
      <c r="B27" s="483" t="inlineStr">
        <is>
          <t>C-1</t>
        </is>
      </c>
      <c r="C27" s="583">
        <f>'ANA SAYFA KESİCİ'!C65:D65</f>
        <v/>
      </c>
      <c r="D27" s="125" t="n"/>
      <c r="E27" s="27" t="inlineStr">
        <is>
          <t>ms</t>
        </is>
      </c>
      <c r="F27" s="689" t="inlineStr">
        <is>
          <t>Bobin    Akımı</t>
        </is>
      </c>
      <c r="G27" s="70" t="n"/>
      <c r="H27" s="749">
        <f>'ANA SAYFA KESİCİ'!F65</f>
        <v/>
      </c>
      <c r="I27" s="477" t="inlineStr">
        <is>
          <t>A</t>
        </is>
      </c>
      <c r="J27" s="504" t="inlineStr">
        <is>
          <t>C-1</t>
        </is>
      </c>
      <c r="K27" s="583">
        <f>'ANA SAYFA KESİCİ'!J65</f>
        <v/>
      </c>
      <c r="L27" s="125" t="n"/>
      <c r="M27" s="27" t="inlineStr">
        <is>
          <t>ms</t>
        </is>
      </c>
      <c r="N27" s="689" t="inlineStr">
        <is>
          <t>Bobin    Akımı</t>
        </is>
      </c>
      <c r="O27" s="70" t="n"/>
      <c r="P27" s="749">
        <f>'ANA SAYFA KESİCİ'!M65</f>
        <v/>
      </c>
      <c r="Q27" s="477" t="inlineStr">
        <is>
          <t>A</t>
        </is>
      </c>
      <c r="R27" s="11" t="n"/>
    </row>
    <row r="28">
      <c r="A28" s="35" t="n"/>
      <c r="B28" s="750" t="inlineStr">
        <is>
          <t>Faz Uyuşmazlığı</t>
        </is>
      </c>
      <c r="C28" s="125" t="n"/>
      <c r="D28" s="125" t="n"/>
      <c r="E28" s="231" t="n"/>
      <c r="F28" s="62" t="n"/>
      <c r="G28" s="135" t="n"/>
      <c r="H28" s="135" t="n"/>
      <c r="I28" s="345" t="n"/>
      <c r="J28" s="750" t="inlineStr">
        <is>
          <t>Faz Uyuşmazlığı</t>
        </is>
      </c>
      <c r="K28" s="125" t="n"/>
      <c r="L28" s="125" t="n"/>
      <c r="M28" s="231" t="n"/>
      <c r="N28" s="62" t="n"/>
      <c r="O28" s="135" t="n"/>
      <c r="P28" s="135" t="n"/>
      <c r="Q28" s="345" t="n"/>
      <c r="R28" s="11" t="n"/>
      <c r="W28" s="652" t="inlineStr">
        <is>
          <t>Kesicinin L1 fazına ait izolasyon direnç değeri uygun değildir.</t>
        </is>
      </c>
    </row>
    <row r="29" ht="15" customHeight="1" s="684">
      <c r="A29" s="10" t="n"/>
      <c r="B29" s="656">
        <f>'ANA SAYFA KESİCİ'!F61</f>
        <v/>
      </c>
      <c r="C29" s="125" t="n"/>
      <c r="D29" s="125" t="n"/>
      <c r="E29" s="260" t="inlineStr">
        <is>
          <t>ms</t>
        </is>
      </c>
      <c r="F29" s="751">
        <f>IF(B29&gt;5,W17,W15)</f>
        <v/>
      </c>
      <c r="G29" s="125" t="n"/>
      <c r="H29" s="125" t="n"/>
      <c r="I29" s="231" t="n"/>
      <c r="J29" s="685">
        <f>'ANA SAYFA KESİCİ'!M61</f>
        <v/>
      </c>
      <c r="K29" s="125" t="n"/>
      <c r="L29" s="125" t="n"/>
      <c r="M29" s="261" t="inlineStr">
        <is>
          <t>ms</t>
        </is>
      </c>
      <c r="N29" s="751">
        <f>IF(J29&gt;5,W17,W15)</f>
        <v/>
      </c>
      <c r="O29" s="125" t="n"/>
      <c r="P29" s="125" t="n"/>
      <c r="Q29" s="231" t="n"/>
      <c r="R29" s="11" t="n"/>
      <c r="W29" s="652" t="n"/>
      <c r="X29" s="652" t="n"/>
      <c r="Y29" s="652" t="n"/>
      <c r="Z29" s="652" t="n"/>
      <c r="AA29" s="652" t="n"/>
      <c r="AB29" s="652" t="n"/>
      <c r="AC29" s="652" t="n"/>
      <c r="AD29" s="652" t="n"/>
    </row>
    <row r="30" ht="9" customHeight="1" s="684">
      <c r="A30" s="10" t="n"/>
      <c r="B30" s="171" t="n"/>
      <c r="C30" s="544" t="n"/>
      <c r="D30" s="544" t="n"/>
      <c r="E30" s="544" t="n"/>
      <c r="F30" s="544" t="n"/>
      <c r="G30" s="544" t="n"/>
      <c r="H30" s="544" t="n"/>
      <c r="O30" s="544" t="n"/>
      <c r="P30" s="544" t="n"/>
      <c r="Q30" s="702" t="n"/>
      <c r="R30" s="11" t="n"/>
      <c r="W30" s="652" t="inlineStr">
        <is>
          <t>Kesicinin L2 fazına ait izolasyon direnç değeri uygundur.</t>
        </is>
      </c>
    </row>
    <row r="31" ht="15" customHeight="1" s="684">
      <c r="A31" s="10" t="n"/>
      <c r="B31" s="177" t="n"/>
      <c r="C31" s="176" t="n"/>
      <c r="D31" s="176" t="n"/>
      <c r="E31" s="176" t="n"/>
      <c r="F31" s="176" t="n"/>
      <c r="G31" s="176" t="n"/>
      <c r="H31" s="176" t="n"/>
      <c r="O31" s="176" t="n"/>
      <c r="P31" s="176" t="n"/>
      <c r="Q31" s="178" t="n"/>
      <c r="R31" s="11" t="n"/>
      <c r="W31" s="652" t="inlineStr">
        <is>
          <t>Kesicinin L2 fazına ait izolasyon direnç değeri uygun değildir.</t>
        </is>
      </c>
    </row>
    <row r="32">
      <c r="A32" s="10" t="n"/>
      <c r="B32" s="3" t="n"/>
      <c r="C32" s="264" t="n"/>
      <c r="D32" s="264" t="n"/>
      <c r="E32" s="264" t="n"/>
      <c r="F32" s="264" t="n"/>
      <c r="G32" s="264" t="n"/>
      <c r="H32" s="264" t="n"/>
      <c r="O32" s="264" t="n"/>
      <c r="P32" s="264" t="n"/>
      <c r="Q32" s="187" t="n"/>
      <c r="R32" s="11" t="n"/>
      <c r="W32" s="652" t="inlineStr">
        <is>
          <t>Kesicinin L3 fazına ait izolasyon direnç değeri uygundur.</t>
        </is>
      </c>
    </row>
    <row r="33">
      <c r="A33" s="10" t="n"/>
      <c r="B33" s="3" t="n"/>
      <c r="C33" s="264" t="n"/>
      <c r="D33" s="264" t="n"/>
      <c r="E33" s="264" t="n"/>
      <c r="F33" s="264" t="n"/>
      <c r="G33" s="264" t="n"/>
      <c r="H33" s="264" t="n"/>
      <c r="O33" s="264" t="n"/>
      <c r="P33" s="264" t="n"/>
      <c r="Q33" s="187" t="n"/>
      <c r="R33" s="11" t="n"/>
      <c r="W33" s="652" t="inlineStr">
        <is>
          <t>Kesicinin L3 fazına ait izolasyon direnç değeri uygun değildir.</t>
        </is>
      </c>
    </row>
    <row r="34">
      <c r="A34" s="10" t="n"/>
      <c r="B34" s="25" t="n"/>
      <c r="C34" s="26" t="n"/>
      <c r="D34" s="26" t="n"/>
      <c r="E34" s="26" t="n"/>
      <c r="F34" s="264" t="n"/>
      <c r="G34" s="264" t="n"/>
      <c r="H34" s="264" t="n"/>
      <c r="I34" s="264" t="n"/>
      <c r="J34" s="264" t="n"/>
      <c r="K34" s="264" t="n"/>
      <c r="L34" s="264" t="n"/>
      <c r="M34" s="264" t="n"/>
      <c r="N34" s="264" t="n"/>
      <c r="O34" s="264" t="n"/>
      <c r="P34" s="264" t="n"/>
      <c r="Q34" s="187" t="n"/>
      <c r="R34" s="11" t="n"/>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row>
    <row r="37" ht="72" customHeight="1" s="684">
      <c r="A37" s="10" t="n"/>
      <c r="B37" s="3" t="n"/>
      <c r="C37" s="264" t="n"/>
      <c r="D37" s="264" t="n"/>
      <c r="E37" s="264" t="n"/>
      <c r="F37" s="24" t="n"/>
      <c r="G37" s="264" t="n"/>
      <c r="H37" s="264" t="n"/>
      <c r="I37" s="264" t="n"/>
      <c r="J37" s="264" t="n"/>
      <c r="K37" s="264" t="n"/>
      <c r="L37" s="264" t="n"/>
      <c r="M37" s="264" t="n"/>
      <c r="N37" s="264" t="n"/>
      <c r="O37" s="264" t="n"/>
      <c r="P37" s="264" t="n"/>
      <c r="Q37" s="187" t="n"/>
      <c r="R37" s="11" t="n"/>
    </row>
    <row r="38" ht="26.25" customHeight="1" s="684">
      <c r="A38" s="10" t="n"/>
      <c r="B38" s="3" t="n"/>
      <c r="C38" s="264" t="n"/>
      <c r="D38" s="264" t="n"/>
      <c r="E38" s="264" t="n"/>
      <c r="F38" s="24" t="n"/>
      <c r="G38" s="264" t="n"/>
      <c r="H38" s="264" t="n"/>
      <c r="I38" s="264" t="n"/>
      <c r="J38" s="264" t="n"/>
      <c r="K38" s="264" t="n"/>
      <c r="L38" s="264" t="n"/>
      <c r="M38" s="264" t="n"/>
      <c r="N38" s="264" t="n"/>
      <c r="O38" s="264" t="n"/>
      <c r="P38" s="264" t="n"/>
      <c r="Q38" s="187" t="n"/>
      <c r="R38" s="11" t="n"/>
      <c r="W38" s="516" t="inlineStr">
        <is>
          <t>Kesicinin Açma süreleri ve bobin akım değerleri uygundur.</t>
        </is>
      </c>
    </row>
    <row r="39" ht="15.75" customHeight="1" s="684">
      <c r="A39" s="35" t="n"/>
      <c r="B39" s="752" t="inlineStr">
        <is>
          <t>TEDAŞ-MLZ/95-008.A İlgili Teknik Şartnamesi Gereği</t>
        </is>
      </c>
      <c r="Q39" s="344" t="n"/>
      <c r="R39" s="11" t="n"/>
      <c r="V39" s="243" t="n"/>
      <c r="W39" s="516" t="inlineStr">
        <is>
          <t>Kesicinin Açma süreleri uygun değildir.</t>
        </is>
      </c>
    </row>
    <row r="40" ht="15" customHeight="1" s="684">
      <c r="A40" s="35" t="n"/>
      <c r="B40" s="753" t="inlineStr">
        <is>
          <t>Açma süresi: 80 milisaniyeden az</t>
        </is>
      </c>
      <c r="Q40" s="344" t="n"/>
      <c r="R40" s="11" t="n"/>
      <c r="V40" s="243" t="n"/>
      <c r="W40" s="516" t="inlineStr">
        <is>
          <t>Kesicinin Kapama süreleri ve bobin akım değerleri uygundur.</t>
        </is>
      </c>
    </row>
    <row r="41" ht="15" customHeight="1" s="684">
      <c r="A41" s="35" t="n"/>
      <c r="B41" s="753" t="inlineStr">
        <is>
          <t>Kapama süresi: 120 milisaniyeden az</t>
        </is>
      </c>
      <c r="Q41" s="344" t="n"/>
      <c r="R41" s="11" t="n"/>
      <c r="V41" s="243" t="n"/>
      <c r="W41" s="516" t="inlineStr">
        <is>
          <t>Kesicinin Kapama süreleri uygun değildir.</t>
        </is>
      </c>
    </row>
    <row r="42" ht="15" customHeight="1" s="684">
      <c r="A42" s="35" t="n"/>
      <c r="B42" s="753" t="inlineStr">
        <is>
          <t>Açma süresi faz uyuşmazlığı: 5 milisaniyeden az</t>
        </is>
      </c>
      <c r="Q42" s="344" t="n"/>
      <c r="R42" s="11" t="n"/>
      <c r="W42" s="516" t="inlineStr">
        <is>
          <t>Kesicinin Açma-Kapama Süresi Faz Uyuşmazlığı uygundur.</t>
        </is>
      </c>
    </row>
    <row r="43" ht="15" customHeight="1" s="684">
      <c r="A43" s="35" t="n"/>
      <c r="B43" s="753" t="inlineStr">
        <is>
          <t>Kapama süresi faz uyuşmazlığı: 5 milisaniyeden az</t>
        </is>
      </c>
      <c r="Q43" s="344" t="n"/>
      <c r="R43" s="11" t="n"/>
      <c r="V43" s="243" t="n"/>
      <c r="W43" s="516" t="inlineStr">
        <is>
          <t>Kesicinin Açma-Kapama Süresi Faz Uyuşmazlığı uygun değildir.</t>
        </is>
      </c>
    </row>
    <row r="44" ht="4.5" customHeight="1" s="684">
      <c r="A44" s="10" t="n"/>
      <c r="B44" s="56" t="n"/>
      <c r="C44" s="418" t="n"/>
      <c r="D44" s="418" t="n"/>
      <c r="E44" s="418" t="n"/>
      <c r="F44" s="418" t="n"/>
      <c r="G44" s="418" t="n"/>
      <c r="H44" s="418" t="n"/>
      <c r="I44" s="418" t="n"/>
      <c r="J44" s="418" t="n"/>
      <c r="K44" s="264" t="n"/>
      <c r="L44" s="264" t="n"/>
      <c r="M44" s="264" t="n"/>
      <c r="N44" s="264" t="n"/>
      <c r="O44" s="264" t="n"/>
      <c r="P44" s="264" t="n"/>
      <c r="Q44" s="702" t="n"/>
      <c r="R44" s="11" t="n"/>
    </row>
    <row r="45" ht="15.75" customHeight="1" s="684">
      <c r="A45" s="10" t="n"/>
      <c r="B45" s="545" t="inlineStr">
        <is>
          <t>Sonuç :</t>
        </is>
      </c>
      <c r="C45" s="231" t="n"/>
      <c r="D45" s="754">
        <f>IF(OR(C25&gt;S21,C26&gt;S21,C27&gt;S21),W39,W38)</f>
        <v/>
      </c>
      <c r="E45" s="70" t="n"/>
      <c r="F45" s="70" t="n"/>
      <c r="G45" s="70" t="n"/>
      <c r="H45" s="70" t="n"/>
      <c r="I45" s="70" t="n"/>
      <c r="J45" s="70" t="n"/>
      <c r="K45" s="70" t="n"/>
      <c r="L45" s="70" t="n"/>
      <c r="M45" s="70" t="n"/>
      <c r="N45" s="70" t="n"/>
      <c r="O45" s="70" t="n"/>
      <c r="P45" s="70" t="n"/>
      <c r="Q45" s="343" t="n"/>
      <c r="R45" s="11" t="n"/>
    </row>
    <row r="46" ht="15" customHeight="1" s="684">
      <c r="A46" s="10" t="n"/>
      <c r="B46" s="171" t="n"/>
      <c r="C46" s="24" t="n"/>
      <c r="D46" s="517">
        <f>IF(OR(K25&gt;T21,K26&gt;T21,K27&gt;T21),W41,W40)</f>
        <v/>
      </c>
      <c r="Q46" s="344" t="n"/>
      <c r="R46" s="11" t="n"/>
    </row>
    <row r="47" ht="15" customHeight="1" s="684">
      <c r="A47" s="10" t="n"/>
      <c r="B47" s="171" t="n"/>
      <c r="C47" s="24" t="n"/>
      <c r="D47" s="517">
        <f>IF(OR(B29&gt;U21,J29&gt;U21),W43,W42)</f>
        <v/>
      </c>
      <c r="Q47" s="344" t="n"/>
      <c r="R47" s="11" t="n"/>
    </row>
    <row r="48" ht="22.5" customHeight="1" s="684">
      <c r="A48" s="10" t="n"/>
      <c r="B48" s="520" t="inlineStr">
        <is>
          <t>UNVAN</t>
        </is>
      </c>
      <c r="C48" s="70" t="n"/>
      <c r="D48" s="70" t="n"/>
      <c r="E48" s="330" t="inlineStr">
        <is>
          <t>:</t>
        </is>
      </c>
      <c r="F48" s="519" t="inlineStr">
        <is>
          <t>Elektrik Mühendisi</t>
        </is>
      </c>
      <c r="G48" s="70" t="n"/>
      <c r="H48" s="70" t="n"/>
      <c r="I48" s="343" t="n"/>
      <c r="J48" s="705" t="inlineStr">
        <is>
          <t>ONAYLAYAN</t>
        </is>
      </c>
      <c r="K48" s="125" t="n"/>
      <c r="L48" s="125" t="n"/>
      <c r="M48" s="125" t="n"/>
      <c r="N48" s="125" t="n"/>
      <c r="O48" s="125" t="n"/>
      <c r="P48" s="125" t="n"/>
      <c r="Q48" s="231" t="n"/>
      <c r="R48" s="11" t="n"/>
    </row>
    <row r="49" ht="22.5" customHeight="1" s="684">
      <c r="A49" s="10" t="n"/>
      <c r="B49" s="520" t="inlineStr">
        <is>
          <t>TEST TARİHİ</t>
        </is>
      </c>
      <c r="C49" s="70" t="n"/>
      <c r="D49" s="70" t="n"/>
      <c r="E49" s="330" t="inlineStr">
        <is>
          <t>:</t>
        </is>
      </c>
      <c r="F49" s="720">
        <f>'ANA SAYFA KESİCİ'!F75</f>
        <v/>
      </c>
      <c r="G49" s="70" t="n"/>
      <c r="H49" s="70" t="n"/>
      <c r="I49" s="343" t="n"/>
      <c r="J49" s="75" t="n"/>
      <c r="K49" s="76" t="n"/>
      <c r="L49" s="176" t="n"/>
      <c r="M49" s="176" t="n"/>
      <c r="N49" s="176" t="n"/>
      <c r="O49" s="176" t="n"/>
      <c r="P49" s="176" t="n"/>
      <c r="Q49" s="178" t="n"/>
      <c r="R49" s="11" t="n"/>
    </row>
    <row r="50" ht="22.5" customHeight="1" s="684">
      <c r="A50" s="10" t="n"/>
      <c r="B50" s="495" t="inlineStr">
        <is>
          <t>ODA SİCİL NO</t>
        </is>
      </c>
      <c r="C50" s="125" t="n"/>
      <c r="D50" s="125" t="n"/>
      <c r="E50" s="587" t="inlineStr">
        <is>
          <t>:</t>
        </is>
      </c>
      <c r="F50" s="588">
        <f>'ANA SAYFA KESİCİ'!F77</f>
        <v/>
      </c>
      <c r="G50" s="70" t="n"/>
      <c r="H50" s="70" t="n"/>
      <c r="I50" s="343" t="n"/>
      <c r="J50" s="75" t="n"/>
      <c r="K50" s="76" t="n"/>
      <c r="L50" s="176" t="n"/>
      <c r="M50" s="176" t="n"/>
      <c r="N50" s="176" t="n"/>
      <c r="O50" s="176" t="n"/>
      <c r="P50" s="176" t="n"/>
      <c r="Q50" s="178" t="n"/>
      <c r="R50" s="11" t="n"/>
    </row>
    <row r="51" ht="22.5" customHeight="1" s="684">
      <c r="A51" s="10" t="n"/>
      <c r="B51" s="495" t="inlineStr">
        <is>
          <t>EKİPNET NO</t>
        </is>
      </c>
      <c r="C51" s="125" t="n"/>
      <c r="D51" s="125" t="n"/>
      <c r="E51" s="496" t="inlineStr">
        <is>
          <t>:</t>
        </is>
      </c>
      <c r="F51" s="497">
        <f>'ANA SAYFA KESİCİ'!F78</f>
        <v/>
      </c>
      <c r="G51" s="125" t="n"/>
      <c r="H51" s="125" t="n"/>
      <c r="I51" s="231" t="n"/>
      <c r="J51" s="336" t="n"/>
      <c r="K51" s="182" t="n"/>
      <c r="L51" s="182" t="n"/>
      <c r="M51" s="182" t="n"/>
      <c r="N51" s="182" t="n"/>
      <c r="O51" s="182" t="n"/>
      <c r="P51" s="182" t="n"/>
      <c r="Q51" s="179" t="n"/>
      <c r="R51" s="11" t="n"/>
    </row>
    <row r="52" ht="15.75" customHeight="1" s="684" thickBot="1">
      <c r="A52" s="15" t="n"/>
      <c r="B52" s="16" t="n"/>
      <c r="C52" s="16" t="n"/>
      <c r="D52" s="16" t="n"/>
      <c r="E52" s="16" t="n"/>
      <c r="F52" s="16" t="n"/>
      <c r="G52" s="16" t="n"/>
      <c r="H52" s="16" t="n"/>
      <c r="I52" s="16" t="n"/>
      <c r="J52" s="16" t="n"/>
      <c r="K52" s="16" t="n"/>
      <c r="L52" s="16" t="n"/>
      <c r="M52" s="16" t="n"/>
      <c r="N52" s="16" t="n"/>
      <c r="O52" s="16" t="n"/>
      <c r="P52" s="16" t="n"/>
      <c r="Q52" s="16" t="n"/>
      <c r="R52" s="17" t="n"/>
    </row>
    <row r="53"/>
    <row r="54"/>
    <row r="55"/>
    <row r="56" ht="18.75" customHeight="1" s="684">
      <c r="S56" s="76" t="n"/>
    </row>
    <row r="57">
      <c r="S57" s="264" t="n"/>
    </row>
    <row r="58">
      <c r="S58" s="225" t="n"/>
    </row>
    <row r="59">
      <c r="S59" s="264" t="n"/>
    </row>
    <row r="60">
      <c r="S60" s="263" t="n"/>
    </row>
    <row r="61">
      <c r="S61" s="264" t="n"/>
    </row>
    <row r="62">
      <c r="S62" s="264" t="n"/>
    </row>
    <row r="63">
      <c r="S63" s="264" t="n"/>
    </row>
    <row r="64">
      <c r="S64" s="264"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J29:L29">
    <cfRule type="cellIs" priority="4" operator="greaterThan" dxfId="7">
      <formula>5</formula>
    </cfRule>
  </conditionalFormatting>
  <conditionalFormatting sqref="B29:D29">
    <cfRule type="cellIs" priority="3" operator="greaterThan" dxfId="4">
      <formula>5</formula>
    </cfRule>
  </conditionalFormatting>
  <conditionalFormatting sqref="C25:D27">
    <cfRule type="cellIs" priority="2" operator="greaterThan" dxfId="4">
      <formula>80</formula>
    </cfRule>
  </conditionalFormatting>
  <conditionalFormatting sqref="K25:L27">
    <cfRule type="cellIs" priority="1" operator="greaterThan" dxfId="4">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topLeftCell="A32" zoomScaleNormal="100" workbookViewId="0">
      <selection activeCell="N46" sqref="N46"/>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24.75" customHeight="1" s="684">
      <c r="A5" s="10" t="n"/>
      <c r="B5" s="3" t="n"/>
      <c r="C5" s="264" t="n"/>
      <c r="D5" s="264" t="n"/>
      <c r="E5" s="264" t="n"/>
      <c r="F5" s="264" t="n"/>
      <c r="G5" s="264" t="n"/>
      <c r="H5" s="264" t="n"/>
      <c r="I5" s="264" t="n"/>
      <c r="J5" s="264" t="n"/>
      <c r="K5" s="264" t="n"/>
      <c r="L5" s="264" t="n"/>
      <c r="M5" s="264" t="n"/>
      <c r="N5" s="264" t="n"/>
      <c r="O5" s="264" t="n"/>
      <c r="P5" s="264" t="n"/>
      <c r="Q5" s="187"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7">
        <f>'ANA SAYFA'!F72</f>
        <v/>
      </c>
      <c r="K7" s="125" t="n"/>
      <c r="L7" s="125" t="n"/>
      <c r="M7" s="125" t="n"/>
      <c r="N7" s="125" t="n"/>
      <c r="O7" s="125" t="n"/>
      <c r="P7" s="125" t="n"/>
      <c r="Q7" s="231" t="n"/>
      <c r="R7" s="11" t="n"/>
    </row>
    <row r="8" ht="6.75" customHeight="1" s="684">
      <c r="A8" s="10" t="n"/>
      <c r="B8" s="3" t="n"/>
      <c r="C8" s="264" t="n"/>
      <c r="D8" s="264" t="n"/>
      <c r="E8" s="264" t="n"/>
      <c r="F8" s="264" t="n"/>
      <c r="G8" s="264" t="n"/>
      <c r="H8" s="264" t="n"/>
      <c r="I8" s="264" t="n"/>
      <c r="J8" s="264" t="n"/>
      <c r="K8" s="264" t="n"/>
      <c r="L8" s="264" t="n"/>
      <c r="M8" s="264" t="n"/>
      <c r="N8" s="264" t="n"/>
      <c r="O8" s="264" t="n"/>
      <c r="P8" s="264" t="n"/>
      <c r="Q8" s="187" t="n"/>
      <c r="R8" s="11" t="n"/>
      <c r="T8" t="n">
        <v>1</v>
      </c>
    </row>
    <row r="9">
      <c r="A9" s="10" t="n"/>
      <c r="B9" s="525" t="inlineStr">
        <is>
          <t>Operatör :</t>
        </is>
      </c>
      <c r="C9" s="231" t="n"/>
      <c r="D9" s="526" t="inlineStr">
        <is>
          <t>Ahmet YILMAZ</t>
        </is>
      </c>
      <c r="E9" s="125" t="n"/>
      <c r="F9" s="125" t="n"/>
      <c r="G9" s="231" t="n"/>
      <c r="H9" s="525" t="inlineStr">
        <is>
          <t>Cihaz :</t>
        </is>
      </c>
      <c r="I9" s="231" t="n"/>
      <c r="J9" s="504" t="inlineStr">
        <is>
          <t>STS 5000</t>
        </is>
      </c>
      <c r="K9" s="125" t="n"/>
      <c r="L9" s="231" t="n"/>
      <c r="M9" s="504" t="inlineStr">
        <is>
          <t>Cihaz S/N :</t>
        </is>
      </c>
      <c r="N9" s="231" t="n"/>
      <c r="O9" s="504" t="inlineStr">
        <is>
          <t>SN-19B20</t>
        </is>
      </c>
      <c r="P9" s="125" t="n"/>
      <c r="Q9" s="231" t="n"/>
      <c r="R9" s="11" t="n"/>
    </row>
    <row r="10" ht="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T10" t="n">
        <v>20</v>
      </c>
    </row>
    <row r="11" ht="18.75" customHeight="1" s="684">
      <c r="A11" s="10" t="n"/>
      <c r="B11" s="524" t="inlineStr">
        <is>
          <t>Sonuçlar</t>
        </is>
      </c>
      <c r="C11" s="125" t="n"/>
      <c r="D11" s="125" t="n"/>
      <c r="E11" s="125" t="n"/>
      <c r="F11" s="125" t="n"/>
      <c r="G11" s="125" t="n"/>
      <c r="H11" s="125" t="n"/>
      <c r="I11" s="125" t="n"/>
      <c r="J11" s="125" t="n"/>
      <c r="K11" s="125" t="n"/>
      <c r="L11" s="125" t="n"/>
      <c r="M11" s="125" t="n"/>
      <c r="N11" s="125" t="n"/>
      <c r="O11" s="125" t="n"/>
      <c r="P11" s="125" t="n"/>
      <c r="Q11" s="231" t="n"/>
      <c r="R11" s="11" t="n"/>
    </row>
    <row r="12" ht="5.2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705" t="inlineStr">
        <is>
          <t xml:space="preserve">HÜCRE İZOLASYON </t>
        </is>
      </c>
      <c r="C13" s="125" t="n"/>
      <c r="D13" s="125" t="n"/>
      <c r="E13" s="125" t="n"/>
      <c r="F13" s="125" t="n"/>
      <c r="G13" s="125" t="n"/>
      <c r="H13" s="125" t="n"/>
      <c r="I13" s="125" t="n"/>
      <c r="J13" s="125" t="n"/>
      <c r="K13" s="125" t="n"/>
      <c r="L13" s="125" t="n"/>
      <c r="M13" s="125" t="n"/>
      <c r="N13" s="125" t="n"/>
      <c r="O13" s="125" t="n"/>
      <c r="P13" s="125" t="n"/>
      <c r="Q13" s="231" t="n"/>
      <c r="R13" s="11" t="n"/>
    </row>
    <row r="1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c r="A15" s="10" t="n"/>
      <c r="B15" s="397" t="n"/>
      <c r="C15" s="125" t="n"/>
      <c r="D15" s="398" t="n"/>
      <c r="E15" s="125" t="n"/>
      <c r="F15" s="399" t="inlineStr">
        <is>
          <t>GΩ</t>
        </is>
      </c>
      <c r="G15" s="231" t="n"/>
      <c r="H15" s="541" t="inlineStr">
        <is>
          <t>Test Gerilimi</t>
        </is>
      </c>
      <c r="I15" s="125" t="n"/>
      <c r="J15" s="231" t="n"/>
      <c r="K15" s="541" t="inlineStr">
        <is>
          <t>Test Akımı</t>
        </is>
      </c>
      <c r="L15" s="125" t="n"/>
      <c r="M15" s="231" t="n"/>
      <c r="N15" s="541" t="inlineStr">
        <is>
          <t>Sonuç</t>
        </is>
      </c>
      <c r="O15" s="125" t="n"/>
      <c r="P15" s="125" t="n"/>
      <c r="Q15" s="231" t="n"/>
      <c r="R15" s="11" t="n"/>
    </row>
    <row r="16">
      <c r="A16" s="10" t="n"/>
      <c r="B16" s="730" t="inlineStr">
        <is>
          <t>L1</t>
        </is>
      </c>
      <c r="C16" s="231" t="n"/>
      <c r="D16" s="730" t="inlineStr">
        <is>
          <t>STS 5000</t>
        </is>
      </c>
      <c r="E16" s="231" t="n"/>
      <c r="F16" s="731" t="inlineStr">
        <is>
          <t>GΩ</t>
        </is>
      </c>
      <c r="G16" s="231" t="n"/>
      <c r="H16" s="481" t="n">
        <v>10000</v>
      </c>
      <c r="I16" s="125" t="n"/>
      <c r="J16" s="27" t="inlineStr">
        <is>
          <t>VDC</t>
        </is>
      </c>
      <c r="K16" s="506">
        <f>H16/D16</f>
        <v/>
      </c>
      <c r="L16" s="125" t="n"/>
      <c r="M16" s="27" t="inlineStr">
        <is>
          <t>nA</t>
        </is>
      </c>
      <c r="N16" s="473">
        <f>IF(D16&gt;250,1,0)</f>
        <v/>
      </c>
      <c r="O16" s="483">
        <f>IF(D16&gt;250,"UYGUN","UYGUN DEĞİL")</f>
        <v/>
      </c>
      <c r="P16" s="125" t="n"/>
      <c r="Q16" s="231" t="n"/>
      <c r="R16" s="11" t="n"/>
    </row>
    <row r="17">
      <c r="A17" s="10" t="n"/>
      <c r="B17" s="730" t="inlineStr">
        <is>
          <t>L2</t>
        </is>
      </c>
      <c r="C17" s="231" t="n"/>
      <c r="D17" s="730" t="inlineStr">
        <is>
          <t>SN-19B20</t>
        </is>
      </c>
      <c r="E17" s="231" t="n"/>
      <c r="F17" s="730" t="inlineStr">
        <is>
          <t>GΩ</t>
        </is>
      </c>
      <c r="G17" s="231" t="n"/>
      <c r="H17" s="481" t="n">
        <v>10000</v>
      </c>
      <c r="I17" s="125" t="n"/>
      <c r="J17" s="27" t="inlineStr">
        <is>
          <t>VDC</t>
        </is>
      </c>
      <c r="K17" s="506">
        <f>H17/D17</f>
        <v/>
      </c>
      <c r="L17" s="125" t="n"/>
      <c r="M17" s="27" t="inlineStr">
        <is>
          <t>nA</t>
        </is>
      </c>
      <c r="N17" s="473">
        <f>IF(D17&gt;250,1,0)</f>
        <v/>
      </c>
      <c r="O17" s="483">
        <f>IF(D17&gt;250,"UYGUN","UYGUN DEĞİL")</f>
        <v/>
      </c>
      <c r="P17" s="125" t="n"/>
      <c r="Q17" s="231" t="n"/>
      <c r="R17" s="11" t="n"/>
      <c r="W17" s="652" t="inlineStr">
        <is>
          <t>L1 Fazına ait Akım Trafosunun izolasyon direnç değeri uygundur.</t>
        </is>
      </c>
    </row>
    <row r="18">
      <c r="A18" s="10" t="n"/>
      <c r="B18" s="730" t="inlineStr">
        <is>
          <t>L3</t>
        </is>
      </c>
      <c r="C18" s="231" t="n"/>
      <c r="D18" s="730" t="n">
        <v>20000</v>
      </c>
      <c r="E18" s="231" t="n"/>
      <c r="F18" s="730" t="inlineStr">
        <is>
          <t>GΩ</t>
        </is>
      </c>
      <c r="G18" s="231" t="n"/>
      <c r="H18" s="481" t="n">
        <v>10000</v>
      </c>
      <c r="I18" s="125" t="n"/>
      <c r="J18" s="27" t="inlineStr">
        <is>
          <t>VDC</t>
        </is>
      </c>
      <c r="K18" s="506">
        <f>H18/D18</f>
        <v/>
      </c>
      <c r="L18" s="125" t="n"/>
      <c r="M18" s="27" t="inlineStr">
        <is>
          <t>nA</t>
        </is>
      </c>
      <c r="N18" s="473">
        <f>IF(D18&gt;250,1,0)</f>
        <v/>
      </c>
      <c r="O18" s="483">
        <f>IF(D18&gt;250,"UYGUN","UYGUN DEĞİL")</f>
        <v/>
      </c>
      <c r="P18" s="125" t="n"/>
      <c r="Q18" s="231" t="n"/>
      <c r="R18" s="11" t="n"/>
      <c r="W18" s="652" t="inlineStr">
        <is>
          <t>L1 Fazına ait Akım Trafosunun izolasyon direnç değeri uygun değildir.</t>
        </is>
      </c>
    </row>
    <row r="19">
      <c r="A19" s="10" t="n"/>
      <c r="B19" s="171" t="n"/>
      <c r="C19" s="68" t="n"/>
      <c r="D19" s="68" t="n"/>
      <c r="E19" s="68" t="n"/>
      <c r="F19" s="68" t="n"/>
      <c r="G19" s="279" t="n"/>
      <c r="H19" s="279" t="n"/>
      <c r="I19" s="68" t="n"/>
      <c r="J19" s="68" t="n"/>
      <c r="K19" s="279" t="n"/>
      <c r="L19" s="279" t="n"/>
      <c r="M19" s="279" t="n"/>
      <c r="N19" s="279" t="n"/>
      <c r="O19" s="279" t="n"/>
      <c r="P19" s="279" t="n"/>
      <c r="Q19" s="702" t="n"/>
      <c r="R19" s="11" t="n"/>
      <c r="W19" s="652" t="inlineStr">
        <is>
          <t>L2 Fazına ait Akım Trafosunun izolasyon direnç değeri uygundur.</t>
        </is>
      </c>
    </row>
    <row r="20" ht="18.75" customHeight="1" s="684">
      <c r="A20" s="10" t="n"/>
      <c r="B20" s="705" t="inlineStr">
        <is>
          <t>ÇIKIŞ HÜCRESİ MESNET İZOLATÖRÜ İZOLASYON</t>
        </is>
      </c>
      <c r="C20" s="125" t="n"/>
      <c r="D20" s="125" t="n"/>
      <c r="E20" s="125" t="n"/>
      <c r="F20" s="125" t="n"/>
      <c r="G20" s="125" t="n"/>
      <c r="H20" s="125" t="n"/>
      <c r="I20" s="125" t="n"/>
      <c r="J20" s="125" t="n"/>
      <c r="K20" s="125" t="n"/>
      <c r="L20" s="125" t="n"/>
      <c r="M20" s="125" t="n"/>
      <c r="N20" s="125" t="n"/>
      <c r="O20" s="125" t="n"/>
      <c r="P20" s="125" t="n"/>
      <c r="Q20" s="231" t="n"/>
      <c r="R20" s="11" t="n"/>
      <c r="W20" s="652" t="inlineStr">
        <is>
          <t>L2 Fazına ait Akım Trafosunun izolasyon direnç değeri uygun değildir.</t>
        </is>
      </c>
    </row>
    <row r="21">
      <c r="A21" s="10" t="n"/>
      <c r="B21" s="3" t="n"/>
      <c r="C21" s="264" t="n"/>
      <c r="D21" s="264" t="n"/>
      <c r="E21" s="264" t="n"/>
      <c r="F21" s="264" t="n"/>
      <c r="G21" s="264" t="n"/>
      <c r="H21" s="264" t="n"/>
      <c r="I21" s="264" t="n"/>
      <c r="J21" s="264" t="n"/>
      <c r="K21" s="264" t="n"/>
      <c r="L21" s="264" t="n"/>
      <c r="M21" s="264" t="n"/>
      <c r="N21" s="264" t="n"/>
      <c r="O21" s="264" t="n"/>
      <c r="P21" s="264" t="n"/>
      <c r="Q21" s="187" t="n"/>
      <c r="R21" s="11" t="n"/>
      <c r="W21" s="652" t="inlineStr">
        <is>
          <t>L3 Fazına ait Akım Trafosunun izolasyon direnç değeri uygundur.</t>
        </is>
      </c>
    </row>
    <row r="22">
      <c r="A22" s="10" t="n"/>
      <c r="B22" s="397" t="n"/>
      <c r="C22" s="125" t="n"/>
      <c r="D22" s="398" t="n"/>
      <c r="E22" s="125" t="n"/>
      <c r="F22" s="399" t="inlineStr">
        <is>
          <t>GΩ</t>
        </is>
      </c>
      <c r="G22" s="231" t="n"/>
      <c r="H22" s="541" t="inlineStr">
        <is>
          <t>Test Gerilimi</t>
        </is>
      </c>
      <c r="I22" s="125" t="n"/>
      <c r="J22" s="231" t="n"/>
      <c r="K22" s="541" t="inlineStr">
        <is>
          <t>Test Akımı</t>
        </is>
      </c>
      <c r="L22" s="125" t="n"/>
      <c r="M22" s="231" t="n"/>
      <c r="N22" s="541" t="inlineStr">
        <is>
          <t>Sonuç</t>
        </is>
      </c>
      <c r="O22" s="125" t="n"/>
      <c r="P22" s="125" t="n"/>
      <c r="Q22" s="231" t="n"/>
      <c r="R22" s="11" t="n"/>
      <c r="W22" s="652" t="inlineStr">
        <is>
          <t>L3 Fazına ait Akım Trafosunun izolasyon direnç değeri uygun değildir.</t>
        </is>
      </c>
    </row>
    <row r="23">
      <c r="A23" s="10" t="n"/>
      <c r="B23" s="730" t="inlineStr">
        <is>
          <t>L4</t>
        </is>
      </c>
      <c r="C23" s="231" t="n"/>
      <c r="D23" s="730" t="n">
        <v>7100</v>
      </c>
      <c r="E23" s="231" t="n"/>
      <c r="F23" s="731" t="inlineStr">
        <is>
          <t>GΩ</t>
        </is>
      </c>
      <c r="G23" s="231" t="n"/>
      <c r="H23" s="481" t="n">
        <v>10000</v>
      </c>
      <c r="I23" s="125" t="n"/>
      <c r="J23" s="27" t="inlineStr">
        <is>
          <t>VDC</t>
        </is>
      </c>
      <c r="K23" s="506">
        <f>H23/D23</f>
        <v/>
      </c>
      <c r="L23" s="125" t="n"/>
      <c r="M23" s="27" t="inlineStr">
        <is>
          <t>nA</t>
        </is>
      </c>
      <c r="N23" s="473">
        <f>IF(D23&gt;250,1,0)</f>
        <v/>
      </c>
      <c r="O23" s="483">
        <f>IF(D23&gt;250,"UYGUN","UYGUN DEĞİL")</f>
        <v/>
      </c>
      <c r="P23" s="125" t="n"/>
      <c r="Q23" s="231" t="n"/>
      <c r="R23" s="11" t="n"/>
    </row>
    <row r="24">
      <c r="A24" s="10" t="n"/>
      <c r="B24" s="730" t="inlineStr">
        <is>
          <t>L5</t>
        </is>
      </c>
      <c r="C24" s="231" t="n"/>
      <c r="D24" s="730" t="n">
        <v>20000</v>
      </c>
      <c r="E24" s="231" t="n"/>
      <c r="F24" s="730" t="inlineStr">
        <is>
          <t>GΩ</t>
        </is>
      </c>
      <c r="G24" s="231" t="n"/>
      <c r="H24" s="481" t="n">
        <v>10000</v>
      </c>
      <c r="I24" s="125" t="n"/>
      <c r="J24" s="27" t="inlineStr">
        <is>
          <t>VDC</t>
        </is>
      </c>
      <c r="K24" s="506">
        <f>H24/D24</f>
        <v/>
      </c>
      <c r="L24" s="125" t="n"/>
      <c r="M24" s="27" t="inlineStr">
        <is>
          <t>nA</t>
        </is>
      </c>
      <c r="N24" s="473">
        <f>IF(D24&gt;250,1,0)</f>
        <v/>
      </c>
      <c r="O24" s="483">
        <f>IF(D24&gt;250,"UYGUN","UYGUN DEĞİL")</f>
        <v/>
      </c>
      <c r="P24" s="125" t="n"/>
      <c r="Q24" s="231" t="n"/>
      <c r="R24" s="11" t="n"/>
    </row>
    <row r="25">
      <c r="A25" s="10" t="n"/>
      <c r="B25" s="730" t="inlineStr">
        <is>
          <t>L6</t>
        </is>
      </c>
      <c r="C25" s="231" t="n"/>
      <c r="D25" s="730" t="n">
        <v>20000</v>
      </c>
      <c r="E25" s="231" t="n"/>
      <c r="F25" s="730" t="inlineStr">
        <is>
          <t>GΩ</t>
        </is>
      </c>
      <c r="G25" s="231" t="n"/>
      <c r="H25" s="481" t="n">
        <v>10000</v>
      </c>
      <c r="I25" s="125" t="n"/>
      <c r="J25" s="27" t="inlineStr">
        <is>
          <t>VDC</t>
        </is>
      </c>
      <c r="K25" s="506">
        <f>H25/D25</f>
        <v/>
      </c>
      <c r="L25" s="125" t="n"/>
      <c r="M25" s="27" t="inlineStr">
        <is>
          <t>nA</t>
        </is>
      </c>
      <c r="N25" s="473">
        <f>IF(D25&gt;250,1,0)</f>
        <v/>
      </c>
      <c r="O25" s="483">
        <f>IF(D25&gt;250,"UYGUN","UYGUN DEĞİL")</f>
        <v/>
      </c>
      <c r="P25" s="125" t="n"/>
      <c r="Q25" s="231" t="n"/>
      <c r="R25" s="11" t="n"/>
    </row>
    <row r="26">
      <c r="A26" s="10" t="n"/>
      <c r="B26" s="171" t="n"/>
      <c r="C26" s="68" t="n"/>
      <c r="D26" s="68" t="n"/>
      <c r="E26" s="68" t="n"/>
      <c r="F26" s="68" t="n"/>
      <c r="G26" s="279" t="n"/>
      <c r="H26" s="279" t="n"/>
      <c r="I26" s="68" t="n"/>
      <c r="J26" s="68" t="n"/>
      <c r="K26" s="279" t="n"/>
      <c r="L26" s="279" t="n"/>
      <c r="M26" s="279" t="n"/>
      <c r="N26" s="279" t="n"/>
      <c r="O26" s="279" t="n"/>
      <c r="P26" s="279" t="n"/>
      <c r="Q26" s="702" t="n"/>
      <c r="R26" s="11" t="n"/>
    </row>
    <row r="27" ht="18.75" customHeight="1" s="684">
      <c r="A27" s="10" t="n"/>
      <c r="B27" s="705" t="inlineStr">
        <is>
          <t>HÜCRE-TRAFO ARASINDAKİ XLPE KABLO İZOLASYON</t>
        </is>
      </c>
      <c r="C27" s="125" t="n"/>
      <c r="D27" s="125" t="n"/>
      <c r="E27" s="125" t="n"/>
      <c r="F27" s="125" t="n"/>
      <c r="G27" s="125" t="n"/>
      <c r="H27" s="125" t="n"/>
      <c r="I27" s="125" t="n"/>
      <c r="J27" s="125" t="n"/>
      <c r="K27" s="125" t="n"/>
      <c r="L27" s="125" t="n"/>
      <c r="M27" s="125" t="n"/>
      <c r="N27" s="125" t="n"/>
      <c r="O27" s="125" t="n"/>
      <c r="P27" s="125" t="n"/>
      <c r="Q27" s="231" t="n"/>
      <c r="R27" s="11" t="n"/>
    </row>
    <row r="28">
      <c r="A28" s="10" t="n"/>
      <c r="B28" s="3" t="n"/>
      <c r="C28" s="264" t="n"/>
      <c r="D28" s="264" t="n"/>
      <c r="E28" s="264" t="n"/>
      <c r="F28" s="264" t="n"/>
      <c r="G28" s="264" t="n"/>
      <c r="H28" s="264" t="n"/>
      <c r="I28" s="264" t="n"/>
      <c r="J28" s="264" t="n"/>
      <c r="K28" s="264" t="n"/>
      <c r="L28" s="264" t="n"/>
      <c r="M28" s="264" t="n"/>
      <c r="N28" s="264" t="n"/>
      <c r="O28" s="264" t="n"/>
      <c r="P28" s="264" t="n"/>
      <c r="Q28" s="187" t="n"/>
      <c r="R28" s="11" t="n"/>
    </row>
    <row r="29">
      <c r="A29" s="10" t="n"/>
      <c r="B29" s="397" t="inlineStr">
        <is>
          <t>R min.</t>
        </is>
      </c>
      <c r="C29" s="125" t="n"/>
      <c r="D29" s="398" t="n"/>
      <c r="E29" s="125" t="n"/>
      <c r="F29" s="399" t="inlineStr">
        <is>
          <t>GΩ</t>
        </is>
      </c>
      <c r="G29" s="231" t="n"/>
      <c r="H29" s="541" t="inlineStr">
        <is>
          <t>Test Gerilimi</t>
        </is>
      </c>
      <c r="I29" s="125" t="n"/>
      <c r="J29" s="231" t="n"/>
      <c r="K29" s="541" t="inlineStr">
        <is>
          <t>Test Akımı</t>
        </is>
      </c>
      <c r="L29" s="125" t="n"/>
      <c r="M29" s="231" t="n"/>
      <c r="N29" s="541" t="inlineStr">
        <is>
          <t>Sonuç</t>
        </is>
      </c>
      <c r="O29" s="125" t="n"/>
      <c r="P29" s="125" t="n"/>
      <c r="Q29" s="231" t="n"/>
      <c r="R29" s="11" t="n"/>
    </row>
    <row r="30">
      <c r="A30" s="10" t="n"/>
      <c r="B30" s="730" t="inlineStr">
        <is>
          <t>L7</t>
        </is>
      </c>
      <c r="C30" s="231" t="n"/>
      <c r="D30" s="730" t="n">
        <v>22.9</v>
      </c>
      <c r="E30" s="231" t="n"/>
      <c r="F30" s="731" t="inlineStr">
        <is>
          <t>GΩ</t>
        </is>
      </c>
      <c r="G30" s="231" t="n"/>
      <c r="H30" s="481" t="n">
        <v>10000</v>
      </c>
      <c r="I30" s="125" t="n"/>
      <c r="J30" s="27" t="inlineStr">
        <is>
          <t>VDC</t>
        </is>
      </c>
      <c r="K30" s="506">
        <f>H30/D30</f>
        <v/>
      </c>
      <c r="L30" s="125" t="n"/>
      <c r="M30" s="27" t="inlineStr">
        <is>
          <t>nA</t>
        </is>
      </c>
      <c r="N30" s="473">
        <f>IF(D30&gt;20,1,0)</f>
        <v/>
      </c>
      <c r="O30" s="483">
        <f>IF(D30&gt;20,"UYGUN","UYGUN DEĞİL")</f>
        <v/>
      </c>
      <c r="P30" s="125" t="n"/>
      <c r="Q30" s="231" t="n"/>
      <c r="R30" s="11" t="n"/>
    </row>
    <row r="31">
      <c r="A31" s="35" t="n"/>
      <c r="B31" s="730" t="inlineStr">
        <is>
          <t>L8</t>
        </is>
      </c>
      <c r="C31" s="231" t="n"/>
      <c r="D31" s="730" t="n">
        <v>132</v>
      </c>
      <c r="E31" s="231" t="n"/>
      <c r="F31" s="730" t="inlineStr">
        <is>
          <t>GΩ</t>
        </is>
      </c>
      <c r="G31" s="231" t="n"/>
      <c r="H31" s="481" t="n">
        <v>10000</v>
      </c>
      <c r="I31" s="125" t="n"/>
      <c r="J31" s="27" t="inlineStr">
        <is>
          <t>VDC</t>
        </is>
      </c>
      <c r="K31" s="506">
        <f>H31/D31</f>
        <v/>
      </c>
      <c r="L31" s="125" t="n"/>
      <c r="M31" s="27" t="inlineStr">
        <is>
          <t>nA</t>
        </is>
      </c>
      <c r="N31" s="473">
        <f>IF(D31&gt;20,1,0)</f>
        <v/>
      </c>
      <c r="O31" s="483">
        <f>IF(D31&gt;20,"UYGUN","UYGUN DEĞİL")</f>
        <v/>
      </c>
      <c r="P31" s="125" t="n"/>
      <c r="Q31" s="231" t="n"/>
      <c r="R31" s="11" t="n"/>
    </row>
    <row r="32">
      <c r="A32" s="35" t="n"/>
      <c r="B32" s="730" t="inlineStr">
        <is>
          <t>L9</t>
        </is>
      </c>
      <c r="C32" s="231" t="n"/>
      <c r="D32" s="730" t="n">
        <v>60.8</v>
      </c>
      <c r="E32" s="231" t="n"/>
      <c r="F32" s="730" t="inlineStr">
        <is>
          <t>GΩ</t>
        </is>
      </c>
      <c r="G32" s="231" t="n"/>
      <c r="H32" s="481" t="n">
        <v>10000</v>
      </c>
      <c r="I32" s="125" t="n"/>
      <c r="J32" s="27" t="inlineStr">
        <is>
          <t>VDC</t>
        </is>
      </c>
      <c r="K32" s="506">
        <f>H32/D32</f>
        <v/>
      </c>
      <c r="L32" s="125" t="n"/>
      <c r="M32" s="27" t="inlineStr">
        <is>
          <t>nA</t>
        </is>
      </c>
      <c r="N32" s="473">
        <f>IF(D32&gt;20,1,0)</f>
        <v/>
      </c>
      <c r="O32" s="483">
        <f>IF(D32&gt;20,"UYGUN","UYGUN DEĞİL")</f>
        <v/>
      </c>
      <c r="P32" s="125" t="n"/>
      <c r="Q32" s="231" t="n"/>
      <c r="R32" s="11" t="n"/>
    </row>
    <row r="33">
      <c r="A33" s="35" t="n"/>
      <c r="B33" s="171" t="n"/>
      <c r="C33" s="68" t="n"/>
      <c r="D33" s="68" t="n"/>
      <c r="E33" s="68" t="n"/>
      <c r="F33" s="68" t="n"/>
      <c r="G33" s="279" t="n"/>
      <c r="H33" s="279" t="n"/>
      <c r="I33" s="68" t="n"/>
      <c r="J33" s="68" t="n"/>
      <c r="K33" s="279" t="n"/>
      <c r="L33" s="279" t="n"/>
      <c r="M33" s="279" t="n"/>
      <c r="N33" s="279" t="n"/>
      <c r="O33" s="279" t="n"/>
      <c r="P33" s="279" t="n"/>
      <c r="Q33" s="702" t="n"/>
      <c r="R33" s="11" t="n"/>
    </row>
    <row r="34" ht="30.75" customHeight="1" s="684">
      <c r="A34" s="35" t="n"/>
      <c r="B34" s="264" t="n"/>
      <c r="C34" s="280" t="n"/>
      <c r="D34" s="280" t="n"/>
      <c r="E34" s="280" t="n"/>
      <c r="F34" s="280" t="n"/>
      <c r="G34" s="280" t="n"/>
      <c r="H34" s="280" t="n"/>
      <c r="I34" s="280" t="n"/>
      <c r="J34" s="280" t="n"/>
      <c r="K34" s="264" t="n"/>
      <c r="L34" s="264" t="n"/>
      <c r="M34" s="264" t="n"/>
      <c r="N34" s="264" t="n"/>
      <c r="O34" s="264" t="n"/>
      <c r="P34" s="264" t="n"/>
      <c r="Q34" s="187" t="n"/>
      <c r="R34" s="11" t="n"/>
    </row>
    <row r="35">
      <c r="A35" s="35" t="n"/>
      <c r="B35" s="379" t="n"/>
      <c r="C35" s="281" t="n"/>
      <c r="D35" s="281" t="n"/>
      <c r="E35" s="264" t="n"/>
      <c r="F35" s="264" t="n"/>
      <c r="G35" s="264" t="n"/>
      <c r="H35" s="264" t="n"/>
      <c r="I35" s="264" t="n"/>
      <c r="J35" s="264" t="n"/>
      <c r="K35" s="264" t="n"/>
      <c r="L35" s="57" t="n"/>
      <c r="M35" s="57" t="n"/>
      <c r="N35" s="264" t="n"/>
      <c r="O35" s="57" t="n"/>
      <c r="P35" s="57" t="n"/>
      <c r="Q35" s="187" t="n"/>
      <c r="R35" s="11" t="n"/>
    </row>
    <row r="36">
      <c r="A36" s="35" t="n"/>
      <c r="B36" s="379" t="n"/>
      <c r="C36" s="281" t="n"/>
      <c r="D36" s="281" t="n"/>
      <c r="E36" s="264" t="n"/>
      <c r="F36" s="264" t="n"/>
      <c r="G36" s="264" t="n"/>
      <c r="H36" s="264" t="n"/>
      <c r="I36" s="264" t="n"/>
      <c r="J36" s="264" t="n"/>
      <c r="K36" s="264" t="n"/>
      <c r="L36" s="57" t="n"/>
      <c r="M36" s="57" t="n"/>
      <c r="N36" s="264" t="n"/>
      <c r="O36" s="57" t="n"/>
      <c r="P36" s="57" t="n"/>
      <c r="Q36" s="187" t="n"/>
      <c r="R36" s="11" t="n"/>
    </row>
    <row r="37">
      <c r="A37" s="35" t="n"/>
      <c r="B37" s="379" t="n"/>
      <c r="C37" s="281" t="n"/>
      <c r="D37" s="281" t="n"/>
      <c r="E37" s="264" t="n"/>
      <c r="F37" s="264" t="n"/>
      <c r="G37" s="264" t="n"/>
      <c r="H37" s="264" t="n"/>
      <c r="I37" s="264" t="n"/>
      <c r="J37" s="264" t="n"/>
      <c r="K37" s="264" t="n"/>
      <c r="L37" s="264" t="n"/>
      <c r="M37" s="264" t="n"/>
      <c r="N37" s="264" t="n"/>
      <c r="O37" s="264" t="n"/>
      <c r="P37" s="264" t="n"/>
      <c r="Q37" s="702" t="n"/>
      <c r="R37" s="11" t="n"/>
    </row>
    <row r="38" ht="4.5" customHeight="1" s="684">
      <c r="A38" s="10" t="n"/>
      <c r="B38" s="56" t="n"/>
      <c r="C38" s="418" t="n"/>
      <c r="D38" s="418" t="n"/>
      <c r="E38" s="418" t="n"/>
      <c r="F38" s="418" t="n"/>
      <c r="G38" s="418" t="n"/>
      <c r="H38" s="418" t="n"/>
      <c r="I38" s="418" t="n"/>
      <c r="J38" s="418" t="n"/>
      <c r="K38" s="264" t="n"/>
      <c r="L38" s="264" t="n"/>
      <c r="M38" s="264" t="n"/>
      <c r="N38" s="264" t="n"/>
      <c r="O38" s="264" t="n"/>
      <c r="P38" s="264" t="n"/>
      <c r="Q38" s="702" t="n"/>
      <c r="R38" s="11" t="n"/>
    </row>
    <row r="39" ht="15.75" customHeight="1" s="684">
      <c r="A39" s="10" t="n"/>
      <c r="B39" s="545" t="inlineStr">
        <is>
          <t>Sonuç :</t>
        </is>
      </c>
      <c r="C39" s="231" t="n"/>
      <c r="D39" s="754" t="inlineStr">
        <is>
          <t>Ölçülen izolasyon direnci değerleri uygun bulunmuştur.</t>
        </is>
      </c>
      <c r="E39" s="70" t="n"/>
      <c r="F39" s="70" t="n"/>
      <c r="G39" s="70" t="n"/>
      <c r="H39" s="70" t="n"/>
      <c r="I39" s="70" t="n"/>
      <c r="J39" s="70" t="n"/>
      <c r="K39" s="70" t="n"/>
      <c r="L39" s="70" t="n"/>
      <c r="M39" s="70" t="n"/>
      <c r="N39" s="70" t="n"/>
      <c r="O39" s="70" t="n"/>
      <c r="P39" s="70" t="n"/>
      <c r="Q39" s="343" t="n"/>
      <c r="R39" s="11" t="n"/>
    </row>
    <row r="40" ht="15" customHeight="1" s="684">
      <c r="A40" s="10" t="n"/>
      <c r="B40" s="171" t="n"/>
      <c r="C40" s="24" t="n"/>
      <c r="D40" s="517" t="n"/>
      <c r="Q40" s="344" t="n"/>
      <c r="R40" s="11" t="n"/>
    </row>
    <row r="41" ht="15" customHeight="1" s="684">
      <c r="A41" s="10" t="n"/>
      <c r="B41" s="171" t="n"/>
      <c r="C41" s="24" t="n"/>
      <c r="D41" s="517" t="n"/>
      <c r="Q41" s="344" t="n"/>
      <c r="R41" s="11" t="n"/>
    </row>
    <row r="42" ht="15" customHeight="1" s="684">
      <c r="A42" s="10" t="n"/>
      <c r="B42" s="171" t="n"/>
      <c r="C42" s="24" t="n"/>
      <c r="D42" s="516" t="n"/>
      <c r="E42" s="516" t="n"/>
      <c r="F42" s="516" t="n"/>
      <c r="G42" s="516" t="n"/>
      <c r="H42" s="516" t="n"/>
      <c r="I42" s="516" t="n"/>
      <c r="J42" s="516" t="n"/>
      <c r="K42" s="516" t="n"/>
      <c r="L42" s="516" t="n"/>
      <c r="M42" s="516" t="n"/>
      <c r="N42" s="516" t="n"/>
      <c r="O42" s="516" t="n"/>
      <c r="P42" s="516" t="n"/>
      <c r="Q42" s="517" t="n"/>
      <c r="R42" s="11" t="n"/>
    </row>
    <row r="43">
      <c r="A43" s="10" t="n"/>
      <c r="B43" s="62" t="n"/>
      <c r="C43" s="698" t="n"/>
      <c r="D43" s="135" t="n"/>
      <c r="E43" s="135" t="n"/>
      <c r="F43" s="135" t="n"/>
      <c r="G43" s="135" t="n"/>
      <c r="H43" s="135" t="n"/>
      <c r="I43" s="135" t="n"/>
      <c r="J43" s="135" t="n"/>
      <c r="K43" s="135" t="n"/>
      <c r="L43" s="135" t="n"/>
      <c r="M43" s="135" t="n"/>
      <c r="N43" s="135" t="n"/>
      <c r="O43" s="135" t="n"/>
      <c r="P43" s="135" t="n"/>
      <c r="Q43" s="345" t="n"/>
      <c r="R43" s="11" t="n"/>
    </row>
    <row r="44" ht="22.5" customHeight="1" s="684">
      <c r="A44" s="10" t="n"/>
      <c r="B44" s="520" t="inlineStr">
        <is>
          <t>UNVAN</t>
        </is>
      </c>
      <c r="C44" s="70" t="n"/>
      <c r="D44" s="70" t="n"/>
      <c r="E44" s="330" t="inlineStr">
        <is>
          <t>:</t>
        </is>
      </c>
      <c r="F44" s="519" t="inlineStr">
        <is>
          <t>Elektrik Mühendisi</t>
        </is>
      </c>
      <c r="G44" s="70" t="n"/>
      <c r="H44" s="70" t="n"/>
      <c r="I44" s="343" t="n"/>
      <c r="J44" s="705"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0">
        <f>'ANA SAYFA'!F73:J73</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tabSelected="1" topLeftCell="A3" zoomScale="59" zoomScaleNormal="59" workbookViewId="0">
      <selection activeCell="AH46" sqref="AH46"/>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24.75" customHeight="1" s="684">
      <c r="A5" s="10" t="n"/>
      <c r="B5" s="3" t="n"/>
      <c r="C5" s="264" t="n"/>
      <c r="D5" s="264" t="n"/>
      <c r="E5" s="264" t="n"/>
      <c r="F5" s="264" t="n"/>
      <c r="G5" s="264" t="n"/>
      <c r="H5" s="264" t="n"/>
      <c r="I5" s="264" t="n"/>
      <c r="J5" s="264" t="n"/>
      <c r="K5" s="264" t="n"/>
      <c r="L5" s="264" t="n"/>
      <c r="M5" s="264" t="n"/>
      <c r="N5" s="264" t="n"/>
      <c r="O5" s="264" t="n"/>
      <c r="P5" s="264" t="n"/>
      <c r="Q5" s="187"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7">
        <f>'ANA SAYFA'!F72</f>
        <v/>
      </c>
      <c r="K7" s="125" t="n"/>
      <c r="L7" s="125" t="n"/>
      <c r="M7" s="125" t="n"/>
      <c r="N7" s="125" t="n"/>
      <c r="O7" s="125" t="n"/>
      <c r="P7" s="125" t="n"/>
      <c r="Q7" s="231" t="n"/>
      <c r="R7" s="11" t="n"/>
    </row>
    <row r="8" ht="6.75" customHeight="1" s="684">
      <c r="A8" s="10" t="n"/>
      <c r="B8" s="3" t="n"/>
      <c r="C8" s="264" t="n"/>
      <c r="D8" s="264" t="n"/>
      <c r="E8" s="264" t="n"/>
      <c r="F8" s="264" t="n"/>
      <c r="G8" s="264" t="n"/>
      <c r="H8" s="264" t="n"/>
      <c r="I8" s="264" t="n"/>
      <c r="J8" s="264" t="n"/>
      <c r="K8" s="264" t="n"/>
      <c r="L8" s="264" t="n"/>
      <c r="M8" s="264" t="n"/>
      <c r="N8" s="264" t="n"/>
      <c r="O8" s="264" t="n"/>
      <c r="P8" s="264" t="n"/>
      <c r="Q8" s="187" t="n"/>
      <c r="R8" s="11" t="n"/>
      <c r="T8" t="n">
        <v>1</v>
      </c>
    </row>
    <row r="9">
      <c r="A9" s="10" t="n"/>
      <c r="B9" s="525" t="inlineStr">
        <is>
          <t>Operatör :</t>
        </is>
      </c>
      <c r="C9" s="231" t="n"/>
      <c r="D9" s="526" t="inlineStr">
        <is>
          <t>Ahmet YILMAZ</t>
        </is>
      </c>
      <c r="E9" s="125" t="n"/>
      <c r="F9" s="125" t="n"/>
      <c r="G9" s="231" t="n"/>
      <c r="H9" s="525" t="inlineStr">
        <is>
          <t>Cihaz :</t>
        </is>
      </c>
      <c r="I9" s="231" t="n"/>
      <c r="J9" s="504" t="inlineStr">
        <is>
          <t>STS 5000</t>
        </is>
      </c>
      <c r="K9" s="125" t="n"/>
      <c r="L9" s="231" t="n"/>
      <c r="M9" s="504" t="inlineStr">
        <is>
          <t>Cihaz S/N :</t>
        </is>
      </c>
      <c r="N9" s="231" t="n"/>
      <c r="O9" s="504" t="inlineStr">
        <is>
          <t>SN-19B20</t>
        </is>
      </c>
      <c r="P9" s="125" t="n"/>
      <c r="Q9" s="231" t="n"/>
      <c r="R9" s="11" t="n"/>
    </row>
    <row r="10" ht="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T10" t="n">
        <v>20</v>
      </c>
    </row>
    <row r="11" ht="18.75" customHeight="1" s="684">
      <c r="A11" s="10" t="n"/>
      <c r="B11" s="524" t="inlineStr">
        <is>
          <t>Sonuçlar</t>
        </is>
      </c>
      <c r="C11" s="125" t="n"/>
      <c r="D11" s="125" t="n"/>
      <c r="E11" s="125" t="n"/>
      <c r="F11" s="125" t="n"/>
      <c r="G11" s="125" t="n"/>
      <c r="H11" s="125" t="n"/>
      <c r="I11" s="125" t="n"/>
      <c r="J11" s="125" t="n"/>
      <c r="K11" s="125" t="n"/>
      <c r="L11" s="125" t="n"/>
      <c r="M11" s="125" t="n"/>
      <c r="N11" s="125" t="n"/>
      <c r="O11" s="125" t="n"/>
      <c r="P11" s="125" t="n"/>
      <c r="Q11" s="231" t="n"/>
      <c r="R11" s="11" t="n"/>
    </row>
    <row r="12" ht="5.2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705" t="inlineStr">
        <is>
          <t>AKIM TRAFOLARI</t>
        </is>
      </c>
      <c r="C13" s="125" t="n"/>
      <c r="D13" s="125" t="n"/>
      <c r="E13" s="125" t="n"/>
      <c r="F13" s="125" t="n"/>
      <c r="G13" s="125" t="n"/>
      <c r="H13" s="125" t="n"/>
      <c r="I13" s="125" t="n"/>
      <c r="J13" s="125" t="n"/>
      <c r="K13" s="125" t="n"/>
      <c r="L13" s="125" t="n"/>
      <c r="M13" s="125" t="n"/>
      <c r="N13" s="125" t="n"/>
      <c r="O13" s="125" t="n"/>
      <c r="P13" s="125" t="n"/>
      <c r="Q13" s="231" t="n"/>
      <c r="R13" s="11" t="n"/>
    </row>
    <row r="14" ht="8.2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c r="A15" s="10" t="n"/>
      <c r="B15" s="397" t="inlineStr">
        <is>
          <t>R min.</t>
        </is>
      </c>
      <c r="C15" s="125" t="n"/>
      <c r="D15" s="398" t="n">
        <v>250</v>
      </c>
      <c r="E15" s="125" t="n"/>
      <c r="F15" s="399" t="inlineStr">
        <is>
          <t>GΩ</t>
        </is>
      </c>
      <c r="G15" s="231" t="n"/>
      <c r="H15" s="541" t="inlineStr">
        <is>
          <t>Test Gerilimi</t>
        </is>
      </c>
      <c r="I15" s="125" t="n"/>
      <c r="J15" s="231" t="n"/>
      <c r="K15" s="541" t="inlineStr">
        <is>
          <t>Test Akımı</t>
        </is>
      </c>
      <c r="L15" s="125" t="n"/>
      <c r="M15" s="231" t="n"/>
      <c r="N15" s="541" t="inlineStr">
        <is>
          <t>Sonuç</t>
        </is>
      </c>
      <c r="O15" s="125" t="n"/>
      <c r="P15" s="125" t="n"/>
      <c r="Q15" s="231" t="n"/>
      <c r="R15" s="11" t="n"/>
    </row>
    <row r="16">
      <c r="A16" s="10" t="n"/>
      <c r="B16" s="730" t="inlineStr">
        <is>
          <t>L1</t>
        </is>
      </c>
      <c r="C16" s="231" t="n"/>
      <c r="D16" s="730" t="n">
        <v>1500</v>
      </c>
      <c r="E16" s="231" t="n"/>
      <c r="F16" s="731" t="inlineStr">
        <is>
          <t>GΩ</t>
        </is>
      </c>
      <c r="G16" s="231" t="n"/>
      <c r="H16" s="481" t="n">
        <v>10000</v>
      </c>
      <c r="I16" s="125" t="n"/>
      <c r="J16" s="27" t="inlineStr">
        <is>
          <t>VDC</t>
        </is>
      </c>
      <c r="K16" s="506">
        <f>H16/D16</f>
        <v/>
      </c>
      <c r="L16" s="125" t="n"/>
      <c r="M16" s="27" t="inlineStr">
        <is>
          <t>nA</t>
        </is>
      </c>
      <c r="N16" s="473">
        <f>IF(D16&gt;250,1,0)</f>
        <v/>
      </c>
      <c r="O16" s="483">
        <f>IF(D16&gt;250,"UYGUN","UYGUN DEĞİL")</f>
        <v/>
      </c>
      <c r="P16" s="125" t="n"/>
      <c r="Q16" s="231" t="n"/>
      <c r="R16" s="11" t="n"/>
    </row>
    <row r="17">
      <c r="A17" s="10" t="n"/>
      <c r="B17" s="730" t="inlineStr">
        <is>
          <t>L2</t>
        </is>
      </c>
      <c r="C17" s="231" t="n"/>
      <c r="D17" s="730" t="n">
        <v>10000</v>
      </c>
      <c r="E17" s="231" t="n"/>
      <c r="F17" s="730" t="inlineStr">
        <is>
          <t>GΩ</t>
        </is>
      </c>
      <c r="G17" s="231" t="n"/>
      <c r="H17" s="481" t="n">
        <v>10000</v>
      </c>
      <c r="I17" s="125" t="n"/>
      <c r="J17" s="27" t="inlineStr">
        <is>
          <t>VDC</t>
        </is>
      </c>
      <c r="K17" s="506">
        <f>H17/D17</f>
        <v/>
      </c>
      <c r="L17" s="125" t="n"/>
      <c r="M17" s="27" t="inlineStr">
        <is>
          <t>nA</t>
        </is>
      </c>
      <c r="N17" s="473">
        <f>IF(D17&gt;250,1,0)</f>
        <v/>
      </c>
      <c r="O17" s="483">
        <f>IF(D17&gt;250,"UYGUN","UYGUN DEĞİL")</f>
        <v/>
      </c>
      <c r="P17" s="125" t="n"/>
      <c r="Q17" s="231" t="n"/>
      <c r="R17" s="11" t="n"/>
      <c r="W17" s="652" t="inlineStr">
        <is>
          <t>L1 Fazına ait Akım Trafosunun izolasyon direnç değeri uygundur.</t>
        </is>
      </c>
    </row>
    <row r="18">
      <c r="A18" s="10" t="n"/>
      <c r="B18" s="730" t="inlineStr">
        <is>
          <t>L3</t>
        </is>
      </c>
      <c r="C18" s="231" t="n"/>
      <c r="D18" s="730" t="n">
        <v>10000</v>
      </c>
      <c r="E18" s="231" t="n"/>
      <c r="F18" s="730" t="inlineStr">
        <is>
          <t>GΩ</t>
        </is>
      </c>
      <c r="G18" s="231" t="n"/>
      <c r="H18" s="481" t="n">
        <v>10000</v>
      </c>
      <c r="I18" s="125" t="n"/>
      <c r="J18" s="27" t="inlineStr">
        <is>
          <t>VDC</t>
        </is>
      </c>
      <c r="K18" s="506">
        <f>H18/D18</f>
        <v/>
      </c>
      <c r="L18" s="125" t="n"/>
      <c r="M18" s="27" t="inlineStr">
        <is>
          <t>nA</t>
        </is>
      </c>
      <c r="N18" s="473">
        <f>IF(D18&gt;250,1,0)</f>
        <v/>
      </c>
      <c r="O18" s="483">
        <f>IF(D18&gt;250,"UYGUN","UYGUN DEĞİL")</f>
        <v/>
      </c>
      <c r="P18" s="125" t="n"/>
      <c r="Q18" s="231" t="n"/>
      <c r="R18" s="11" t="n"/>
      <c r="W18" s="652" t="inlineStr">
        <is>
          <t>L1 Fazına ait Akım Trafosunun izolasyon direnç değeri uygun değildir.</t>
        </is>
      </c>
    </row>
    <row r="19">
      <c r="A19" s="10" t="n"/>
      <c r="B19" s="171" t="n"/>
      <c r="C19" s="544" t="n"/>
      <c r="E19" s="544" t="n"/>
      <c r="G19" s="560" t="n"/>
      <c r="I19" s="544" t="n"/>
      <c r="K19" s="560" t="n"/>
      <c r="M19" s="560" t="n"/>
      <c r="O19" s="560" t="n"/>
      <c r="Q19" s="702" t="n"/>
      <c r="R19" s="11" t="n"/>
      <c r="W19" s="652" t="inlineStr">
        <is>
          <t>L2 Fazına ait Akım Trafosunun izolasyon direnç değeri uygundur.</t>
        </is>
      </c>
    </row>
    <row r="20">
      <c r="A20" s="10" t="n"/>
      <c r="B20" s="171" t="n"/>
      <c r="C20" s="544" t="n"/>
      <c r="E20" s="544" t="n"/>
      <c r="G20" s="560" t="n"/>
      <c r="I20" s="544" t="n"/>
      <c r="K20" s="32" t="n"/>
      <c r="L20" s="32" t="n"/>
      <c r="M20" s="32" t="n"/>
      <c r="N20" s="32" t="n"/>
      <c r="O20" s="32" t="n"/>
      <c r="P20" s="32" t="n"/>
      <c r="Q20" s="702" t="n"/>
      <c r="R20" s="11" t="n"/>
      <c r="W20" s="652" t="inlineStr">
        <is>
          <t>L2 Fazına ait Akım Trafosunun izolasyon direnç değeri uygun değildir.</t>
        </is>
      </c>
    </row>
    <row r="21">
      <c r="A21" s="10" t="n"/>
      <c r="B21" s="171" t="n"/>
      <c r="C21" s="544" t="n"/>
      <c r="E21" s="544" t="n"/>
      <c r="G21" s="560" t="n"/>
      <c r="I21" s="544" t="n"/>
      <c r="K21" s="32" t="n"/>
      <c r="L21" s="32" t="n"/>
      <c r="M21" s="32" t="n"/>
      <c r="N21" s="32" t="n"/>
      <c r="O21" s="32" t="n"/>
      <c r="P21" s="32" t="n"/>
      <c r="Q21" s="702" t="n"/>
      <c r="R21" s="11" t="n"/>
      <c r="W21" s="652" t="inlineStr">
        <is>
          <t>L3 Fazına ait Akım Trafosunun izolasyon direnç değeri uygundur.</t>
        </is>
      </c>
    </row>
    <row r="22">
      <c r="A22" s="10" t="n"/>
      <c r="B22" s="171" t="n"/>
      <c r="C22" s="544" t="n"/>
      <c r="D22" s="544" t="n"/>
      <c r="E22" s="544" t="n"/>
      <c r="F22" s="544" t="n"/>
      <c r="G22" s="544" t="n"/>
      <c r="H22" s="544" t="n"/>
      <c r="I22" s="544" t="n"/>
      <c r="J22" s="544" t="n"/>
      <c r="K22" s="544" t="n"/>
      <c r="L22" s="544" t="n"/>
      <c r="M22" s="544" t="n"/>
      <c r="N22" s="544" t="n"/>
      <c r="O22" s="544" t="n"/>
      <c r="P22" s="544" t="n"/>
      <c r="Q22" s="702" t="n"/>
      <c r="R22" s="11" t="n"/>
      <c r="W22" s="652" t="inlineStr">
        <is>
          <t>L3 Fazına ait Akım Trafosunun izolasyon direnç değeri uygun değildir.</t>
        </is>
      </c>
    </row>
    <row r="23" ht="18.75" customHeight="1" s="684">
      <c r="A23" s="10" t="n"/>
      <c r="B23" s="177" t="n"/>
      <c r="C23" s="176" t="n"/>
      <c r="D23" s="176" t="n"/>
      <c r="E23" s="176" t="n"/>
      <c r="F23" s="176" t="n"/>
      <c r="G23" s="176" t="n"/>
      <c r="H23" s="176" t="n"/>
      <c r="I23" s="176" t="n"/>
      <c r="J23" s="176" t="n"/>
      <c r="K23" s="176" t="n"/>
      <c r="L23" s="176" t="n"/>
      <c r="M23" s="176" t="n"/>
      <c r="N23" s="176" t="n"/>
      <c r="O23" s="176" t="n"/>
      <c r="P23" s="176" t="n"/>
      <c r="Q23" s="178" t="n"/>
      <c r="R23" s="11" t="n"/>
    </row>
    <row r="24">
      <c r="A24" s="10" t="n"/>
      <c r="B24" s="3" t="n"/>
      <c r="C24" s="264" t="n"/>
      <c r="D24" s="264" t="n"/>
      <c r="E24" s="264" t="n"/>
      <c r="F24" s="264" t="n"/>
      <c r="G24" s="264" t="n"/>
      <c r="H24" s="264" t="n"/>
      <c r="I24" s="264" t="n"/>
      <c r="J24" s="264" t="n"/>
      <c r="K24" s="264" t="n"/>
      <c r="L24" s="264" t="n"/>
      <c r="M24" s="264" t="n"/>
      <c r="N24" s="264" t="n"/>
      <c r="O24" s="264" t="n"/>
      <c r="P24" s="264" t="n"/>
      <c r="Q24" s="187" t="n"/>
      <c r="R24" s="11" t="n"/>
    </row>
    <row r="25">
      <c r="A25" s="10" t="n"/>
      <c r="B25" s="3" t="n"/>
      <c r="C25" s="264" t="n"/>
      <c r="D25" s="264" t="n"/>
      <c r="E25" s="264" t="n"/>
      <c r="F25" s="264" t="n"/>
      <c r="G25" s="264" t="n"/>
      <c r="H25" s="264" t="n"/>
      <c r="I25" s="264" t="n"/>
      <c r="J25" s="264" t="n"/>
      <c r="K25" s="264" t="n"/>
      <c r="L25" s="264" t="n"/>
      <c r="M25" s="264" t="n"/>
      <c r="N25" s="264" t="n"/>
      <c r="O25" s="264" t="n"/>
      <c r="P25" s="264" t="n"/>
      <c r="Q25" s="187" t="n"/>
      <c r="R25" s="11" t="n"/>
    </row>
    <row r="26">
      <c r="A26" s="10" t="n"/>
      <c r="B26" s="25" t="n"/>
      <c r="C26" s="26" t="n"/>
      <c r="D26" s="26" t="n"/>
      <c r="E26" s="26" t="n"/>
      <c r="F26" s="264" t="n"/>
      <c r="G26" s="264" t="n"/>
      <c r="H26" s="264" t="n"/>
      <c r="I26" s="264" t="n"/>
      <c r="J26" s="264" t="n"/>
      <c r="K26" s="264" t="n"/>
      <c r="L26" s="264" t="n"/>
      <c r="M26" s="264" t="n"/>
      <c r="N26" s="264" t="n"/>
      <c r="O26" s="264" t="n"/>
      <c r="P26" s="264" t="n"/>
      <c r="Q26" s="187" t="n"/>
      <c r="R26" s="11" t="n"/>
    </row>
    <row r="27">
      <c r="A27" s="10" t="n"/>
      <c r="B27" s="3" t="n"/>
      <c r="C27" s="264" t="n"/>
      <c r="D27" s="264" t="n"/>
      <c r="E27" s="264" t="n"/>
      <c r="F27" s="264" t="n"/>
      <c r="G27" s="264" t="n"/>
      <c r="H27" s="264" t="n"/>
      <c r="I27" s="264" t="n"/>
      <c r="J27" s="264" t="n"/>
      <c r="K27" s="264" t="n"/>
      <c r="L27" s="264" t="n"/>
      <c r="M27" s="264" t="n"/>
      <c r="N27" s="264" t="n"/>
      <c r="O27" s="264" t="n"/>
      <c r="P27" s="264" t="n"/>
      <c r="Q27" s="187" t="n"/>
      <c r="R27" s="11" t="n"/>
    </row>
    <row r="28">
      <c r="A28" s="10" t="n"/>
      <c r="B28" s="3" t="n"/>
      <c r="C28" s="264" t="n"/>
      <c r="D28" s="264" t="n"/>
      <c r="E28" s="264" t="n"/>
      <c r="F28" s="264" t="n"/>
      <c r="G28" s="264" t="n"/>
      <c r="H28" s="264" t="n"/>
      <c r="I28" s="264" t="n"/>
      <c r="J28" s="264" t="n"/>
      <c r="K28" s="264" t="n"/>
      <c r="L28" s="264" t="n"/>
      <c r="M28" s="264" t="n"/>
      <c r="N28" s="264" t="n"/>
      <c r="O28" s="264" t="n"/>
      <c r="P28" s="264" t="n"/>
      <c r="Q28" s="187" t="n"/>
      <c r="R28" s="11" t="n"/>
    </row>
    <row r="29" ht="72" customHeight="1" s="684">
      <c r="A29" s="10" t="n"/>
      <c r="B29" s="3" t="n"/>
      <c r="C29" s="264" t="n"/>
      <c r="D29" s="264" t="n"/>
      <c r="E29" s="264" t="n"/>
      <c r="F29" s="24" t="n"/>
      <c r="G29" s="264" t="n"/>
      <c r="H29" s="264" t="n"/>
      <c r="I29" s="264" t="n"/>
      <c r="J29" s="264" t="n"/>
      <c r="K29" s="264" t="n"/>
      <c r="L29" s="264" t="n"/>
      <c r="M29" s="264" t="n"/>
      <c r="N29" s="264" t="n"/>
      <c r="O29" s="264" t="n"/>
      <c r="P29" s="264" t="n"/>
      <c r="Q29" s="187" t="n"/>
      <c r="R29" s="11" t="n"/>
    </row>
    <row r="30" ht="26.25" customHeight="1" s="684">
      <c r="A30" s="10" t="n"/>
      <c r="B30" s="3" t="n"/>
      <c r="C30" s="264" t="n"/>
      <c r="D30" s="264" t="n"/>
      <c r="E30" s="264" t="n"/>
      <c r="F30" s="24" t="n"/>
      <c r="G30" s="264" t="n"/>
      <c r="H30" s="264" t="n"/>
      <c r="I30" s="264" t="n"/>
      <c r="J30" s="264" t="n"/>
      <c r="K30" s="264" t="n"/>
      <c r="L30" s="264" t="n"/>
      <c r="M30" s="264" t="n"/>
      <c r="N30" s="264" t="n"/>
      <c r="O30" s="264" t="n"/>
      <c r="P30" s="264" t="n"/>
      <c r="Q30" s="187" t="n"/>
      <c r="R30" s="11" t="n"/>
    </row>
    <row r="31" ht="18.75" customHeight="1" s="684">
      <c r="A31" s="35" t="n"/>
      <c r="B31" s="700" t="n"/>
      <c r="Q31" s="344" t="n"/>
      <c r="R31" s="11" t="n"/>
    </row>
    <row r="32" ht="3.75" customHeight="1" s="684">
      <c r="A32" s="35" t="n"/>
      <c r="B32" s="699" t="n"/>
      <c r="C32" s="699" t="n"/>
      <c r="D32" s="699" t="n"/>
      <c r="E32" s="699" t="n"/>
      <c r="F32" s="699" t="n"/>
      <c r="G32" s="699" t="n"/>
      <c r="H32" s="699" t="n"/>
      <c r="I32" s="699" t="n"/>
      <c r="J32" s="699" t="n"/>
      <c r="K32" s="699" t="n"/>
      <c r="L32" s="699" t="n"/>
      <c r="M32" s="699" t="n"/>
      <c r="N32" s="699" t="n"/>
      <c r="O32" s="699" t="n"/>
      <c r="P32" s="699" t="n"/>
      <c r="Q32" s="700" t="n"/>
      <c r="R32" s="11" t="n"/>
    </row>
    <row r="33" ht="6" customHeight="1" s="684">
      <c r="A33" s="35" t="n"/>
      <c r="B33" s="699" t="n"/>
      <c r="C33" s="699" t="n"/>
      <c r="D33" s="699" t="n"/>
      <c r="E33" s="699" t="n"/>
      <c r="F33" s="699" t="n"/>
      <c r="G33" s="699" t="n"/>
      <c r="H33" s="699" t="n"/>
      <c r="I33" s="699" t="n"/>
      <c r="J33" s="699" t="n"/>
      <c r="K33" s="699" t="n"/>
      <c r="L33" s="699" t="n"/>
      <c r="M33" s="699" t="n"/>
      <c r="N33" s="699" t="n"/>
      <c r="O33" s="699" t="n"/>
      <c r="P33" s="699" t="n"/>
      <c r="Q33" s="700" t="n"/>
      <c r="R33" s="11" t="n"/>
    </row>
    <row r="34" ht="30.75" customHeight="1" s="684">
      <c r="A34" s="35" t="n"/>
      <c r="B34" s="264" t="n"/>
      <c r="C34" s="701" t="n"/>
      <c r="E34" s="701" t="n"/>
      <c r="G34" s="701" t="n"/>
      <c r="I34" s="701" t="n"/>
      <c r="K34" s="264" t="n"/>
      <c r="L34" s="418" t="n"/>
      <c r="O34" s="702" t="n"/>
      <c r="Q34" s="344" t="n"/>
      <c r="R34" s="11" t="n"/>
    </row>
    <row r="35">
      <c r="A35" s="35" t="n"/>
      <c r="B35" s="379" t="n"/>
      <c r="C35" s="703" t="n"/>
      <c r="E35" s="665" t="n"/>
      <c r="F35" s="577" t="n"/>
      <c r="G35" s="418" t="n"/>
      <c r="I35" s="665" t="n"/>
      <c r="J35" s="577" t="n"/>
      <c r="K35" s="264" t="n"/>
      <c r="L35" s="651" t="n"/>
      <c r="N35" s="264" t="n"/>
      <c r="O35" s="651" t="n"/>
      <c r="Q35" s="187" t="n"/>
      <c r="R35" s="11" t="n"/>
    </row>
    <row r="36">
      <c r="A36" s="35" t="n"/>
      <c r="B36" s="379" t="n"/>
      <c r="C36" s="703" t="n"/>
      <c r="G36" s="418" t="n"/>
      <c r="K36" s="264" t="n"/>
      <c r="L36" s="651" t="n"/>
      <c r="N36" s="264" t="n"/>
      <c r="O36" s="651" t="n"/>
      <c r="Q36" s="187" t="n"/>
      <c r="R36" s="11" t="n"/>
    </row>
    <row r="37">
      <c r="A37" s="35" t="n"/>
      <c r="B37" s="379" t="n"/>
      <c r="C37" s="703" t="n"/>
      <c r="G37" s="418" t="n"/>
      <c r="K37" s="264" t="n"/>
      <c r="L37" s="264" t="n"/>
      <c r="M37" s="264" t="n"/>
      <c r="N37" s="264" t="n"/>
      <c r="O37" s="264" t="n"/>
      <c r="P37" s="264" t="n"/>
      <c r="Q37" s="702" t="n"/>
      <c r="R37" s="11" t="n"/>
    </row>
    <row r="38" ht="4.5" customHeight="1" s="684">
      <c r="A38" s="10" t="n"/>
      <c r="B38" s="56" t="n"/>
      <c r="C38" s="418" t="n"/>
      <c r="D38" s="418" t="n"/>
      <c r="E38" s="418" t="n"/>
      <c r="F38" s="418" t="n"/>
      <c r="G38" s="418" t="n"/>
      <c r="H38" s="418" t="n"/>
      <c r="I38" s="418" t="n"/>
      <c r="J38" s="418" t="n"/>
      <c r="K38" s="264" t="n"/>
      <c r="L38" s="264" t="n"/>
      <c r="M38" s="264" t="n"/>
      <c r="N38" s="264" t="n"/>
      <c r="O38" s="264" t="n"/>
      <c r="P38" s="264" t="n"/>
      <c r="Q38" s="702" t="n"/>
      <c r="R38" s="11" t="n"/>
    </row>
    <row r="39" ht="15.75" customHeight="1" s="684">
      <c r="A39" s="10" t="n"/>
      <c r="B39" s="545" t="inlineStr">
        <is>
          <t>Sonuç :</t>
        </is>
      </c>
      <c r="C39" s="231" t="n"/>
      <c r="D39" s="754">
        <f>IF(N16&lt;1,W18,W17)</f>
        <v/>
      </c>
      <c r="E39" s="70" t="n"/>
      <c r="F39" s="70" t="n"/>
      <c r="G39" s="70" t="n"/>
      <c r="H39" s="70" t="n"/>
      <c r="I39" s="70" t="n"/>
      <c r="J39" s="70" t="n"/>
      <c r="K39" s="70" t="n"/>
      <c r="L39" s="70" t="n"/>
      <c r="M39" s="70" t="n"/>
      <c r="N39" s="70" t="n"/>
      <c r="O39" s="70" t="n"/>
      <c r="P39" s="70" t="n"/>
      <c r="Q39" s="343" t="n"/>
      <c r="R39" s="11" t="n"/>
    </row>
    <row r="40" ht="15" customHeight="1" s="684">
      <c r="A40" s="10" t="n"/>
      <c r="B40" s="171" t="n"/>
      <c r="C40" s="24" t="n"/>
      <c r="D40" s="517">
        <f>IF(N17&lt;1,W20,W19)</f>
        <v/>
      </c>
      <c r="Q40" s="344" t="n"/>
      <c r="R40" s="11" t="n"/>
    </row>
    <row r="41" ht="15" customHeight="1" s="684">
      <c r="A41" s="10" t="n"/>
      <c r="B41" s="171" t="n"/>
      <c r="C41" s="24" t="n"/>
      <c r="D41" s="517">
        <f>IF(N18&lt;1,W22,W21)</f>
        <v/>
      </c>
      <c r="Q41" s="344" t="n"/>
      <c r="R41" s="11" t="n"/>
    </row>
    <row r="42" ht="15" customHeight="1" s="684">
      <c r="A42" s="10" t="n"/>
      <c r="B42" s="171" t="n"/>
      <c r="C42" s="24" t="n"/>
      <c r="D42" s="516" t="n"/>
      <c r="E42" s="516" t="n"/>
      <c r="F42" s="516" t="n"/>
      <c r="G42" s="516" t="n"/>
      <c r="H42" s="516" t="n"/>
      <c r="I42" s="516" t="n"/>
      <c r="J42" s="516" t="n"/>
      <c r="K42" s="516" t="n"/>
      <c r="L42" s="516" t="n"/>
      <c r="M42" s="516" t="n"/>
      <c r="N42" s="516" t="n"/>
      <c r="O42" s="516" t="n"/>
      <c r="P42" s="516" t="n"/>
      <c r="Q42" s="517" t="n"/>
      <c r="R42" s="11" t="n"/>
    </row>
    <row r="43">
      <c r="A43" s="10" t="n"/>
      <c r="B43" s="62" t="n"/>
      <c r="C43" s="698" t="n"/>
      <c r="D43" s="135" t="n"/>
      <c r="E43" s="135" t="n"/>
      <c r="F43" s="135" t="n"/>
      <c r="G43" s="135" t="n"/>
      <c r="H43" s="135" t="n"/>
      <c r="I43" s="135" t="n"/>
      <c r="J43" s="135" t="n"/>
      <c r="K43" s="135" t="n"/>
      <c r="L43" s="135" t="n"/>
      <c r="M43" s="135" t="n"/>
      <c r="N43" s="135" t="n"/>
      <c r="O43" s="135" t="n"/>
      <c r="P43" s="135" t="n"/>
      <c r="Q43" s="345" t="n"/>
      <c r="R43" s="11" t="n"/>
    </row>
    <row r="44" ht="22.5" customHeight="1" s="684">
      <c r="A44" s="10" t="n"/>
      <c r="B44" s="520" t="inlineStr">
        <is>
          <t>UNVAN</t>
        </is>
      </c>
      <c r="C44" s="70" t="n"/>
      <c r="D44" s="70" t="n"/>
      <c r="E44" s="330" t="inlineStr">
        <is>
          <t>:</t>
        </is>
      </c>
      <c r="F44" s="588" t="inlineStr">
        <is>
          <t>Elektrik Mühendisi</t>
        </is>
      </c>
      <c r="G44" s="70" t="n"/>
      <c r="H44" s="70" t="n"/>
      <c r="I44" s="343" t="n"/>
      <c r="J44" s="705"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0">
        <f>'ANA SAYFA KESİCİ'!F75</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2026-08-12T08:44:03Z</dcterms:modified>
</cp:coreProperties>
</file>