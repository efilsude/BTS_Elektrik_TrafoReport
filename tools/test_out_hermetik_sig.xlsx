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794">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0"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oneCellAnchor>
    <from>
      <col>6</col>
      <colOff>0</colOff>
      <row>55</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oneCellAnchor>
    <from>
      <col>10</col>
      <colOff>0</colOff>
      <row>78</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oneCellAnchor>
    <from>
      <col>9</col>
      <colOff>0</colOff>
      <row>45</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oneCellAnchor>
    <from>
      <col>9</col>
      <colOff>0</colOff>
      <row>47</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oneCellAnchor>
    <from>
      <col>10</col>
      <colOff>0</colOff>
      <row>74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oneCellAnchor>
    <from>
      <col>9</col>
      <colOff>0</colOff>
      <row>40</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oneCellAnchor>
    <from>
      <col>9</col>
      <colOff>0</colOff>
      <row>50</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oneCellAnchor>
    <from>
      <col>9</col>
      <colOff>0</colOff>
      <row>48</row>
      <rowOff>0</rowOff>
    </from>
    <ext cx="1333500" cy="571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oneCellAnchor>
    <from>
      <col>9</col>
      <colOff>0</colOff>
      <row>44</row>
      <rowOff>0</rowOff>
    </from>
    <ext cx="1333500" cy="571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oneCellAnchor>
    <from>
      <col>9</col>
      <colOff>0</colOff>
      <row>52</row>
      <rowOff>0</rowOff>
    </from>
    <ext cx="1333500" cy="571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0.140625"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387" t="n">
        <v>46237</v>
      </c>
    </row>
    <row r="13">
      <c r="A13" s="672" t="inlineStr">
        <is>
          <t>REFERANS</t>
        </is>
      </c>
      <c r="C13" s="672" t="n"/>
      <c r="D13" s="672" t="inlineStr">
        <is>
          <t>International Electrical Testing Association</t>
        </is>
      </c>
    </row>
    <row r="14">
      <c r="A14" s="672" t="inlineStr">
        <is>
          <t>RAPOR KONUSU</t>
        </is>
      </c>
      <c r="C14" s="672" t="n"/>
      <c r="D14" s="362"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inlineStr">
        <is>
          <t>Ahmet YILMAZ</t>
        </is>
      </c>
      <c r="H55" s="70" t="n"/>
      <c r="I55" s="70" t="n"/>
      <c r="J55" s="70" t="n"/>
      <c r="K55" s="70" t="n"/>
      <c r="L55" s="70" t="n"/>
      <c r="M55" s="363" t="n"/>
    </row>
    <row r="56">
      <c r="A56" s="390" t="inlineStr">
        <is>
          <t>Unvan</t>
        </is>
      </c>
      <c r="C56" s="391" t="inlineStr">
        <is>
          <t>:</t>
        </is>
      </c>
      <c r="D56" s="672" t="inlineStr">
        <is>
          <t>Elektrik Mühendisi</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2"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4" t="n"/>
      <c r="I11" s="744" t="n"/>
      <c r="J11" s="744"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4" t="n"/>
      <c r="I13" s="744" t="n"/>
      <c r="J13" s="744" t="n"/>
      <c r="K13" s="455" t="inlineStr">
        <is>
          <t>İmal Yılı</t>
        </is>
      </c>
      <c r="N13" s="117" t="inlineStr">
        <is>
          <t>:</t>
        </is>
      </c>
      <c r="O13" s="458" t="n">
        <v>2015</v>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4" t="n"/>
      <c r="I15" s="744" t="n"/>
      <c r="J15" s="744" t="n"/>
      <c r="K15" s="455" t="inlineStr">
        <is>
          <t>Seri Numarası</t>
        </is>
      </c>
      <c r="N15" s="117" t="inlineStr">
        <is>
          <t>:</t>
        </is>
      </c>
      <c r="O15" s="458" t="inlineStr">
        <is>
          <t>SN-TEST-001</t>
        </is>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4" t="n"/>
      <c r="I17" s="744" t="n"/>
      <c r="J17" s="744" t="n"/>
      <c r="K17" s="455" t="inlineStr">
        <is>
          <t>Yağ Ağırlığı (kg)</t>
        </is>
      </c>
      <c r="N17" s="117" t="inlineStr">
        <is>
          <t>:</t>
        </is>
      </c>
      <c r="O17" s="461" t="n">
        <v>875</v>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4" t="n"/>
      <c r="I19" s="744" t="n"/>
      <c r="J19" s="744" t="n"/>
      <c r="K19" s="455" t="inlineStr">
        <is>
          <t>Kısa Devre Emp.%</t>
        </is>
      </c>
      <c r="N19" s="117" t="inlineStr">
        <is>
          <t>:</t>
        </is>
      </c>
      <c r="O19" s="456" t="n">
        <v>6.42</v>
      </c>
      <c r="P19" s="744" t="n"/>
      <c r="Q19" s="744" t="n"/>
      <c r="R19" s="744" t="n"/>
      <c r="S19" s="745"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3"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5"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5" t="n"/>
      <c r="I29" s="123" t="inlineStr">
        <is>
          <t>ü</t>
        </is>
      </c>
      <c r="J29" s="123" t="inlineStr">
        <is>
          <t>ü</t>
        </is>
      </c>
      <c r="K29" s="450" t="inlineStr">
        <is>
          <t>Bina Temizliği</t>
        </is>
      </c>
      <c r="O29" s="117" t="inlineStr">
        <is>
          <t>:</t>
        </is>
      </c>
      <c r="P29" s="433" t="inlineStr">
        <is>
          <t>UYGUN</t>
        </is>
      </c>
      <c r="Q29" s="745"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5"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5" t="n"/>
      <c r="I33" s="123" t="inlineStr">
        <is>
          <t>ü</t>
        </is>
      </c>
      <c r="J33" s="123" t="n"/>
      <c r="K33" s="449" t="inlineStr">
        <is>
          <t>Yağ Kaçağı Kontrolü</t>
        </is>
      </c>
      <c r="O33" s="150" t="inlineStr">
        <is>
          <t xml:space="preserve">: </t>
        </is>
      </c>
      <c r="P33" s="433" t="inlineStr">
        <is>
          <t>UYGUN</t>
        </is>
      </c>
      <c r="Q33" s="745"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5" t="n"/>
      <c r="I35" s="123" t="inlineStr">
        <is>
          <t>ü</t>
        </is>
      </c>
      <c r="J35" s="123" t="n"/>
      <c r="K35" s="449" t="inlineStr">
        <is>
          <t>Kademe Conta Kontrolü</t>
        </is>
      </c>
      <c r="O35" s="117" t="inlineStr">
        <is>
          <t>:</t>
        </is>
      </c>
      <c r="P35" s="433" t="inlineStr">
        <is>
          <t>UYGUN</t>
        </is>
      </c>
      <c r="Q35" s="745"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5" t="n"/>
      <c r="I37" s="123" t="inlineStr">
        <is>
          <t>ü</t>
        </is>
      </c>
      <c r="J37" s="123" t="n"/>
      <c r="K37" s="390" t="inlineStr">
        <is>
          <t>O.G Conta Kontrolü</t>
        </is>
      </c>
      <c r="O37" s="145" t="inlineStr">
        <is>
          <t>:</t>
        </is>
      </c>
      <c r="P37" s="433" t="inlineStr">
        <is>
          <t>UYGUN</t>
        </is>
      </c>
      <c r="Q37" s="745"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5" t="n"/>
      <c r="I39" s="123" t="inlineStr">
        <is>
          <t>ü</t>
        </is>
      </c>
      <c r="J39" s="123" t="n"/>
      <c r="K39" s="450" t="inlineStr">
        <is>
          <t>Kapak Conta Kontrolü</t>
        </is>
      </c>
      <c r="O39" s="117" t="inlineStr">
        <is>
          <t>:</t>
        </is>
      </c>
      <c r="P39" s="433" t="inlineStr">
        <is>
          <t>UYGUN</t>
        </is>
      </c>
      <c r="Q39" s="745"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5" t="n"/>
      <c r="I41" s="123" t="inlineStr">
        <is>
          <t>ü</t>
        </is>
      </c>
      <c r="J41" s="123" t="n"/>
      <c r="K41" s="391" t="inlineStr">
        <is>
          <t>A.G Conta Kontrolü</t>
        </is>
      </c>
      <c r="O41" s="117" t="inlineStr">
        <is>
          <t>:</t>
        </is>
      </c>
      <c r="P41" s="433" t="inlineStr">
        <is>
          <t>UYGUN</t>
        </is>
      </c>
      <c r="Q41" s="745"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3"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3" t="inlineStr">
        <is>
          <t>ÇEVİRME ORANI  ( TTR )</t>
        </is>
      </c>
      <c r="W44" s="129" t="n"/>
      <c r="X44" s="129" t="n"/>
      <c r="Y44" s="129" t="n"/>
      <c r="Z44" s="129" t="n"/>
      <c r="AA44" s="129" t="n"/>
      <c r="AB44" s="129" t="n"/>
      <c r="AC44" s="129" t="n"/>
      <c r="AD44" s="235" t="n"/>
      <c r="AF44" s="743"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4" t="n"/>
      <c r="J46" s="666" t="inlineStr">
        <is>
          <t>Ω</t>
        </is>
      </c>
      <c r="K46" s="598" t="inlineStr">
        <is>
          <t>A.G Pano Topraklaması</t>
        </is>
      </c>
      <c r="P46" s="116" t="inlineStr">
        <is>
          <t>:</t>
        </is>
      </c>
      <c r="Q46" s="441" t="n">
        <v>0</v>
      </c>
      <c r="R46" s="744" t="n"/>
      <c r="S46" s="461" t="inlineStr">
        <is>
          <t>Ω</t>
        </is>
      </c>
      <c r="T46" s="11" t="n"/>
      <c r="V46" s="746" t="inlineStr">
        <is>
          <t>AB / an</t>
        </is>
      </c>
      <c r="W46" s="139" t="n"/>
      <c r="X46" s="365" t="n"/>
      <c r="Y46" s="428" t="inlineStr">
        <is>
          <t>BC / bn</t>
        </is>
      </c>
      <c r="Z46" s="139" t="n"/>
      <c r="AA46" s="365" t="n"/>
      <c r="AB46" s="746" t="inlineStr">
        <is>
          <t>CA / cn</t>
        </is>
      </c>
      <c r="AC46" s="139" t="n"/>
      <c r="AD46" s="365" t="n"/>
      <c r="AF46" s="746" t="inlineStr">
        <is>
          <t>AB / an</t>
        </is>
      </c>
      <c r="AG46" s="139" t="n"/>
      <c r="AH46" s="365" t="n"/>
      <c r="AI46" s="428" t="inlineStr">
        <is>
          <t>BC / bn</t>
        </is>
      </c>
      <c r="AJ46" s="139" t="n"/>
      <c r="AK46" s="365" t="n"/>
      <c r="AL46" s="746"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4" t="n"/>
      <c r="J48" s="666" t="inlineStr">
        <is>
          <t>Ω</t>
        </is>
      </c>
      <c r="K48" s="598" t="inlineStr">
        <is>
          <t>Kapı Topraklaması</t>
        </is>
      </c>
      <c r="P48" s="116" t="inlineStr">
        <is>
          <t>:</t>
        </is>
      </c>
      <c r="Q48" s="441" t="n">
        <v>0.16</v>
      </c>
      <c r="R48" s="744" t="n"/>
      <c r="S48" s="461" t="inlineStr">
        <is>
          <t>Ω</t>
        </is>
      </c>
      <c r="T48" s="11" t="n"/>
      <c r="V48" s="747">
        <f>V57/1.0525889</f>
        <v/>
      </c>
      <c r="W48" s="744" t="n"/>
      <c r="X48" s="745" t="n"/>
      <c r="Y48" s="747">
        <f>Y57/1.0525889</f>
        <v/>
      </c>
      <c r="Z48" s="744" t="n"/>
      <c r="AA48" s="745" t="n"/>
      <c r="AB48" s="747">
        <f>AB57/1.0525889</f>
        <v/>
      </c>
      <c r="AC48" s="744" t="n"/>
      <c r="AD48" s="745" t="n"/>
      <c r="AF48" s="747">
        <f>AF57/1.045489</f>
        <v/>
      </c>
      <c r="AG48" s="744" t="n"/>
      <c r="AH48" s="745" t="n"/>
      <c r="AI48" s="747">
        <f>AI57/1.045489</f>
        <v/>
      </c>
      <c r="AJ48" s="744" t="n"/>
      <c r="AK48" s="745" t="n"/>
      <c r="AL48" s="747">
        <f>AL57/1.045489</f>
        <v/>
      </c>
      <c r="AM48" s="744" t="n"/>
      <c r="AN48" s="745"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4" t="n"/>
      <c r="J50" s="666" t="inlineStr">
        <is>
          <t>Ω</t>
        </is>
      </c>
      <c r="K50" s="598" t="inlineStr">
        <is>
          <t>Direk Topraklaması</t>
        </is>
      </c>
      <c r="P50" s="116" t="inlineStr">
        <is>
          <t>:</t>
        </is>
      </c>
      <c r="Q50" s="441" t="inlineStr">
        <is>
          <t>_</t>
        </is>
      </c>
      <c r="R50" s="744"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3" t="inlineStr">
        <is>
          <t>ÇEVİRME ORANI  ( TTR )</t>
        </is>
      </c>
      <c r="L53" s="129" t="n"/>
      <c r="M53" s="129" t="n"/>
      <c r="N53" s="129" t="n"/>
      <c r="O53" s="129" t="n"/>
      <c r="P53" s="129" t="n"/>
      <c r="Q53" s="129" t="n"/>
      <c r="R53" s="129" t="n"/>
      <c r="S53" s="235" t="n"/>
      <c r="T53" s="11" t="n"/>
      <c r="V53" s="743" t="inlineStr">
        <is>
          <t>ÇEVİRME ORANI  ( TTR )</t>
        </is>
      </c>
      <c r="W53" s="129" t="n"/>
      <c r="X53" s="129" t="n"/>
      <c r="Y53" s="129" t="n"/>
      <c r="Z53" s="129" t="n"/>
      <c r="AA53" s="129" t="n"/>
      <c r="AB53" s="129" t="n"/>
      <c r="AC53" s="129" t="n"/>
      <c r="AD53" s="235" t="n"/>
      <c r="AF53" s="743"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48" t="n">
        <v>50.1</v>
      </c>
      <c r="D55" s="744" t="n"/>
      <c r="E55" s="744" t="n"/>
      <c r="F55" s="104" t="inlineStr">
        <is>
          <t>Ran  :</t>
        </is>
      </c>
      <c r="G55" s="749" t="n">
        <v>0.000256</v>
      </c>
      <c r="H55" s="744" t="n"/>
      <c r="I55" s="744" t="n"/>
      <c r="J55" s="745" t="n"/>
      <c r="K55" s="746" t="inlineStr">
        <is>
          <t>AB / an</t>
        </is>
      </c>
      <c r="L55" s="139" t="n"/>
      <c r="M55" s="365" t="n"/>
      <c r="N55" s="428" t="inlineStr">
        <is>
          <t>BC / bn</t>
        </is>
      </c>
      <c r="O55" s="139" t="n"/>
      <c r="P55" s="365" t="n"/>
      <c r="Q55" s="746" t="inlineStr">
        <is>
          <t>CA / cn</t>
        </is>
      </c>
      <c r="R55" s="139" t="n"/>
      <c r="S55" s="365" t="n"/>
      <c r="T55" s="95" t="n"/>
      <c r="V55" s="746" t="inlineStr">
        <is>
          <t>AB / an</t>
        </is>
      </c>
      <c r="W55" s="139" t="n"/>
      <c r="X55" s="365" t="n"/>
      <c r="Y55" s="428" t="inlineStr">
        <is>
          <t>BC / bn</t>
        </is>
      </c>
      <c r="Z55" s="139" t="n"/>
      <c r="AA55" s="365" t="n"/>
      <c r="AB55" s="746" t="inlineStr">
        <is>
          <t>CA / cn</t>
        </is>
      </c>
      <c r="AC55" s="139" t="n"/>
      <c r="AD55" s="365" t="n"/>
      <c r="AF55" s="746" t="inlineStr">
        <is>
          <t>AB / an</t>
        </is>
      </c>
      <c r="AG55" s="139" t="n"/>
      <c r="AH55" s="365" t="n"/>
      <c r="AI55" s="428" t="inlineStr">
        <is>
          <t>BC / bn</t>
        </is>
      </c>
      <c r="AJ55" s="139" t="n"/>
      <c r="AK55" s="365" t="n"/>
      <c r="AL55" s="746"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48" t="n">
        <v>50</v>
      </c>
      <c r="D57" s="744" t="n"/>
      <c r="E57" s="744" t="n"/>
      <c r="F57" s="104" t="inlineStr">
        <is>
          <t>Rbn  :</t>
        </is>
      </c>
      <c r="G57" s="749" t="n">
        <v>0.000257</v>
      </c>
      <c r="H57" s="744" t="n"/>
      <c r="I57" s="744" t="n"/>
      <c r="J57" s="745" t="n"/>
      <c r="K57" s="747" t="n">
        <v>149.539</v>
      </c>
      <c r="L57" s="744" t="n"/>
      <c r="M57" s="745" t="n"/>
      <c r="N57" s="747" t="n">
        <v>149.785</v>
      </c>
      <c r="O57" s="744" t="n"/>
      <c r="P57" s="745" t="n"/>
      <c r="Q57" s="747" t="n">
        <v>149.585</v>
      </c>
      <c r="R57" s="744" t="n"/>
      <c r="S57" s="745" t="n"/>
      <c r="T57" s="11" t="n"/>
      <c r="V57" s="747">
        <f>V66/1.050038</f>
        <v/>
      </c>
      <c r="W57" s="744" t="n"/>
      <c r="X57" s="745" t="n"/>
      <c r="Y57" s="747">
        <f>Y66/1.050038</f>
        <v/>
      </c>
      <c r="Z57" s="744" t="n"/>
      <c r="AA57" s="745" t="n"/>
      <c r="AB57" s="747">
        <f>AB66/1.050038</f>
        <v/>
      </c>
      <c r="AC57" s="744" t="n"/>
      <c r="AD57" s="745" t="n"/>
      <c r="AF57" s="747">
        <f>K57</f>
        <v/>
      </c>
      <c r="AG57" s="744" t="n"/>
      <c r="AH57" s="745" t="n"/>
      <c r="AI57" s="747">
        <f>N57</f>
        <v/>
      </c>
      <c r="AJ57" s="744" t="n"/>
      <c r="AK57" s="745" t="n"/>
      <c r="AL57" s="747">
        <f>Q57</f>
        <v/>
      </c>
      <c r="AM57" s="744" t="n"/>
      <c r="AN57" s="745"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48" t="n">
        <v>50.2</v>
      </c>
      <c r="D59" s="744" t="n"/>
      <c r="E59" s="744" t="n"/>
      <c r="F59" s="104" t="inlineStr">
        <is>
          <t>Rcn  :</t>
        </is>
      </c>
      <c r="G59" s="749" t="n">
        <v>0.000251</v>
      </c>
      <c r="H59" s="744" t="n"/>
      <c r="I59" s="744" t="n"/>
      <c r="J59" s="745"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0"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3"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3" t="inlineStr">
        <is>
          <t>ÇEVİRME ORANI  ( TTR )</t>
        </is>
      </c>
      <c r="W62" s="129" t="n"/>
      <c r="X62" s="129" t="n"/>
      <c r="Y62" s="129" t="n"/>
      <c r="Z62" s="129" t="n"/>
      <c r="AA62" s="129" t="n"/>
      <c r="AB62" s="129" t="n"/>
      <c r="AC62" s="129" t="n"/>
      <c r="AD62" s="235" t="n"/>
      <c r="AF62" s="743"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6" t="inlineStr">
        <is>
          <t>AB / an</t>
        </is>
      </c>
      <c r="W64" s="139" t="n"/>
      <c r="X64" s="365" t="n"/>
      <c r="Y64" s="428" t="inlineStr">
        <is>
          <t>BC / bn</t>
        </is>
      </c>
      <c r="Z64" s="139" t="n"/>
      <c r="AA64" s="365" t="n"/>
      <c r="AB64" s="746" t="inlineStr">
        <is>
          <t>CA / cn</t>
        </is>
      </c>
      <c r="AC64" s="139" t="n"/>
      <c r="AD64" s="365" t="n"/>
      <c r="AF64" s="746" t="inlineStr">
        <is>
          <t>AB / an</t>
        </is>
      </c>
      <c r="AG64" s="139" t="n"/>
      <c r="AH64" s="365" t="n"/>
      <c r="AI64" s="428" t="inlineStr">
        <is>
          <t>BC / bn</t>
        </is>
      </c>
      <c r="AJ64" s="139" t="n"/>
      <c r="AK64" s="365" t="n"/>
      <c r="AL64" s="746"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4" t="n"/>
      <c r="H66" s="146" t="n"/>
      <c r="I66" s="416" t="n">
        <v>2311</v>
      </c>
      <c r="J66" s="744" t="n"/>
      <c r="K66" s="146" t="n"/>
      <c r="L66" s="416" t="n">
        <v>3456</v>
      </c>
      <c r="M66" s="744" t="n"/>
      <c r="N66" s="718" t="n"/>
      <c r="O66" s="683" t="inlineStr">
        <is>
          <t>G</t>
        </is>
      </c>
      <c r="P66" s="125" t="inlineStr">
        <is>
          <t>Ω</t>
        </is>
      </c>
      <c r="Q66" s="485">
        <f>L66/F66</f>
        <v/>
      </c>
      <c r="R66" s="744" t="n"/>
      <c r="S66" s="143" t="n"/>
      <c r="T66" s="11" t="n"/>
      <c r="V66" s="747">
        <f>AF48/1.04758</f>
        <v/>
      </c>
      <c r="W66" s="744" t="n"/>
      <c r="X66" s="745" t="n"/>
      <c r="Y66" s="747">
        <f>AI48/1.04758</f>
        <v/>
      </c>
      <c r="Z66" s="744" t="n"/>
      <c r="AA66" s="745" t="n"/>
      <c r="AB66" s="747">
        <f>AL48/1.04758</f>
        <v/>
      </c>
      <c r="AC66" s="744" t="n"/>
      <c r="AD66" s="745" t="n"/>
      <c r="AF66" s="747">
        <f>AF57*1.043443</f>
        <v/>
      </c>
      <c r="AG66" s="744" t="n"/>
      <c r="AH66" s="745" t="n"/>
      <c r="AI66" s="747">
        <f>AI57*1.043443</f>
        <v/>
      </c>
      <c r="AJ66" s="744" t="n"/>
      <c r="AK66" s="745" t="n"/>
      <c r="AL66" s="747">
        <f>AL57*1.043443</f>
        <v/>
      </c>
      <c r="AM66" s="744" t="n"/>
      <c r="AN66" s="745"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4" t="n"/>
      <c r="H68" s="147" t="n"/>
      <c r="I68" s="416" t="n">
        <v>3232</v>
      </c>
      <c r="J68" s="744" t="n"/>
      <c r="K68" s="147" t="n"/>
      <c r="L68" s="416" t="n">
        <v>3456</v>
      </c>
      <c r="M68" s="744" t="n"/>
      <c r="N68" s="57" t="n"/>
      <c r="O68" s="683" t="inlineStr">
        <is>
          <t>G</t>
        </is>
      </c>
      <c r="P68" s="125" t="inlineStr">
        <is>
          <t>Ω</t>
        </is>
      </c>
      <c r="Q68" s="485">
        <f>L68/F68</f>
        <v/>
      </c>
      <c r="R68" s="744"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4" t="n"/>
      <c r="H70" s="147" t="n"/>
      <c r="I70" s="416" t="n">
        <v>3232</v>
      </c>
      <c r="J70" s="744" t="n"/>
      <c r="K70" s="147" t="n"/>
      <c r="L70" s="416" t="n">
        <v>3345</v>
      </c>
      <c r="M70" s="744" t="n"/>
      <c r="N70" s="266" t="n"/>
      <c r="O70" s="683" t="inlineStr">
        <is>
          <t>G</t>
        </is>
      </c>
      <c r="P70" s="125" t="inlineStr">
        <is>
          <t>Ω</t>
        </is>
      </c>
      <c r="Q70" s="485">
        <f>L70/F70</f>
        <v/>
      </c>
      <c r="R70" s="744"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1" t="inlineStr">
        <is>
          <t>NOTLAR : Trafonun rutin bakımları ve izolasyon testleri yapıldı. Herhangi bir olumsuzluğa rastlanmadı.</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2">
        <f>'KAPAK SAYFASI'!D54</f>
        <v/>
      </c>
      <c r="J79" s="364" t="n"/>
      <c r="K79" s="294" t="inlineStr">
        <is>
          <t>Ahmet YILMAZ</t>
        </is>
      </c>
      <c r="L79" s="295" t="n"/>
      <c r="M79" s="293" t="n"/>
      <c r="N79" s="753" t="n"/>
      <c r="O79" s="753" t="n"/>
      <c r="P79" s="753" t="n"/>
      <c r="Q79" s="753" t="n"/>
      <c r="R79" s="753" t="n"/>
      <c r="S79" s="754" t="n"/>
      <c r="T79" s="11" t="n"/>
    </row>
    <row r="80" ht="16.5" customHeight="1" s="702">
      <c r="A80" s="10" t="n"/>
      <c r="B80" s="460" t="inlineStr">
        <is>
          <t>Unvan</t>
        </is>
      </c>
      <c r="E80" s="293" t="inlineStr">
        <is>
          <t>:</t>
        </is>
      </c>
      <c r="F80" s="639" t="inlineStr">
        <is>
          <t>Elektrik Mühendisi</t>
        </is>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t="n">
        <v>12345</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t="inlineStr">
        <is>
          <t>K202439698</t>
        </is>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6">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MAX(V32:V33)</f>
        <v/>
      </c>
    </row>
    <row r="24">
      <c r="A24" s="10" t="n"/>
      <c r="B24" s="525" t="inlineStr">
        <is>
          <t>A</t>
        </is>
      </c>
      <c r="C24" s="526">
        <f>'ANA SAYFA'!B53</f>
        <v/>
      </c>
      <c r="D24" s="235" t="n"/>
      <c r="E24" s="757">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6" t="n">
        <v>0.05</v>
      </c>
    </row>
    <row r="25">
      <c r="A25" s="10" t="n"/>
      <c r="B25" s="525" t="inlineStr">
        <is>
          <t>B</t>
        </is>
      </c>
      <c r="C25" s="526">
        <f>'ANA SAYFA'!B53</f>
        <v/>
      </c>
      <c r="D25" s="235" t="n"/>
      <c r="E25" s="757">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7">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6">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MIN(V32:V33)</f>
        <v/>
      </c>
    </row>
    <row r="24">
      <c r="A24" s="10" t="n"/>
      <c r="B24" s="525" t="inlineStr">
        <is>
          <t>A</t>
        </is>
      </c>
      <c r="C24" s="526">
        <f>'ANA SAYFA'!I53</f>
        <v/>
      </c>
      <c r="D24" s="235" t="n"/>
      <c r="E24" s="526">
        <f>C24</f>
        <v/>
      </c>
      <c r="F24" s="235" t="n"/>
      <c r="G24" s="551">
        <f>(K24*E24)*0.98</f>
        <v/>
      </c>
      <c r="H24" s="235" t="n"/>
      <c r="I24" s="526" t="n">
        <v>35</v>
      </c>
      <c r="J24" s="235" t="n"/>
      <c r="K24" s="759">
        <f>'ANA SAYFA'!G55</f>
        <v/>
      </c>
      <c r="L24" s="235" t="n"/>
      <c r="M24" s="551">
        <f>F20</f>
        <v/>
      </c>
      <c r="N24" s="235" t="n"/>
      <c r="O24" s="531">
        <f>MIN(T32:T33)</f>
        <v/>
      </c>
      <c r="P24" s="235" t="n"/>
      <c r="Q24" s="525">
        <f>IF(O24&gt;0.05,1,0)</f>
        <v/>
      </c>
      <c r="R24" s="11" t="n"/>
      <c r="T24" t="inlineStr">
        <is>
          <t>SINIR DEĞER</t>
        </is>
      </c>
      <c r="U24" s="756" t="n">
        <v>0.05</v>
      </c>
    </row>
    <row r="25">
      <c r="A25" s="10" t="n"/>
      <c r="B25" s="525" t="inlineStr">
        <is>
          <t>B</t>
        </is>
      </c>
      <c r="C25" s="526">
        <f>'ANA SAYFA'!I53</f>
        <v/>
      </c>
      <c r="D25" s="235" t="n"/>
      <c r="E25" s="526">
        <f>C25</f>
        <v/>
      </c>
      <c r="F25" s="235" t="n"/>
      <c r="G25" s="551">
        <f>(K25*E25)*0.98</f>
        <v/>
      </c>
      <c r="H25" s="235" t="n"/>
      <c r="I25" s="526" t="n">
        <v>35</v>
      </c>
      <c r="J25" s="235" t="n"/>
      <c r="K25" s="759">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551">
        <f>(K26*E26)*0.98</f>
        <v/>
      </c>
      <c r="H26" s="235" t="n"/>
      <c r="I26" s="526" t="n">
        <v>35</v>
      </c>
      <c r="J26" s="235" t="n"/>
      <c r="K26" s="759">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6.7109375" customWidth="1" style="702" min="2" max="2"/>
    <col width="5.42578125" customWidth="1" style="702" min="3" max="3"/>
    <col width="6.7109375" customWidth="1" style="702" min="4" max="4"/>
    <col width="5.42578125" customWidth="1" style="702" min="5" max="5"/>
    <col width="6.7109375" customWidth="1" style="702" min="6" max="6"/>
    <col width="5.42578125" customWidth="1" style="702" min="7" max="7"/>
    <col width="6.5703125" customWidth="1" style="702" min="8" max="8"/>
    <col width="5.42578125" customWidth="1" style="702" min="9" max="9"/>
    <col width="7.5703125" customWidth="1" style="702" min="10" max="10"/>
    <col width="5.7109375" customWidth="1" style="702" min="11" max="11"/>
    <col width="7.5703125"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t="inlineStr">
        <is>
          <t>Ahmet YILMAZ</t>
        </is>
      </c>
      <c r="E11" s="129" t="n"/>
      <c r="F11" s="129" t="n"/>
      <c r="G11" s="235" t="n"/>
      <c r="H11" s="546" t="inlineStr">
        <is>
          <t>Cihaz :</t>
        </is>
      </c>
      <c r="I11" s="235" t="n"/>
      <c r="J11" s="547" t="inlineStr">
        <is>
          <t>STS 5000</t>
        </is>
      </c>
      <c r="K11" s="129" t="n"/>
      <c r="L11" s="235" t="n"/>
      <c r="M11" s="525" t="inlineStr">
        <is>
          <t>Cihaz S/N :</t>
        </is>
      </c>
      <c r="N11" s="235" t="n"/>
      <c r="O11" s="525" t="inlineStr">
        <is>
          <t>SN-19B20</t>
        </is>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3"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563" t="n">
        <v>2500</v>
      </c>
      <c r="C16" s="129" t="n"/>
      <c r="D16" s="129" t="n"/>
      <c r="E16" s="129" t="n"/>
      <c r="F16" s="129" t="n"/>
      <c r="G16" s="760" t="n"/>
      <c r="H16" s="561" t="inlineStr">
        <is>
          <t>HESAPLANAN DEĞERLER 20°C</t>
        </is>
      </c>
      <c r="I16" s="129" t="n"/>
      <c r="J16" s="129" t="n"/>
      <c r="K16" s="129" t="n"/>
      <c r="L16" s="129" t="n"/>
      <c r="M16" s="760" t="n"/>
      <c r="N16" s="266" t="n"/>
      <c r="O16" s="266" t="n"/>
      <c r="P16" s="266" t="n"/>
      <c r="Q16" s="191" t="n"/>
      <c r="R16" s="11" t="n"/>
      <c r="V16" s="452" t="inlineStr">
        <is>
          <t>UYGUN</t>
        </is>
      </c>
    </row>
    <row r="17">
      <c r="A17" s="10" t="n"/>
      <c r="B17" s="562" t="inlineStr">
        <is>
          <t>30 sn</t>
        </is>
      </c>
      <c r="C17" s="235" t="n"/>
      <c r="D17" s="562" t="n">
        <v>2400</v>
      </c>
      <c r="E17" s="235" t="n"/>
      <c r="F17" s="562" t="inlineStr">
        <is>
          <t>60 sn</t>
        </is>
      </c>
      <c r="G17" s="235" t="n"/>
      <c r="H17" s="419" t="inlineStr">
        <is>
          <t>30 sn</t>
        </is>
      </c>
      <c r="I17" s="235" t="n"/>
      <c r="J17" s="562" t="inlineStr">
        <is>
          <t>45 sn</t>
        </is>
      </c>
      <c r="K17" s="235" t="n"/>
      <c r="L17" s="562"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43"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563" t="inlineStr">
        <is>
          <t>ÖLÇÜLEN DEĞERLER</t>
        </is>
      </c>
      <c r="C21" s="129" t="n"/>
      <c r="D21" s="129" t="n"/>
      <c r="E21" s="129" t="n"/>
      <c r="F21" s="129" t="n"/>
      <c r="G21" s="760" t="n"/>
      <c r="H21" s="561" t="inlineStr">
        <is>
          <t>HESAPLANAN DEĞERLER 20°C</t>
        </is>
      </c>
      <c r="I21" s="129" t="n"/>
      <c r="J21" s="129" t="n"/>
      <c r="K21" s="129" t="n"/>
      <c r="L21" s="129" t="n"/>
      <c r="M21" s="760" t="n"/>
      <c r="N21" s="266" t="n"/>
      <c r="O21" s="266" t="n"/>
      <c r="P21" s="266" t="n"/>
      <c r="Q21" s="191" t="n"/>
      <c r="R21" s="11" t="n"/>
      <c r="V21" s="452" t="inlineStr">
        <is>
          <t>UYGUN</t>
        </is>
      </c>
    </row>
    <row r="22">
      <c r="A22" s="10" t="n"/>
      <c r="B22" s="562" t="inlineStr">
        <is>
          <t>30 sn</t>
        </is>
      </c>
      <c r="C22" s="235" t="n"/>
      <c r="D22" s="562" t="inlineStr">
        <is>
          <t>45 sn</t>
        </is>
      </c>
      <c r="E22" s="235" t="n"/>
      <c r="F22" s="562" t="inlineStr">
        <is>
          <t>60 sn</t>
        </is>
      </c>
      <c r="G22" s="235" t="n"/>
      <c r="H22" s="419" t="inlineStr">
        <is>
          <t>30 sn</t>
        </is>
      </c>
      <c r="I22" s="235" t="n"/>
      <c r="J22" s="562" t="inlineStr">
        <is>
          <t>45 sn</t>
        </is>
      </c>
      <c r="K22" s="235" t="n"/>
      <c r="L22" s="562"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43"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563" t="inlineStr">
        <is>
          <t>ÖLÇÜLEN DEĞERLER</t>
        </is>
      </c>
      <c r="C26" s="129" t="n"/>
      <c r="D26" s="129" t="n"/>
      <c r="E26" s="129" t="n"/>
      <c r="F26" s="129" t="n"/>
      <c r="G26" s="760" t="n"/>
      <c r="H26" s="561" t="inlineStr">
        <is>
          <t>HESAPLANAN DEĞERLER 20°C</t>
        </is>
      </c>
      <c r="I26" s="129" t="n"/>
      <c r="J26" s="129" t="n"/>
      <c r="K26" s="129" t="n"/>
      <c r="L26" s="129" t="n"/>
      <c r="M26" s="760" t="n"/>
      <c r="N26" s="266" t="n"/>
      <c r="O26" s="266" t="n"/>
      <c r="P26" s="266" t="n"/>
      <c r="Q26" s="191" t="n"/>
      <c r="R26" s="11" t="n"/>
      <c r="V26" s="452" t="inlineStr">
        <is>
          <t>UYGUN</t>
        </is>
      </c>
      <c r="AL26" s="364" t="n"/>
    </row>
    <row r="27">
      <c r="A27" s="10" t="n"/>
      <c r="B27" s="562" t="inlineStr">
        <is>
          <t>30 sn</t>
        </is>
      </c>
      <c r="C27" s="235" t="n"/>
      <c r="D27" s="562" t="inlineStr">
        <is>
          <t>45 sn</t>
        </is>
      </c>
      <c r="E27" s="235" t="n"/>
      <c r="F27" s="562" t="inlineStr">
        <is>
          <t>60 sn</t>
        </is>
      </c>
      <c r="G27" s="235" t="n"/>
      <c r="H27" s="419" t="inlineStr">
        <is>
          <t>30 sn</t>
        </is>
      </c>
      <c r="I27" s="235" t="n"/>
      <c r="J27" s="562" t="inlineStr">
        <is>
          <t>45 sn</t>
        </is>
      </c>
      <c r="K27" s="235" t="n"/>
      <c r="L27" s="562"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266"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26"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61">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6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3"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63"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64"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65">
        <f>I26/M26</f>
        <v/>
      </c>
      <c r="H26" s="235" t="n"/>
      <c r="I26" s="526" t="n">
        <v>1.5</v>
      </c>
      <c r="J26" s="235" t="n"/>
      <c r="K26" s="526" t="inlineStr">
        <is>
          <t>26,0m</t>
        </is>
      </c>
      <c r="L26" s="235" t="n"/>
      <c r="M26" s="766">
        <f>'ANA SAYFA'!AF57</f>
        <v/>
      </c>
      <c r="N26" s="235" t="n"/>
      <c r="O26" s="767">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65">
        <f>I27/M27</f>
        <v/>
      </c>
      <c r="H27" s="235" t="n"/>
      <c r="I27" s="526" t="n">
        <v>1.5</v>
      </c>
      <c r="J27" s="235" t="n"/>
      <c r="K27" s="526" t="inlineStr">
        <is>
          <t>26,0m</t>
        </is>
      </c>
      <c r="L27" s="235" t="n"/>
      <c r="M27" s="766">
        <f>'ANA SAYFA'!AI57</f>
        <v/>
      </c>
      <c r="N27" s="235" t="n"/>
      <c r="O27" s="767">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65">
        <f>I28/M28</f>
        <v/>
      </c>
      <c r="H28" s="235" t="n"/>
      <c r="I28" s="526" t="n">
        <v>1.5</v>
      </c>
      <c r="J28" s="235" t="n"/>
      <c r="K28" s="526" t="inlineStr">
        <is>
          <t>26,0m</t>
        </is>
      </c>
      <c r="L28" s="235" t="n"/>
      <c r="M28" s="766">
        <f>'ANA SAYFA'!AL57</f>
        <v/>
      </c>
      <c r="N28" s="235" t="n"/>
      <c r="O28" s="767">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8" t="inlineStr">
        <is>
          <t>Max. Ω</t>
        </is>
      </c>
      <c r="C16" s="235" t="n"/>
      <c r="D16" s="768" t="n">
        <v>2</v>
      </c>
      <c r="E16" s="235" t="n"/>
      <c r="F16" s="769"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3"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0"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0"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0"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0"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1">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3"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58">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10000</v>
      </c>
      <c r="E23" s="235" t="n"/>
      <c r="F23" s="603" t="n">
        <v>50</v>
      </c>
      <c r="G23" s="235" t="n"/>
      <c r="H23" s="526" t="n">
        <v>0.202</v>
      </c>
      <c r="I23" s="235" t="n"/>
      <c r="J23" s="765" t="n">
        <v>0.10592</v>
      </c>
      <c r="K23" s="235" t="n"/>
      <c r="L23" s="526" t="n">
        <v>1919.95</v>
      </c>
      <c r="M23" s="235" t="n"/>
      <c r="N23" s="526" t="n">
        <v>52.423</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10000</v>
      </c>
      <c r="E27" s="235" t="n"/>
      <c r="F27" s="603" t="n">
        <v>50</v>
      </c>
      <c r="G27" s="235" t="n"/>
      <c r="H27" s="526" t="n">
        <v>0.32</v>
      </c>
      <c r="I27" s="235" t="n"/>
      <c r="J27" s="765" t="n">
        <v>0.36838</v>
      </c>
      <c r="K27" s="235" t="n"/>
      <c r="L27" s="526" t="n">
        <v>888.675</v>
      </c>
      <c r="M27" s="235" t="n"/>
      <c r="N27" s="526" t="n">
        <v>113.255</v>
      </c>
      <c r="O27" s="235" t="n"/>
      <c r="P27" s="526">
        <f>H27/AA8</f>
        <v/>
      </c>
      <c r="Q27" s="235" t="n"/>
      <c r="R27" s="11" t="n"/>
    </row>
    <row r="28">
      <c r="A28" s="10" t="n"/>
      <c r="B28" s="773"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73"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74" t="n"/>
      <c r="C31" s="504" t="n">
        <v>3</v>
      </c>
      <c r="D31" s="603" t="n">
        <v>10000</v>
      </c>
      <c r="E31" s="235" t="n"/>
      <c r="F31" s="603" t="n">
        <v>50</v>
      </c>
      <c r="G31" s="235" t="n"/>
      <c r="H31" s="526" t="n">
        <v>0.345</v>
      </c>
      <c r="I31" s="235" t="n"/>
      <c r="J31" s="765"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v>
      </c>
      <c r="E23" s="235" t="n"/>
      <c r="F23" s="603" t="n">
        <v>50</v>
      </c>
      <c r="G23" s="235" t="n"/>
      <c r="H23" s="526" t="n">
        <v>0.513</v>
      </c>
      <c r="I23" s="235" t="n"/>
      <c r="J23" s="765" t="n">
        <v>0.10228</v>
      </c>
      <c r="K23" s="235" t="n"/>
      <c r="L23" s="526" t="n">
        <v>202.124</v>
      </c>
      <c r="M23" s="235" t="n"/>
      <c r="N23" s="526" t="n">
        <v>19.915</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v>
      </c>
      <c r="E27" s="235" t="n"/>
      <c r="F27" s="603" t="n">
        <v>50</v>
      </c>
      <c r="G27" s="235" t="n"/>
      <c r="H27" s="526" t="n">
        <v>0.323</v>
      </c>
      <c r="I27" s="235" t="n"/>
      <c r="J27" s="765" t="n">
        <v>0.0146573</v>
      </c>
      <c r="K27" s="235" t="n"/>
      <c r="L27" s="526" t="n"/>
      <c r="M27" s="235" t="n"/>
      <c r="N27" s="526" t="n">
        <v>4.528</v>
      </c>
      <c r="O27" s="235" t="n"/>
      <c r="P27" s="526">
        <f>H27/AA8</f>
        <v/>
      </c>
      <c r="Q27" s="235" t="n"/>
      <c r="R27" s="11" t="n"/>
    </row>
    <row r="28" ht="15" customHeight="1" s="702">
      <c r="A28" s="10" t="n"/>
      <c r="B28" s="773"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73"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74" t="n"/>
      <c r="C31" s="504" t="n">
        <v>3</v>
      </c>
      <c r="D31" s="603" t="n">
        <v>1000</v>
      </c>
      <c r="E31" s="235" t="n"/>
      <c r="F31" s="603" t="n">
        <v>50</v>
      </c>
      <c r="G31" s="235" t="n"/>
      <c r="H31" s="526" t="n">
        <v>0.477</v>
      </c>
      <c r="I31" s="235" t="n"/>
      <c r="J31" s="765"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76">
        <f>'ANA SAYFA'!K2</f>
        <v/>
      </c>
      <c r="L2" s="70" t="n"/>
      <c r="M2" s="70" t="n"/>
      <c r="N2" s="70" t="n"/>
      <c r="O2" s="70" t="n"/>
      <c r="P2" s="70" t="n"/>
      <c r="Q2" s="70" t="n"/>
      <c r="R2" s="70" t="n"/>
      <c r="S2" s="363" t="n"/>
      <c r="T2" s="11" t="n"/>
    </row>
    <row r="3" ht="18" customHeight="1" s="702">
      <c r="A3" s="10" t="n"/>
      <c r="B3" s="85" t="n"/>
      <c r="G3" s="87" t="n"/>
      <c r="H3" s="85" t="n"/>
      <c r="K3" s="744" t="n"/>
      <c r="L3" s="744" t="n"/>
      <c r="M3" s="744" t="n"/>
      <c r="N3" s="744" t="n"/>
      <c r="O3" s="744" t="n"/>
      <c r="P3" s="744" t="n"/>
      <c r="Q3" s="744" t="n"/>
      <c r="R3" s="744" t="n"/>
      <c r="S3" s="745"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76">
        <f>'ANA SAYFA'!K5</f>
        <v/>
      </c>
      <c r="L5" s="70" t="n"/>
      <c r="M5" s="70" t="n"/>
      <c r="N5" s="70" t="n"/>
      <c r="O5" s="70" t="n"/>
      <c r="P5" s="70" t="n"/>
      <c r="Q5" s="70" t="n"/>
      <c r="R5" s="70" t="n"/>
      <c r="S5" s="363" t="n"/>
      <c r="T5" s="11" t="n"/>
    </row>
    <row r="6" ht="18" customHeight="1" s="702">
      <c r="A6" s="10" t="n"/>
      <c r="B6" s="85" t="n"/>
      <c r="G6" s="87" t="n"/>
      <c r="H6" s="85" t="n"/>
      <c r="K6" s="744" t="n"/>
      <c r="L6" s="744" t="n"/>
      <c r="M6" s="744" t="n"/>
      <c r="N6" s="744" t="n"/>
      <c r="O6" s="744" t="n"/>
      <c r="P6" s="744" t="n"/>
      <c r="Q6" s="744" t="n"/>
      <c r="R6" s="744" t="n"/>
      <c r="S6" s="745"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ABB</t>
        </is>
      </c>
      <c r="H11" s="744" t="n"/>
      <c r="I11" s="744" t="n"/>
      <c r="J11" s="744" t="n"/>
      <c r="K11" s="450" t="inlineStr">
        <is>
          <t>Kesici Tipi</t>
        </is>
      </c>
      <c r="N11" s="121" t="inlineStr">
        <is>
          <t xml:space="preserve">: </t>
        </is>
      </c>
      <c r="O11" s="670" t="inlineStr">
        <is>
          <t>USFB-36R</t>
        </is>
      </c>
      <c r="P11" s="744" t="n"/>
      <c r="Q11" s="744" t="n"/>
      <c r="R11" s="744" t="n"/>
      <c r="S11" s="777"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4" t="n"/>
      <c r="I13" s="744" t="n"/>
      <c r="J13" s="744" t="n"/>
      <c r="K13" s="455" t="inlineStr">
        <is>
          <t>İmal Yılı</t>
        </is>
      </c>
      <c r="N13" s="116" t="inlineStr">
        <is>
          <t>:</t>
        </is>
      </c>
      <c r="O13" s="458" t="inlineStr">
        <is>
          <t>2016</t>
        </is>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4" t="n"/>
      <c r="I15" s="744" t="n"/>
      <c r="J15" s="744" t="n"/>
      <c r="K15" s="455" t="inlineStr">
        <is>
          <t>Seri Numarası</t>
        </is>
      </c>
      <c r="N15" s="116" t="inlineStr">
        <is>
          <t>:</t>
        </is>
      </c>
      <c r="O15" s="461" t="n">
        <v>2196</v>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4" t="n"/>
      <c r="I17" s="744" t="n"/>
      <c r="J17" s="744" t="n"/>
      <c r="K17" s="455" t="inlineStr">
        <is>
          <t>Bobin Gerilimi</t>
        </is>
      </c>
      <c r="N17" s="116" t="inlineStr">
        <is>
          <t>:</t>
        </is>
      </c>
      <c r="O17" s="461" t="inlineStr">
        <is>
          <t>24 Vdc</t>
        </is>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3"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5" t="n"/>
      <c r="I24" s="123" t="inlineStr">
        <is>
          <t>ü</t>
        </is>
      </c>
      <c r="J24" s="219" t="n"/>
      <c r="K24" s="450" t="inlineStr">
        <is>
          <t>Kesici Temizliği</t>
        </is>
      </c>
      <c r="O24" s="117" t="inlineStr">
        <is>
          <t>:</t>
        </is>
      </c>
      <c r="P24" s="433" t="inlineStr">
        <is>
          <t>YAPILDI</t>
        </is>
      </c>
      <c r="Q24" s="745"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5"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5" t="n"/>
      <c r="I28" s="123" t="inlineStr">
        <is>
          <t>ü</t>
        </is>
      </c>
      <c r="J28" s="123" t="n"/>
      <c r="K28" s="450" t="inlineStr">
        <is>
          <t>Bara Kontrolü</t>
        </is>
      </c>
      <c r="O28" s="150" t="inlineStr">
        <is>
          <t xml:space="preserve">: </t>
        </is>
      </c>
      <c r="P28" s="433" t="inlineStr">
        <is>
          <t>UYGUN</t>
        </is>
      </c>
      <c r="Q28" s="745"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5" t="n"/>
      <c r="I30" s="123" t="inlineStr">
        <is>
          <t>ü</t>
        </is>
      </c>
      <c r="J30" s="123" t="n"/>
      <c r="K30" s="450" t="inlineStr">
        <is>
          <t>Isıtıcı Kontrolü</t>
        </is>
      </c>
      <c r="O30" s="117" t="inlineStr">
        <is>
          <t>:</t>
        </is>
      </c>
      <c r="P30" s="433" t="inlineStr">
        <is>
          <t>UYGUN</t>
        </is>
      </c>
      <c r="Q30" s="745"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5" t="n"/>
      <c r="I32" s="123" t="inlineStr">
        <is>
          <t>ü</t>
        </is>
      </c>
      <c r="J32" s="123" t="n"/>
      <c r="K32" s="450" t="inlineStr">
        <is>
          <t>A.A Röle Kontrolü</t>
        </is>
      </c>
      <c r="O32" s="145" t="inlineStr">
        <is>
          <t>:</t>
        </is>
      </c>
      <c r="P32" s="433" t="inlineStr">
        <is>
          <t>UYGUN</t>
        </is>
      </c>
      <c r="Q32" s="745"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3"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3" t="inlineStr">
        <is>
          <t>KESİCİ İZOLASYON DİRENCİ (GΩ)</t>
        </is>
      </c>
      <c r="C46" s="129" t="n"/>
      <c r="D46" s="129" t="n"/>
      <c r="E46" s="129" t="n"/>
      <c r="F46" s="129" t="n"/>
      <c r="G46" s="129" t="n"/>
      <c r="H46" s="129" t="n"/>
      <c r="I46" s="129" t="n"/>
      <c r="J46" s="235" t="n"/>
      <c r="K46" s="743"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3"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78"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78"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78"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79" t="inlineStr">
        <is>
          <t>temizliği yapıldı.</t>
        </is>
      </c>
      <c r="C69" s="744" t="n"/>
      <c r="D69" s="744" t="n"/>
      <c r="E69" s="744" t="n"/>
      <c r="F69" s="744" t="n"/>
      <c r="G69" s="744" t="n"/>
      <c r="H69" s="744" t="n"/>
      <c r="I69" s="744" t="n"/>
      <c r="J69" s="744" t="n"/>
      <c r="K69" s="744" t="n"/>
      <c r="L69" s="744" t="n"/>
      <c r="M69" s="744" t="n"/>
      <c r="N69" s="744" t="n"/>
      <c r="O69" s="744" t="n"/>
      <c r="P69" s="744" t="n"/>
      <c r="Q69" s="744" t="n"/>
      <c r="R69" s="744" t="n"/>
      <c r="S69" s="745" t="n"/>
      <c r="T69" s="11" t="n"/>
    </row>
    <row r="70" ht="15.75" customHeight="1" s="702">
      <c r="A70" s="10" t="n"/>
      <c r="B70" s="780" t="n"/>
      <c r="C70" s="781" t="n"/>
      <c r="D70" s="781" t="n"/>
      <c r="E70" s="781" t="n"/>
      <c r="F70" s="781" t="n"/>
      <c r="G70" s="781" t="n"/>
      <c r="H70" s="781" t="n"/>
      <c r="I70" s="781" t="n"/>
      <c r="J70" s="781" t="n"/>
      <c r="K70" s="781" t="n"/>
      <c r="L70" s="781" t="n"/>
      <c r="M70" s="781" t="n"/>
      <c r="N70" s="781" t="n"/>
      <c r="O70" s="781" t="n"/>
      <c r="P70" s="781" t="n"/>
      <c r="Q70" s="781" t="n"/>
      <c r="R70" s="781" t="n"/>
      <c r="S70" s="782" t="n"/>
      <c r="T70" s="11" t="n"/>
    </row>
    <row r="71" ht="15.75" customHeight="1" s="702">
      <c r="A71" s="10" t="n"/>
      <c r="B71" s="780" t="n"/>
      <c r="C71" s="781" t="n"/>
      <c r="D71" s="781" t="n"/>
      <c r="E71" s="781" t="n"/>
      <c r="F71" s="781" t="n"/>
      <c r="G71" s="781" t="n"/>
      <c r="H71" s="781" t="n"/>
      <c r="I71" s="781" t="n"/>
      <c r="J71" s="781" t="n"/>
      <c r="K71" s="781" t="n"/>
      <c r="L71" s="781" t="n"/>
      <c r="M71" s="781" t="n"/>
      <c r="N71" s="781" t="n"/>
      <c r="O71" s="781" t="n"/>
      <c r="P71" s="781" t="n"/>
      <c r="Q71" s="781" t="n"/>
      <c r="R71" s="781" t="n"/>
      <c r="S71" s="782"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83"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2">
        <f>'ANA SAYFA'!F79</f>
        <v/>
      </c>
      <c r="J75" s="364" t="n"/>
      <c r="K75" s="294" t="n"/>
      <c r="L75" s="295" t="n"/>
      <c r="M75" s="293" t="n"/>
      <c r="N75" s="753" t="n"/>
      <c r="O75" s="753" t="n"/>
      <c r="P75" s="753" t="n"/>
      <c r="Q75" s="753" t="n"/>
      <c r="R75" s="753" t="n"/>
      <c r="S75" s="754" t="n"/>
      <c r="T75" s="11" t="n"/>
    </row>
    <row r="76" ht="13.5" customHeight="1" s="702">
      <c r="A76" s="10" t="n"/>
      <c r="B76" s="460" t="inlineStr">
        <is>
          <t>Unvan</t>
        </is>
      </c>
      <c r="E76" s="293" t="inlineStr">
        <is>
          <t>:</t>
        </is>
      </c>
      <c r="F76" s="784"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85"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5.42578125" customWidth="1" style="702" min="2" max="15"/>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3"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417" t="inlineStr">
        <is>
          <t>R min.</t>
        </is>
      </c>
      <c r="C16" s="129" t="n"/>
      <c r="D16" s="418" t="n">
        <v>50</v>
      </c>
      <c r="E16" s="129" t="n"/>
      <c r="F16" s="419" t="inlineStr">
        <is>
          <t>GΩ</t>
        </is>
      </c>
      <c r="G16" s="235" t="n"/>
      <c r="H16" s="562" t="inlineStr">
        <is>
          <t>Test Gerilimi</t>
        </is>
      </c>
      <c r="I16" s="129" t="n"/>
      <c r="J16" s="235" t="n"/>
      <c r="K16" s="562" t="inlineStr">
        <is>
          <t>Test Akımı</t>
        </is>
      </c>
      <c r="L16" s="129" t="n"/>
      <c r="M16" s="235" t="n"/>
      <c r="N16" s="562" t="inlineStr">
        <is>
          <t>Sonuç</t>
        </is>
      </c>
      <c r="O16" s="129" t="n"/>
      <c r="P16" s="129" t="n"/>
      <c r="Q16" s="235" t="n"/>
      <c r="R16" s="11" t="n"/>
    </row>
    <row r="17">
      <c r="A17" s="10" t="n"/>
      <c r="B17" s="768" t="inlineStr">
        <is>
          <t>L-1</t>
        </is>
      </c>
      <c r="C17" s="235" t="n"/>
      <c r="D17" s="603">
        <f>'ANA SAYFA KESİCİ'!G50</f>
        <v/>
      </c>
      <c r="E17" s="235" t="n"/>
      <c r="F17" s="769" t="inlineStr">
        <is>
          <t>GΩ</t>
        </is>
      </c>
      <c r="G17" s="235" t="n"/>
      <c r="H17" s="502" t="n">
        <v>10000</v>
      </c>
      <c r="I17" s="129" t="n"/>
      <c r="J17" s="27" t="inlineStr">
        <is>
          <t>VDC</t>
        </is>
      </c>
      <c r="K17" s="527">
        <f>H17/D17</f>
        <v/>
      </c>
      <c r="L17" s="129" t="n"/>
      <c r="M17" s="27" t="inlineStr">
        <is>
          <t>nA</t>
        </is>
      </c>
      <c r="N17" s="494">
        <f>IF(D17&gt;D16,1,0)</f>
        <v/>
      </c>
      <c r="O17" s="504">
        <f>IF(D17&gt;D16,"UYGUN","UYGUN DEĞİL")</f>
        <v/>
      </c>
      <c r="P17" s="129" t="n"/>
      <c r="Q17" s="235" t="n"/>
      <c r="R17" s="11" t="n"/>
    </row>
    <row r="18">
      <c r="A18" s="10" t="n"/>
      <c r="B18" s="768" t="inlineStr">
        <is>
          <t>L-2</t>
        </is>
      </c>
      <c r="C18" s="235" t="n"/>
      <c r="D18" s="603">
        <f>'ANA SAYFA KESİCİ'!G52</f>
        <v/>
      </c>
      <c r="E18" s="235" t="n"/>
      <c r="F18" s="768" t="inlineStr">
        <is>
          <t>GΩ</t>
        </is>
      </c>
      <c r="G18" s="235" t="n"/>
      <c r="H18" s="502" t="n">
        <v>10000</v>
      </c>
      <c r="I18" s="129" t="n"/>
      <c r="J18" s="27" t="inlineStr">
        <is>
          <t>VDC</t>
        </is>
      </c>
      <c r="K18" s="527">
        <f>H18/D18</f>
        <v/>
      </c>
      <c r="L18" s="129" t="n"/>
      <c r="M18" s="27" t="inlineStr">
        <is>
          <t>nA</t>
        </is>
      </c>
      <c r="N18" s="494">
        <f>IF(D18&gt;D16,1,0)</f>
        <v/>
      </c>
      <c r="O18" s="504">
        <f>IF(D18&gt;D16,"UYGUN","UYGUN DEĞİL")</f>
        <v/>
      </c>
      <c r="P18" s="129" t="n"/>
      <c r="Q18" s="235" t="n"/>
      <c r="R18" s="11" t="n"/>
    </row>
    <row r="19">
      <c r="A19" s="10" t="n"/>
      <c r="B19" s="768" t="inlineStr">
        <is>
          <t>L-3</t>
        </is>
      </c>
      <c r="C19" s="235" t="n"/>
      <c r="D19" s="603">
        <f>'ANA SAYFA KESİCİ'!G54</f>
        <v/>
      </c>
      <c r="E19" s="235" t="n"/>
      <c r="F19" s="768" t="inlineStr">
        <is>
          <t>GΩ</t>
        </is>
      </c>
      <c r="G19" s="235" t="n"/>
      <c r="H19" s="502" t="n">
        <v>10000</v>
      </c>
      <c r="I19" s="129" t="n"/>
      <c r="J19" s="27"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3"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58">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3"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4" t="n"/>
      <c r="I13" s="744" t="n"/>
      <c r="J13" s="450" t="inlineStr">
        <is>
          <t>Kesici Tipi</t>
        </is>
      </c>
      <c r="M13" s="121" t="inlineStr">
        <is>
          <t xml:space="preserve">: </t>
        </is>
      </c>
      <c r="N13" s="715">
        <f>'ANA SAYFA KESİCİ'!O11</f>
        <v/>
      </c>
      <c r="O13" s="744" t="n"/>
      <c r="P13" s="744" t="n"/>
      <c r="Q13" s="745"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4" t="n"/>
      <c r="I15" s="744" t="n"/>
      <c r="J15" s="455" t="inlineStr">
        <is>
          <t>İmal Yılı</t>
        </is>
      </c>
      <c r="M15" s="116" t="inlineStr">
        <is>
          <t>:</t>
        </is>
      </c>
      <c r="N15" s="458">
        <f>'ANA SAYFA KESİCİ'!O13</f>
        <v/>
      </c>
      <c r="O15" s="744" t="n"/>
      <c r="P15" s="744" t="n"/>
      <c r="Q15" s="745"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4" t="n"/>
      <c r="I17" s="744" t="n"/>
      <c r="J17" s="455" t="inlineStr">
        <is>
          <t>Seri Numarası</t>
        </is>
      </c>
      <c r="M17" s="116" t="inlineStr">
        <is>
          <t>:</t>
        </is>
      </c>
      <c r="N17" s="461">
        <f>'ANA SAYFA KESİCİ'!O15</f>
        <v/>
      </c>
      <c r="O17" s="744" t="n"/>
      <c r="P17" s="744" t="n"/>
      <c r="Q17" s="745"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4" t="n"/>
      <c r="I19" s="744" t="n"/>
      <c r="J19" s="455" t="inlineStr">
        <is>
          <t>Bobin Gerilimi</t>
        </is>
      </c>
      <c r="M19" s="116" t="inlineStr">
        <is>
          <t>:</t>
        </is>
      </c>
      <c r="N19" s="461">
        <f>'ANA SAYFA KESİCİ'!O17</f>
        <v/>
      </c>
      <c r="O19" s="744" t="n"/>
      <c r="P19" s="744" t="n"/>
      <c r="Q19" s="745"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3"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3" t="inlineStr">
        <is>
          <t>Açma</t>
        </is>
      </c>
      <c r="C23" s="129" t="n"/>
      <c r="D23" s="129" t="n"/>
      <c r="E23" s="129" t="n"/>
      <c r="F23" s="129" t="n"/>
      <c r="G23" s="129" t="n"/>
      <c r="H23" s="129" t="n"/>
      <c r="I23" s="235" t="n"/>
      <c r="J23" s="743"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86">
        <f>'ANA SAYFA KESİCİ'!F65</f>
        <v/>
      </c>
      <c r="I27" s="498" t="inlineStr">
        <is>
          <t>A</t>
        </is>
      </c>
      <c r="J27" s="525" t="inlineStr">
        <is>
          <t>C-1</t>
        </is>
      </c>
      <c r="K27" s="604">
        <f>'ANA SAYFA KESİCİ'!J65</f>
        <v/>
      </c>
      <c r="L27" s="129" t="n"/>
      <c r="M27" s="27" t="inlineStr">
        <is>
          <t>ms</t>
        </is>
      </c>
      <c r="N27" s="708" t="inlineStr">
        <is>
          <t>Bobin    Akımı</t>
        </is>
      </c>
      <c r="O27" s="70" t="n"/>
      <c r="P27" s="786">
        <f>'ANA SAYFA KESİCİ'!M65</f>
        <v/>
      </c>
      <c r="Q27" s="498" t="inlineStr">
        <is>
          <t>A</t>
        </is>
      </c>
      <c r="R27" s="11" t="n"/>
    </row>
    <row r="28">
      <c r="A28" s="35" t="n"/>
      <c r="B28" s="787" t="inlineStr">
        <is>
          <t>Faz Uyuşmazlığı</t>
        </is>
      </c>
      <c r="C28" s="129" t="n"/>
      <c r="D28" s="129" t="n"/>
      <c r="E28" s="235" t="n"/>
      <c r="F28" s="62" t="n"/>
      <c r="G28" s="139" t="n"/>
      <c r="H28" s="139" t="n"/>
      <c r="I28" s="365" t="n"/>
      <c r="J28" s="787"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88">
        <f>IF(B29&gt;5,W17,W15)</f>
        <v/>
      </c>
      <c r="G29" s="129" t="n"/>
      <c r="H29" s="129" t="n"/>
      <c r="I29" s="235" t="n"/>
      <c r="J29" s="703">
        <f>'ANA SAYFA KESİCİ'!M61</f>
        <v/>
      </c>
      <c r="K29" s="129" t="n"/>
      <c r="L29" s="129" t="n"/>
      <c r="M29" s="263" t="inlineStr">
        <is>
          <t>ms</t>
        </is>
      </c>
      <c r="N29" s="788">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89" t="inlineStr">
        <is>
          <t>TEDAŞ-MLZ/95-008.A İlgili Teknik Şartnamesi Gereği</t>
        </is>
      </c>
      <c r="Q39" s="364" t="n"/>
      <c r="R39" s="11" t="n"/>
      <c r="V39" s="247" t="n"/>
      <c r="W39" s="537" t="inlineStr">
        <is>
          <t>Kesicinin Açma süreleri uygun değildir.</t>
        </is>
      </c>
    </row>
    <row r="40" ht="15" customHeight="1" s="702">
      <c r="A40" s="35" t="n"/>
      <c r="B40" s="790" t="inlineStr">
        <is>
          <t>Açma süresi: 80 milisaniyeden az</t>
        </is>
      </c>
      <c r="Q40" s="364" t="n"/>
      <c r="R40" s="11" t="n"/>
      <c r="V40" s="247" t="n"/>
      <c r="W40" s="537" t="inlineStr">
        <is>
          <t>Kesicinin Kapama süreleri ve bobin akım değerleri uygundur.</t>
        </is>
      </c>
    </row>
    <row r="41" ht="15" customHeight="1" s="702">
      <c r="A41" s="35" t="n"/>
      <c r="B41" s="790" t="inlineStr">
        <is>
          <t>Kapama süresi: 120 milisaniyeden az</t>
        </is>
      </c>
      <c r="Q41" s="364" t="n"/>
      <c r="R41" s="11" t="n"/>
      <c r="V41" s="247" t="n"/>
      <c r="W41" s="537" t="inlineStr">
        <is>
          <t>Kesicinin Kapama süreleri uygun değildir.</t>
        </is>
      </c>
    </row>
    <row r="42" ht="15" customHeight="1" s="702">
      <c r="A42" s="35" t="n"/>
      <c r="B42" s="790" t="inlineStr">
        <is>
          <t>Açma süresi faz uyuşmazlığı: 5 milisaniyeden az</t>
        </is>
      </c>
      <c r="Q42" s="364" t="n"/>
      <c r="R42" s="11" t="n"/>
      <c r="W42" s="537" t="inlineStr">
        <is>
          <t>Kesicinin Açma-Kapama Süresi Faz Uyuşmazlığı uygundur.</t>
        </is>
      </c>
    </row>
    <row r="43" ht="15" customHeight="1" s="702">
      <c r="A43" s="35" t="n"/>
      <c r="B43" s="790"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791">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3"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58">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inlineStr">
        <is>
          <t>STS 5000</t>
        </is>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inlineStr">
        <is>
          <t>SN-19B20</t>
        </is>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20000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3"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8" t="inlineStr">
        <is>
          <t>L4</t>
        </is>
      </c>
      <c r="C23" s="235" t="n"/>
      <c r="D23" s="768" t="n">
        <v>7100</v>
      </c>
      <c r="E23" s="235" t="n"/>
      <c r="F23" s="769"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8" t="inlineStr">
        <is>
          <t>L5</t>
        </is>
      </c>
      <c r="C24" s="235" t="n"/>
      <c r="D24" s="768" t="n">
        <v>20000</v>
      </c>
      <c r="E24" s="235" t="n"/>
      <c r="F24" s="768"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8" t="inlineStr">
        <is>
          <t>L6</t>
        </is>
      </c>
      <c r="C25" s="235" t="n"/>
      <c r="D25" s="768" t="n">
        <v>20000</v>
      </c>
      <c r="E25" s="235" t="n"/>
      <c r="F25" s="768"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3"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8" t="inlineStr">
        <is>
          <t>L7</t>
        </is>
      </c>
      <c r="C30" s="235" t="n"/>
      <c r="D30" s="768" t="n">
        <v>22.9</v>
      </c>
      <c r="E30" s="235" t="n"/>
      <c r="F30" s="769"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8" t="inlineStr">
        <is>
          <t>L8</t>
        </is>
      </c>
      <c r="C31" s="235" t="n"/>
      <c r="D31" s="768" t="n">
        <v>132</v>
      </c>
      <c r="E31" s="235" t="n"/>
      <c r="F31" s="768"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8" t="inlineStr">
        <is>
          <t>L9</t>
        </is>
      </c>
      <c r="C32" s="235" t="n"/>
      <c r="D32" s="768" t="n">
        <v>60.8</v>
      </c>
      <c r="E32" s="235" t="n"/>
      <c r="F32" s="768"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1500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10000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10000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792" t="inlineStr">
        <is>
          <t>FİRMA YETKİLİLERİNİN DİKKATİNE</t>
        </is>
      </c>
      <c r="Q8" s="364" t="n"/>
      <c r="R8" s="11" t="n"/>
    </row>
    <row r="9" ht="6.75" customHeight="1" s="702">
      <c r="A9" s="10" t="n"/>
      <c r="B9" s="85" t="n"/>
      <c r="Q9" s="364" t="n"/>
      <c r="R9" s="11" t="n"/>
    </row>
    <row r="10" ht="18.75" customHeight="1" s="702">
      <c r="A10" s="10" t="n"/>
      <c r="B10" s="793"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3"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58">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2026-08-12T08:44:01Z</dcterms:modified>
</cp:coreProperties>
</file>