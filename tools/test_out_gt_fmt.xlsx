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08" yWindow="-108" windowWidth="23256" windowHeight="12456" tabRatio="851" firstSheet="0" activeTab="1"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ANA SAYFA KESİCİ" sheetId="8" state="visible" r:id="rId8"/>
    <sheet xmlns:r="http://schemas.openxmlformats.org/officeDocument/2006/relationships" name="KESİCİ İZOLASYON" sheetId="9" state="visible" r:id="rId9"/>
    <sheet xmlns:r="http://schemas.openxmlformats.org/officeDocument/2006/relationships" name="KESİCİ KONTAK" sheetId="10" state="visible" r:id="rId10"/>
    <sheet xmlns:r="http://schemas.openxmlformats.org/officeDocument/2006/relationships" name="AÇMA-KAPAMA" sheetId="11" state="visible" r:id="rId11"/>
    <sheet xmlns:r="http://schemas.openxmlformats.org/officeDocument/2006/relationships" name="YAĞ RAPORU" sheetId="12" state="visible" r:id="rId12"/>
    <sheet xmlns:r="http://schemas.openxmlformats.org/officeDocument/2006/relationships" name="HERMETİK YAĞ DİLEKÇESİ" sheetId="13" state="visible" r:id="rId13"/>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'ANA SAYFA KESİCİ'!$A$1:$T$79</definedName>
    <definedName name="_xlnm.Print_Area" localSheetId="8">'KESİCİ İZOLASYON'!$A$1:$R$54</definedName>
    <definedName name="_xlnm.Print_Area" localSheetId="9">'KESİCİ KONTAK'!$A$1:$R$54</definedName>
    <definedName name="_xlnm.Print_Area" localSheetId="10">'AÇMA-KAPAMA'!$A$1:$R$52</definedName>
    <definedName name="_xlnm.Print_Area" localSheetId="11">'YAĞ RAPORU'!$A$1:$R$56</definedName>
    <definedName name="_xlnm.Print_Area" localSheetId="12">'HERMETİK YAĞ DİLEKÇESİ'!$A$1:$R$56</definedName>
  </definedNames>
  <calcPr calcId="191029" fullCalcOnLoad="1"/>
</workbook>
</file>

<file path=xl/styles.xml><?xml version="1.0" encoding="utf-8"?>
<styleSheet xmlns="http://schemas.openxmlformats.org/spreadsheetml/2006/main">
  <numFmts count="10">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 numFmtId="173" formatCode="dd.mm.yyyy"/>
  </numFmts>
  <fonts count="54">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charset val="162"/>
      <family val="2"/>
      <b val="1"/>
      <sz val="11"/>
      <scheme val="minor"/>
    </font>
    <font>
      <name val="Calibri"/>
      <family val="2"/>
      <color rgb="FFFFCC00"/>
      <sz val="11"/>
      <u val="single"/>
      <scheme val="minor"/>
    </font>
    <font>
      <name val="Calibri"/>
      <charset val="162"/>
      <family val="2"/>
      <color rgb="FFFF0000"/>
      <sz val="11"/>
      <scheme val="minor"/>
    </font>
    <font>
      <name val="Calibri"/>
      <family val="2"/>
      <color rgb="FFFF0000"/>
      <sz val="11"/>
      <scheme val="minor"/>
    </font>
    <font>
      <name val="Calibri"/>
      <family val="2"/>
      <color rgb="FFFF0000"/>
      <sz val="10"/>
      <scheme val="minor"/>
    </font>
    <font>
      <name val="Wingdings"/>
      <charset val="2"/>
      <color rgb="FFFF0000"/>
      <sz val="10"/>
    </font>
    <font>
      <name val="Calibri"/>
      <charset val="162"/>
      <family val="2"/>
      <color rgb="FFFF0000"/>
      <sz val="12"/>
      <scheme val="minor"/>
    </font>
    <font>
      <name val="Calibri"/>
      <charset val="162"/>
      <family val="2"/>
      <color rgb="FFFF0000"/>
      <sz val="10"/>
      <scheme val="minor"/>
    </font>
    <font>
      <name val="Calibri"/>
      <charset val="162"/>
      <family val="2"/>
      <b val="1"/>
      <color rgb="FFFF0000"/>
      <sz val="11"/>
      <scheme val="minor"/>
    </font>
  </fonts>
  <fills count="7">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right style="medium">
        <color indexed="64"/>
      </right>
      <top style="thin">
        <color indexed="64"/>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28" fillId="2" borderId="0"/>
    <xf numFmtId="0" fontId="36" fillId="4" borderId="30"/>
    <xf numFmtId="0" fontId="44" fillId="0" borderId="0"/>
  </cellStyleXfs>
  <cellXfs count="881">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5" fillId="0" borderId="11" applyAlignment="1" pivotButton="0" quotePrefix="0" xfId="0">
      <alignment vertical="center"/>
    </xf>
    <xf numFmtId="0" fontId="15" fillId="0" borderId="0" applyAlignment="1" pivotButton="0" quotePrefix="0" xfId="0">
      <alignment vertical="center"/>
    </xf>
    <xf numFmtId="0" fontId="0" fillId="0" borderId="10" applyAlignment="1" pivotButton="0" quotePrefix="0" xfId="0">
      <alignment vertical="center"/>
    </xf>
    <xf numFmtId="0" fontId="19" fillId="0" borderId="0" applyAlignment="1" pivotButton="0" quotePrefix="0" xfId="0">
      <alignment vertical="center"/>
    </xf>
    <xf numFmtId="0" fontId="14"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165" fontId="0" fillId="0" borderId="0" applyAlignment="1" pivotButton="0" quotePrefix="0" xfId="0">
      <alignment vertical="center"/>
    </xf>
    <xf numFmtId="0" fontId="21"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20" fillId="0" borderId="0" applyAlignment="1" pivotButton="0" quotePrefix="0" xfId="0">
      <alignment vertical="center"/>
    </xf>
    <xf numFmtId="0" fontId="20" fillId="0" borderId="5" applyAlignment="1" pivotButton="0" quotePrefix="0" xfId="0">
      <alignment vertical="center"/>
    </xf>
    <xf numFmtId="0" fontId="20" fillId="0" borderId="6" applyAlignment="1" pivotButton="0" quotePrefix="0" xfId="0">
      <alignment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1" applyAlignment="1" pivotButton="0" quotePrefix="0" xfId="0">
      <alignment vertical="center"/>
    </xf>
    <xf numFmtId="0" fontId="15" fillId="0" borderId="11" applyAlignment="1" pivotButton="0" quotePrefix="0" xfId="0">
      <alignment horizontal="center" vertical="center"/>
    </xf>
    <xf numFmtId="2" fontId="0" fillId="0" borderId="0" applyAlignment="1" pivotButton="0" quotePrefix="0" xfId="0">
      <alignment vertical="center"/>
    </xf>
    <xf numFmtId="0" fontId="15" fillId="0" borderId="11" pivotButton="0" quotePrefix="0" xfId="0"/>
    <xf numFmtId="0" fontId="0" fillId="0" borderId="2" pivotButton="0" quotePrefix="0" xfId="0"/>
    <xf numFmtId="0" fontId="0" fillId="0" borderId="3" pivotButton="0" quotePrefix="0" xfId="0"/>
    <xf numFmtId="0" fontId="17" fillId="0" borderId="3" applyAlignment="1" pivotButton="0" quotePrefix="0" xfId="0">
      <alignment vertical="center"/>
    </xf>
    <xf numFmtId="0" fontId="0" fillId="0" borderId="5" pivotButton="0" quotePrefix="0" xfId="0"/>
    <xf numFmtId="0" fontId="0" fillId="0" borderId="6" pivotButton="0" quotePrefix="0" xfId="0"/>
    <xf numFmtId="0" fontId="17" fillId="0" borderId="6" applyAlignment="1" pivotButton="0" quotePrefix="0" xfId="0">
      <alignment vertical="center"/>
    </xf>
    <xf numFmtId="0" fontId="26"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5"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3" fillId="0" borderId="9" applyAlignment="1" pivotButton="0" quotePrefix="0" xfId="0">
      <alignment vertical="center"/>
    </xf>
    <xf numFmtId="2" fontId="26" fillId="0" borderId="8" applyAlignment="1" pivotButton="0" quotePrefix="0" xfId="0">
      <alignment vertical="center"/>
    </xf>
    <xf numFmtId="0" fontId="18" fillId="0" borderId="11" applyAlignment="1" pivotButton="0" quotePrefix="0" xfId="0">
      <alignment vertical="center"/>
    </xf>
    <xf numFmtId="0" fontId="18" fillId="0" borderId="0" applyAlignment="1" pivotButton="0" quotePrefix="0" xfId="0">
      <alignment vertical="center"/>
    </xf>
    <xf numFmtId="0" fontId="18" fillId="0" borderId="12" applyAlignment="1" pivotButton="0" quotePrefix="0" xfId="0">
      <alignment vertical="center"/>
    </xf>
    <xf numFmtId="0" fontId="18"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7" fillId="0" borderId="4" applyAlignment="1" pivotButton="0" quotePrefix="0" xfId="0">
      <alignment vertical="center"/>
    </xf>
    <xf numFmtId="0" fontId="0" fillId="0" borderId="11" pivotButton="0" quotePrefix="0" xfId="0"/>
    <xf numFmtId="0" fontId="0" fillId="0" borderId="0" pivotButton="0" quotePrefix="0" xfId="0"/>
    <xf numFmtId="0" fontId="17" fillId="0" borderId="12" applyAlignment="1" pivotButton="0" quotePrefix="0" xfId="0">
      <alignment vertical="center"/>
    </xf>
    <xf numFmtId="0" fontId="17" fillId="0" borderId="5" applyAlignment="1" pivotButton="0" quotePrefix="0" xfId="0">
      <alignment horizontal="center" vertical="center" wrapText="1"/>
    </xf>
    <xf numFmtId="0" fontId="17" fillId="0" borderId="6" applyAlignment="1" pivotButton="0" quotePrefix="0" xfId="0">
      <alignment horizontal="center" vertical="center" wrapText="1"/>
    </xf>
    <xf numFmtId="0" fontId="17" fillId="0" borderId="7" applyAlignment="1" pivotButton="0" quotePrefix="0" xfId="0">
      <alignmen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0" fillId="0" borderId="22" pivotButton="0" quotePrefix="0" xfId="0"/>
    <xf numFmtId="0" fontId="31" fillId="0" borderId="11" applyAlignment="1" pivotButton="0" quotePrefix="0" xfId="0">
      <alignment vertical="center"/>
    </xf>
    <xf numFmtId="0" fontId="31" fillId="0" borderId="5" applyAlignment="1" pivotButton="0" quotePrefix="0" xfId="0">
      <alignment horizontal="left" vertical="center"/>
    </xf>
    <xf numFmtId="0" fontId="31" fillId="0" borderId="6" applyAlignment="1" pivotButton="0" quotePrefix="0" xfId="0">
      <alignment horizontal="left" vertical="center"/>
    </xf>
    <xf numFmtId="0" fontId="31" fillId="0" borderId="6" applyAlignment="1" pivotButton="0" quotePrefix="0" xfId="0">
      <alignment vertical="center"/>
    </xf>
    <xf numFmtId="0" fontId="31" fillId="0" borderId="7" applyAlignment="1" pivotButton="0" quotePrefix="0" xfId="0">
      <alignment vertical="center"/>
    </xf>
    <xf numFmtId="0" fontId="31" fillId="0" borderId="12" applyAlignment="1" pivotButton="0" quotePrefix="0" xfId="0">
      <alignment vertical="center"/>
    </xf>
    <xf numFmtId="0" fontId="0" fillId="0" borderId="7"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34" fillId="0" borderId="6" applyAlignment="1" pivotButton="0" quotePrefix="0" xfId="0">
      <alignment horizontal="center" vertical="center"/>
    </xf>
    <xf numFmtId="0" fontId="19" fillId="0" borderId="9" applyAlignment="1" pivotButton="0" quotePrefix="0" xfId="0">
      <alignment vertical="center"/>
    </xf>
    <xf numFmtId="0" fontId="30"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2" fillId="0" borderId="11" applyAlignment="1" pivotButton="0" quotePrefix="0" xfId="0">
      <alignment vertical="center"/>
    </xf>
    <xf numFmtId="0" fontId="12" fillId="0" borderId="0" applyAlignment="1" pivotButton="0" quotePrefix="0" xfId="0">
      <alignment vertical="center"/>
    </xf>
    <xf numFmtId="0" fontId="12" fillId="0" borderId="11" applyAlignment="1" pivotButton="0" quotePrefix="0" xfId="0">
      <alignment horizontal="center" vertical="center"/>
    </xf>
    <xf numFmtId="0" fontId="12" fillId="0" borderId="5" applyAlignment="1" pivotButton="0" quotePrefix="0" xfId="0">
      <alignment horizontal="center" vertical="center"/>
    </xf>
    <xf numFmtId="0" fontId="12" fillId="0" borderId="6" applyAlignment="1" pivotButton="0" quotePrefix="0" xfId="0">
      <alignment horizontal="center" vertical="center"/>
    </xf>
    <xf numFmtId="0" fontId="15" fillId="0" borderId="0" applyAlignment="1" pivotButton="0" quotePrefix="0" xfId="0">
      <alignment horizontal="center" vertical="center"/>
    </xf>
    <xf numFmtId="0" fontId="0" fillId="0" borderId="24" applyAlignment="1" pivotButton="0" quotePrefix="0" xfId="0">
      <alignment vertical="center"/>
    </xf>
    <xf numFmtId="0" fontId="31"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30" fillId="0" borderId="24" applyAlignment="1" pivotButton="0" quotePrefix="0" xfId="0">
      <alignment vertical="center"/>
    </xf>
    <xf numFmtId="0" fontId="30" fillId="0" borderId="24" applyAlignment="1" pivotButton="0" quotePrefix="0" xfId="0">
      <alignment horizontal="center" vertical="center"/>
    </xf>
    <xf numFmtId="0" fontId="35" fillId="0" borderId="1" applyAlignment="1" pivotButton="0" quotePrefix="0" xfId="0">
      <alignment horizontal="center" vertical="center"/>
    </xf>
    <xf numFmtId="0" fontId="31" fillId="0" borderId="0" applyAlignment="1" pivotButton="0" quotePrefix="0" xfId="0">
      <alignment horizontal="center" vertical="center"/>
    </xf>
    <xf numFmtId="0" fontId="29" fillId="0" borderId="0" applyAlignment="1" pivotButton="0" quotePrefix="0" xfId="0">
      <alignment horizontal="left" vertical="center"/>
    </xf>
    <xf numFmtId="0" fontId="12" fillId="0" borderId="0" applyAlignment="1" pivotButton="0" quotePrefix="0" xfId="0">
      <alignment horizontal="left" vertical="center"/>
    </xf>
    <xf numFmtId="2" fontId="12" fillId="0" borderId="0" applyAlignment="1" pivotButton="0" quotePrefix="0" xfId="0">
      <alignment horizontal="left" vertical="center"/>
    </xf>
    <xf numFmtId="49" fontId="0" fillId="0" borderId="0" pivotButton="0" quotePrefix="0" xfId="0"/>
    <xf numFmtId="0" fontId="0" fillId="0" borderId="9" pivotButton="0" quotePrefix="0" xfId="0"/>
    <xf numFmtId="0" fontId="0" fillId="0" borderId="0" pivotButton="0" quotePrefix="0" xfId="0"/>
    <xf numFmtId="0" fontId="17" fillId="0" borderId="0" applyAlignment="1" pivotButton="0" quotePrefix="0" xfId="0">
      <alignment vertical="top" wrapText="1"/>
    </xf>
    <xf numFmtId="0" fontId="17"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9" fillId="0" borderId="0" applyAlignment="1" pivotButton="0" quotePrefix="0" xfId="0">
      <alignment vertical="center"/>
    </xf>
    <xf numFmtId="2" fontId="29" fillId="0" borderId="12" applyAlignment="1" pivotButton="0" quotePrefix="0" xfId="0">
      <alignment vertical="center"/>
    </xf>
    <xf numFmtId="2" fontId="29" fillId="0" borderId="23" applyAlignment="1" pivotButton="0" quotePrefix="0" xfId="0">
      <alignment vertical="center"/>
    </xf>
    <xf numFmtId="0" fontId="30" fillId="0" borderId="24" pivotButton="0" quotePrefix="0" xfId="0"/>
    <xf numFmtId="0" fontId="31" fillId="0" borderId="24"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1"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7"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1"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7" fillId="0" borderId="5" applyAlignment="1" pivotButton="0" quotePrefix="0" xfId="0">
      <alignment vertical="center"/>
    </xf>
    <xf numFmtId="0" fontId="17"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18" fillId="0" borderId="9" applyAlignment="1" pivotButton="0" quotePrefix="0" xfId="0">
      <alignment vertical="center"/>
    </xf>
    <xf numFmtId="0" fontId="0" fillId="0" borderId="4"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center"/>
    </xf>
    <xf numFmtId="0" fontId="0" fillId="0" borderId="12" applyAlignment="1" pivotButton="0" quotePrefix="0" xfId="0">
      <alignment horizontal="center"/>
    </xf>
    <xf numFmtId="164" fontId="0" fillId="0" borderId="0" applyAlignment="1" pivotButton="0" quotePrefix="0" xfId="0">
      <alignment horizontal="center" vertical="center"/>
    </xf>
    <xf numFmtId="0" fontId="0" fillId="0" borderId="11" applyAlignment="1" pivotButton="0" quotePrefix="0" xfId="0">
      <alignment horizontal="center" vertical="center"/>
    </xf>
    <xf numFmtId="2" fontId="0" fillId="0" borderId="0" applyAlignment="1" pivotButton="0" quotePrefix="0" xfId="0">
      <alignment horizontal="left" vertical="center"/>
    </xf>
    <xf numFmtId="2" fontId="0" fillId="0" borderId="0" applyAlignment="1" pivotButton="0" quotePrefix="0" xfId="0">
      <alignment horizontal="center" vertical="center"/>
    </xf>
    <xf numFmtId="0" fontId="0" fillId="0" borderId="0" pivotButton="0" quotePrefix="0" xfId="0"/>
    <xf numFmtId="0" fontId="20" fillId="0" borderId="10" applyAlignment="1" pivotButton="0" quotePrefix="0" xfId="0">
      <alignment horizontal="left" vertical="center"/>
    </xf>
    <xf numFmtId="166" fontId="0" fillId="0" borderId="0" applyAlignment="1" pivotButton="0" quotePrefix="0" xfId="0">
      <alignment horizontal="center" vertical="center"/>
    </xf>
    <xf numFmtId="0" fontId="0" fillId="0" borderId="0" pivotButton="0" quotePrefix="0" xfId="0"/>
    <xf numFmtId="166" fontId="0" fillId="0" borderId="0" pivotButton="0" quotePrefix="0" xfId="0"/>
    <xf numFmtId="164" fontId="15" fillId="0" borderId="0" applyAlignment="1" pivotButton="0" quotePrefix="0" xfId="0">
      <alignment horizontal="center" vertical="center"/>
    </xf>
    <xf numFmtId="165" fontId="15" fillId="0" borderId="0" applyAlignment="1" pivotButton="0" quotePrefix="0" xfId="0">
      <alignment horizontal="center" vertical="center"/>
    </xf>
    <xf numFmtId="165" fontId="15" fillId="0" borderId="12" applyAlignment="1" pivotButton="0" quotePrefix="0" xfId="0">
      <alignment horizontal="center" vertical="center"/>
    </xf>
    <xf numFmtId="164" fontId="11" fillId="0" borderId="0" applyAlignment="1" pivotButton="0" quotePrefix="0" xfId="0">
      <alignment horizontal="center" vertical="center"/>
    </xf>
    <xf numFmtId="164" fontId="11" fillId="0" borderId="12" applyAlignment="1" pivotButton="0" quotePrefix="0" xfId="0">
      <alignment horizontal="center" vertical="center"/>
    </xf>
    <xf numFmtId="0" fontId="11" fillId="0" borderId="11" applyAlignment="1" pivotButton="0" quotePrefix="0" xfId="0">
      <alignment horizontal="left" vertical="center"/>
    </xf>
    <xf numFmtId="0" fontId="11" fillId="0" borderId="0" applyAlignment="1" pivotButton="0" quotePrefix="0" xfId="0">
      <alignment horizontal="left" vertical="center"/>
    </xf>
    <xf numFmtId="0" fontId="0" fillId="5" borderId="0" pivotButton="0" quotePrefix="0" xfId="0"/>
    <xf numFmtId="164" fontId="0" fillId="0" borderId="12" applyAlignment="1" pivotButton="0" quotePrefix="0" xfId="0">
      <alignment horizontal="center" vertical="center"/>
    </xf>
    <xf numFmtId="0" fontId="0" fillId="0" borderId="27" applyAlignment="1" pivotButton="0" quotePrefix="0" xfId="0">
      <alignment horizontal="center"/>
    </xf>
    <xf numFmtId="0" fontId="19"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0" fontId="18"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8" fillId="0" borderId="6" applyAlignment="1" pivotButton="0" quotePrefix="0" xfId="0">
      <alignment vertical="center"/>
    </xf>
    <xf numFmtId="0" fontId="0" fillId="0" borderId="0" pivotButton="0" quotePrefix="0" xfId="0"/>
    <xf numFmtId="0" fontId="17" fillId="0" borderId="6" applyAlignment="1" pivotButton="0" quotePrefix="0" xfId="0">
      <alignment horizontal="left" vertical="center"/>
    </xf>
    <xf numFmtId="0" fontId="17"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30" fillId="0" borderId="3"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7" fillId="0" borderId="6" applyAlignment="1" pivotButton="0" quotePrefix="0" xfId="0">
      <alignment horizontal="left" vertical="center"/>
    </xf>
    <xf numFmtId="0" fontId="17" fillId="0" borderId="7" applyAlignment="1" pivotButton="0" quotePrefix="0" xfId="0">
      <alignment horizontal="left" vertical="center"/>
    </xf>
    <xf numFmtId="0" fontId="0" fillId="0" borderId="1" applyAlignment="1" pivotButton="0" quotePrefix="0" xfId="0">
      <alignment horizontal="center" vertical="center"/>
    </xf>
    <xf numFmtId="0" fontId="18" fillId="0" borderId="3"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1" fillId="0" borderId="1" applyAlignment="1" pivotButton="0" quotePrefix="0" xfId="0">
      <alignment horizontal="center" vertical="center"/>
    </xf>
    <xf numFmtId="0" fontId="31" fillId="0" borderId="8" applyAlignment="1" pivotButton="0" quotePrefix="0" xfId="0">
      <alignment vertical="center"/>
    </xf>
    <xf numFmtId="0" fontId="31" fillId="0" borderId="9" applyAlignment="1" pivotButton="0" quotePrefix="0" xfId="0">
      <alignment vertical="center"/>
    </xf>
    <xf numFmtId="0" fontId="31" fillId="0" borderId="10" applyAlignment="1" pivotButton="0" quotePrefix="0" xfId="0">
      <alignment vertical="center"/>
    </xf>
    <xf numFmtId="0" fontId="9" fillId="0" borderId="1" applyAlignment="1" pivotButton="0" quotePrefix="0" xfId="0">
      <alignment horizontal="center" vertical="center"/>
    </xf>
    <xf numFmtId="0" fontId="9" fillId="0" borderId="10" applyAlignment="1" pivotButton="0" quotePrefix="0" xfId="0">
      <alignment vertical="center"/>
    </xf>
    <xf numFmtId="0" fontId="9" fillId="0"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xf>
    <xf numFmtId="0" fontId="9" fillId="0" borderId="0" applyAlignment="1" pivotButton="0" quotePrefix="0" xfId="0">
      <alignment vertical="center"/>
    </xf>
    <xf numFmtId="0" fontId="9" fillId="0" borderId="0" pivotButton="0" quotePrefix="0" xfId="0"/>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164" fontId="0" fillId="0" borderId="9" applyAlignment="1" pivotButton="0" quotePrefix="0" xfId="0">
      <alignment vertical="center"/>
    </xf>
    <xf numFmtId="0" fontId="20" fillId="0" borderId="2" applyAlignment="1" pivotButton="0" quotePrefix="0" xfId="0">
      <alignment vertical="center"/>
    </xf>
    <xf numFmtId="0" fontId="20" fillId="0" borderId="3" applyAlignment="1" pivotButton="0" quotePrefix="0" xfId="0">
      <alignment vertical="center"/>
    </xf>
    <xf numFmtId="0" fontId="0" fillId="0" borderId="38"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9" fillId="0" borderId="0" applyAlignment="1" pivotButton="0" quotePrefix="0" xfId="0">
      <alignment vertical="center"/>
    </xf>
    <xf numFmtId="2" fontId="0" fillId="0" borderId="0" pivotButton="0" quotePrefix="0" xfId="0"/>
    <xf numFmtId="0" fontId="0" fillId="0" borderId="4" pivotButton="0" quotePrefix="0" xfId="0"/>
    <xf numFmtId="0" fontId="15" fillId="0" borderId="8" applyAlignment="1" pivotButton="0" quotePrefix="0" xfId="0">
      <alignment vertical="center"/>
    </xf>
    <xf numFmtId="0" fontId="15" fillId="0" borderId="10" applyAlignment="1" pivotButton="0" quotePrefix="0" xfId="0">
      <alignment vertical="center"/>
    </xf>
    <xf numFmtId="0" fontId="19" fillId="0" borderId="8" applyAlignment="1" pivotButton="0" quotePrefix="0" xfId="0">
      <alignment vertical="center"/>
    </xf>
    <xf numFmtId="0" fontId="26" fillId="0" borderId="0" applyAlignment="1" pivotButton="0" quotePrefix="0" xfId="0">
      <alignment vertical="center"/>
    </xf>
    <xf numFmtId="0" fontId="20" fillId="0" borderId="11" applyAlignment="1" pivotButton="0" quotePrefix="0" xfId="0">
      <alignment vertical="center"/>
    </xf>
    <xf numFmtId="0" fontId="18"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5" fillId="0" borderId="10" applyAlignment="1" pivotButton="0" quotePrefix="0" xfId="0">
      <alignment vertical="center"/>
    </xf>
    <xf numFmtId="0" fontId="15"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17" fillId="0" borderId="3" applyAlignment="1" pivotButton="0" quotePrefix="0" xfId="0">
      <alignment horizontal="left" vertical="center"/>
    </xf>
    <xf numFmtId="0" fontId="0" fillId="0" borderId="1" applyAlignment="1" pivotButton="0" quotePrefix="0" xfId="0">
      <alignment horizontal="center" vertical="center"/>
    </xf>
    <xf numFmtId="0" fontId="20" fillId="0" borderId="8" applyAlignment="1" pivotButton="0" quotePrefix="0" xfId="0">
      <alignment vertical="center"/>
    </xf>
    <xf numFmtId="0" fontId="20" fillId="0" borderId="9" applyAlignment="1" pivotButton="0" quotePrefix="0" xfId="0">
      <alignment vertical="center"/>
    </xf>
    <xf numFmtId="0" fontId="20" fillId="0" borderId="10"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0" fillId="0" borderId="0" pivotButton="0" quotePrefix="0" xfId="0"/>
    <xf numFmtId="0" fontId="10" fillId="0" borderId="0" applyAlignment="1" pivotButton="0" quotePrefix="0" xfId="0">
      <alignment vertical="center"/>
    </xf>
    <xf numFmtId="0" fontId="30" fillId="0" borderId="11" applyAlignment="1" pivotButton="0" quotePrefix="0" xfId="0">
      <alignment vertical="center"/>
    </xf>
    <xf numFmtId="0" fontId="30" fillId="0" borderId="0" applyAlignment="1" pivotButton="0" quotePrefix="0" xfId="0">
      <alignmen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0" fillId="0" borderId="6" applyAlignment="1" pivotButton="0" quotePrefix="0" xfId="0">
      <alignmen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0" fontId="10"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1" fillId="0" borderId="3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5" fillId="0" borderId="0" pivotButton="0" quotePrefix="0" xfId="0"/>
    <xf numFmtId="14" fontId="0" fillId="0" borderId="0" applyAlignment="1" pivotButton="0" quotePrefix="0" xfId="0">
      <alignment horizontal="left"/>
    </xf>
    <xf numFmtId="0" fontId="17" fillId="0" borderId="11" applyAlignment="1" pivotButton="0" quotePrefix="0" xfId="0">
      <alignment vertical="center" wrapText="1"/>
    </xf>
    <xf numFmtId="0" fontId="17" fillId="0" borderId="0" applyAlignment="1" pivotButton="0" quotePrefix="0" xfId="0">
      <alignment vertical="center" wrapText="1"/>
    </xf>
    <xf numFmtId="0" fontId="17" fillId="0" borderId="12" applyAlignment="1" pivotButton="0" quotePrefix="0" xfId="0">
      <alignment vertical="center" wrapText="1"/>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12" applyAlignment="1" pivotButton="0" quotePrefix="0" xfId="0">
      <alignment horizontal="center" vertical="center"/>
    </xf>
    <xf numFmtId="0" fontId="15" fillId="0" borderId="11" pivotButton="0" quotePrefix="0" xfId="0"/>
    <xf numFmtId="0" fontId="15" fillId="0" borderId="0" pivotButton="0" quotePrefix="0" xfId="0"/>
    <xf numFmtId="0" fontId="15" fillId="0" borderId="12" pivotButton="0" quotePrefix="0" xfId="0"/>
    <xf numFmtId="0" fontId="0" fillId="0" borderId="0" applyAlignment="1" pivotButton="0" quotePrefix="0" xfId="0">
      <alignment horizontal="left" vertical="top"/>
    </xf>
    <xf numFmtId="0" fontId="31" fillId="0" borderId="0" applyAlignment="1" pivotButton="0" quotePrefix="0" xfId="0">
      <alignment horizontal="left" vertical="top" wrapText="1"/>
    </xf>
    <xf numFmtId="0" fontId="30" fillId="0" borderId="0" applyAlignment="1" pivotButton="0" quotePrefix="0" xfId="0">
      <alignment horizontal="left" vertical="center"/>
    </xf>
    <xf numFmtId="0" fontId="3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9"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1" fillId="0" borderId="0" applyAlignment="1" pivotButton="0" quotePrefix="0" xfId="0">
      <alignment vertical="top" wrapText="1"/>
    </xf>
    <xf numFmtId="0" fontId="31" fillId="0" borderId="0" applyAlignment="1" pivotButton="0" quotePrefix="0" xfId="0">
      <alignment vertical="top"/>
    </xf>
    <xf numFmtId="0" fontId="30" fillId="0" borderId="0" applyAlignment="1" pivotButton="0" quotePrefix="0" xfId="0">
      <alignment horizontal="left" vertical="top" wrapText="1"/>
    </xf>
    <xf numFmtId="0" fontId="19" fillId="0" borderId="3" applyAlignment="1" pivotButton="0" quotePrefix="0" xfId="0">
      <alignment vertical="center"/>
    </xf>
    <xf numFmtId="0" fontId="19" fillId="0" borderId="3" applyAlignment="1" pivotButton="0" quotePrefix="0" xfId="0">
      <alignment horizontal="left" vertical="center"/>
    </xf>
    <xf numFmtId="0" fontId="31" fillId="0" borderId="0" applyAlignment="1" pivotButton="0" quotePrefix="0" xfId="0">
      <alignment horizontal="left" vertical="top"/>
    </xf>
    <xf numFmtId="0" fontId="10" fillId="0" borderId="3" applyAlignment="1" pivotButton="0" quotePrefix="0" xfId="0">
      <alignment vertical="center"/>
    </xf>
    <xf numFmtId="0" fontId="0" fillId="0" borderId="0" pivotButton="0" quotePrefix="0" xfId="0"/>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17" fillId="0" borderId="6" applyAlignment="1" pivotButton="0" quotePrefix="0" xfId="0">
      <alignment horizontal="left" vertical="center"/>
    </xf>
    <xf numFmtId="0" fontId="0" fillId="0" borderId="0" pivotButton="0" quotePrefix="0" xfId="0"/>
    <xf numFmtId="0" fontId="20"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20" fillId="5" borderId="11" applyAlignment="1" pivotButton="0" quotePrefix="0" xfId="0">
      <alignment vertical="top"/>
    </xf>
    <xf numFmtId="0" fontId="20" fillId="5" borderId="0" applyAlignment="1" pivotButton="0" quotePrefix="0" xfId="0">
      <alignment vertical="top"/>
    </xf>
    <xf numFmtId="0" fontId="20" fillId="5" borderId="12" applyAlignment="1" pivotButton="0" quotePrefix="0" xfId="0">
      <alignment vertical="top"/>
    </xf>
    <xf numFmtId="0" fontId="15" fillId="5" borderId="5" pivotButton="0" quotePrefix="0" xfId="0"/>
    <xf numFmtId="0" fontId="0" fillId="5" borderId="6" pivotButton="0" quotePrefix="0" xfId="0"/>
    <xf numFmtId="0" fontId="0" fillId="5" borderId="7" pivotButton="0" quotePrefix="0" xfId="0"/>
    <xf numFmtId="0" fontId="6"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8" applyAlignment="1" pivotButton="0" quotePrefix="0" xfId="0">
      <alignment horizontal="right" vertical="center"/>
    </xf>
    <xf numFmtId="0" fontId="18" fillId="0" borderId="5" applyAlignment="1" pivotButton="0" quotePrefix="0" xfId="0">
      <alignment vertical="center"/>
    </xf>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0" fillId="0" borderId="0" pivotButton="0" quotePrefix="0" xfId="0"/>
    <xf numFmtId="0" fontId="15" fillId="0" borderId="0" pivotButton="0" quotePrefix="0" xfId="0"/>
    <xf numFmtId="0" fontId="46"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15"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20" fillId="0" borderId="0" pivotButton="0" quotePrefix="0" xfId="0"/>
    <xf numFmtId="0" fontId="40" fillId="0" borderId="0" applyAlignment="1" pivotButton="0" quotePrefix="0" xfId="0">
      <alignment vertical="center"/>
    </xf>
    <xf numFmtId="0" fontId="39" fillId="0" borderId="0" applyAlignment="1" pivotButton="0" quotePrefix="0" xfId="0">
      <alignment vertical="center"/>
    </xf>
    <xf numFmtId="0" fontId="33" fillId="0" borderId="0" pivotButton="0" quotePrefix="0" xfId="0"/>
    <xf numFmtId="0" fontId="0" fillId="0" borderId="0" pivotButton="0" quotePrefix="0" xfId="0"/>
    <xf numFmtId="0" fontId="39" fillId="0" borderId="0" applyAlignment="1" pivotButton="0" quotePrefix="0" xfId="0">
      <alignment vertical="center"/>
    </xf>
    <xf numFmtId="0" fontId="0" fillId="0" borderId="0" pivotButton="0" quotePrefix="0" xfId="0"/>
    <xf numFmtId="0" fontId="31" fillId="0" borderId="0" applyAlignment="1" pivotButton="0" quotePrefix="0" xfId="0">
      <alignment horizontal="left"/>
    </xf>
    <xf numFmtId="0" fontId="31" fillId="0" borderId="6" applyAlignment="1" pivotButton="0" quotePrefix="0" xfId="0">
      <alignment horizontal="left"/>
    </xf>
    <xf numFmtId="0" fontId="31" fillId="0" borderId="3" applyAlignment="1" pivotButton="0" quotePrefix="0" xfId="0">
      <alignment horizontal="left"/>
    </xf>
    <xf numFmtId="0" fontId="0" fillId="0" borderId="0" pivotButton="0" quotePrefix="0" xfId="0"/>
    <xf numFmtId="169" fontId="0" fillId="0" borderId="0" pivotButton="0" quotePrefix="0" xfId="0"/>
    <xf numFmtId="2" fontId="48" fillId="0" borderId="0" pivotButton="0" quotePrefix="0" xfId="0"/>
    <xf numFmtId="164" fontId="47" fillId="0" borderId="0" applyAlignment="1" pivotButton="0" quotePrefix="0" xfId="0">
      <alignment vertical="center"/>
    </xf>
    <xf numFmtId="2" fontId="47" fillId="0" borderId="0" applyAlignment="1" pivotButton="0" quotePrefix="0" xfId="0">
      <alignment horizontal="right" vertical="center"/>
    </xf>
    <xf numFmtId="0" fontId="48" fillId="0" borderId="0" applyAlignment="1" pivotButton="0" quotePrefix="0" xfId="0">
      <alignment vertical="center"/>
    </xf>
    <xf numFmtId="0" fontId="47" fillId="0" borderId="0" applyAlignment="1" pivotButton="0" quotePrefix="0" xfId="0">
      <alignment vertical="center"/>
    </xf>
    <xf numFmtId="0" fontId="47" fillId="0" borderId="12" applyAlignment="1" pivotButton="0" quotePrefix="0" xfId="0">
      <alignment vertical="center"/>
    </xf>
    <xf numFmtId="0" fontId="50" fillId="0" borderId="1" applyAlignment="1" pivotButton="0" quotePrefix="0" xfId="0">
      <alignment horizontal="center" vertical="center"/>
    </xf>
    <xf numFmtId="0" fontId="49" fillId="0" borderId="0" applyAlignment="1" pivotButton="0" quotePrefix="0" xfId="0">
      <alignment vertical="center"/>
    </xf>
    <xf numFmtId="0" fontId="49" fillId="0" borderId="0" applyAlignment="1" pivotButton="0" quotePrefix="0" xfId="0">
      <alignment horizontal="center" vertical="center"/>
    </xf>
    <xf numFmtId="0" fontId="49" fillId="0" borderId="24" applyAlignment="1" pivotButton="0" quotePrefix="0" xfId="0">
      <alignment vertical="center"/>
    </xf>
    <xf numFmtId="0" fontId="49" fillId="0" borderId="23" applyAlignment="1" pivotButton="0" quotePrefix="0" xfId="0">
      <alignment horizontal="center" vertical="center"/>
    </xf>
    <xf numFmtId="0" fontId="48" fillId="0" borderId="0" pivotButton="0" quotePrefix="0" xfId="0"/>
    <xf numFmtId="0" fontId="52" fillId="0" borderId="24" applyAlignment="1" pivotButton="0" quotePrefix="0" xfId="0">
      <alignment horizontal="center" vertical="center"/>
    </xf>
    <xf numFmtId="0" fontId="53" fillId="4" borderId="30" applyAlignment="1" pivotButton="0" quotePrefix="0" xfId="2">
      <alignment horizontal="center" vertical="center"/>
    </xf>
    <xf numFmtId="0" fontId="48" fillId="0" borderId="12" applyAlignment="1" pivotButton="0" quotePrefix="0" xfId="0">
      <alignment vertical="center"/>
    </xf>
    <xf numFmtId="0" fontId="49" fillId="0" borderId="12"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horizontal="center" vertical="top"/>
    </xf>
    <xf numFmtId="0" fontId="0" fillId="6" borderId="0" applyAlignment="1" pivotButton="0" quotePrefix="0" xfId="0">
      <alignment horizontal="center"/>
    </xf>
    <xf numFmtId="0" fontId="33" fillId="0" borderId="0" applyAlignment="1" pivotButton="0" quotePrefix="0" xfId="0">
      <alignment horizontal="left"/>
    </xf>
    <xf numFmtId="0" fontId="31" fillId="0" borderId="11" applyAlignment="1" pivotButton="0" quotePrefix="0" xfId="0">
      <alignment horizontal="left"/>
    </xf>
    <xf numFmtId="0" fontId="31" fillId="0" borderId="0" applyAlignment="1" pivotButton="0" quotePrefix="0" xfId="0">
      <alignment horizontal="left"/>
    </xf>
    <xf numFmtId="0" fontId="31" fillId="0" borderId="5" applyAlignment="1" pivotButton="0" quotePrefix="0" xfId="0">
      <alignment horizontal="left"/>
    </xf>
    <xf numFmtId="0" fontId="31" fillId="0" borderId="6"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9" fillId="0" borderId="0" applyAlignment="1" pivotButton="0" quotePrefix="0" xfId="0">
      <alignment horizontal="center" vertical="center"/>
    </xf>
    <xf numFmtId="0" fontId="18" fillId="0" borderId="0" applyAlignment="1" pivotButton="0" quotePrefix="0" xfId="0">
      <alignment horizontal="center"/>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2" applyAlignment="1" pivotButton="0" quotePrefix="0" xfId="0">
      <alignment horizontal="left"/>
    </xf>
    <xf numFmtId="0" fontId="31" fillId="0" borderId="3" applyAlignment="1" pivotButton="0" quotePrefix="0" xfId="0">
      <alignment horizontal="left"/>
    </xf>
    <xf numFmtId="0" fontId="15" fillId="0" borderId="0" applyAlignment="1" pivotButton="0" quotePrefix="0" xfId="0">
      <alignment horizontal="left" vertical="top"/>
    </xf>
    <xf numFmtId="0" fontId="15"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4" applyAlignment="1" pivotButton="0" quotePrefix="0" xfId="0">
      <alignment horizontal="left"/>
    </xf>
    <xf numFmtId="14" fontId="0" fillId="0" borderId="0" applyAlignment="1" pivotButton="0" quotePrefix="0" xfId="0">
      <alignment horizontal="left"/>
    </xf>
    <xf numFmtId="14" fontId="0" fillId="0" borderId="12" applyAlignment="1" pivotButton="0" quotePrefix="0" xfId="0">
      <alignment horizontal="left"/>
    </xf>
    <xf numFmtId="0" fontId="0" fillId="0" borderId="0" applyAlignment="1" pivotButton="0" quotePrefix="0" xfId="0">
      <alignment horizontal="left"/>
    </xf>
    <xf numFmtId="0" fontId="0" fillId="0" borderId="12" applyAlignment="1" pivotButton="0" quotePrefix="0" xfId="0">
      <alignment horizontal="left"/>
    </xf>
    <xf numFmtId="0" fontId="0" fillId="0" borderId="6" applyAlignment="1" pivotButton="0" quotePrefix="0" xfId="0">
      <alignment horizontal="left"/>
    </xf>
    <xf numFmtId="0" fontId="0" fillId="0" borderId="7" applyAlignment="1" pivotButton="0" quotePrefix="0" xfId="0">
      <alignment horizontal="left"/>
    </xf>
    <xf numFmtId="0" fontId="7"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8" fillId="0" borderId="6"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14" fontId="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27" applyAlignment="1" pivotButton="0" quotePrefix="0" xfId="0">
      <alignment horizontal="right"/>
    </xf>
    <xf numFmtId="2" fontId="29" fillId="0" borderId="24" applyAlignment="1" pivotButton="0" quotePrefix="0" xfId="0">
      <alignment horizontal="center"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2" fillId="0" borderId="11" applyAlignment="1" pivotButton="0" quotePrefix="0" xfId="0">
      <alignment horizontal="center" vertical="center"/>
    </xf>
    <xf numFmtId="0" fontId="12" fillId="0" borderId="0" applyAlignment="1" pivotButton="0" quotePrefix="0" xfId="0">
      <alignment horizontal="center" vertical="center"/>
    </xf>
    <xf numFmtId="2" fontId="12" fillId="0" borderId="24" applyAlignment="1" pivotButton="0" quotePrefix="0" xfId="0">
      <alignment horizontal="center" vertical="center"/>
    </xf>
    <xf numFmtId="0" fontId="39" fillId="0" borderId="11"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12" applyAlignment="1" pivotButton="0" quotePrefix="0" xfId="0">
      <alignment horizontal="center" vertical="center" wrapText="1"/>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48" fillId="0" borderId="24" applyAlignment="1" pivotButton="0" quotePrefix="0" xfId="0">
      <alignment horizontal="center" vertical="center"/>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wrapText="1"/>
    </xf>
    <xf numFmtId="0" fontId="17" fillId="0" borderId="1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4" applyAlignment="1" pivotButton="0" quotePrefix="0" xfId="0">
      <alignment horizontal="left" vertical="center" wrapText="1"/>
    </xf>
    <xf numFmtId="0" fontId="17"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0" applyAlignment="1" pivotButton="0" quotePrefix="0" xfId="0">
      <alignment horizontal="center" vertical="center" wrapText="1"/>
    </xf>
    <xf numFmtId="2" fontId="48" fillId="0" borderId="24" applyAlignment="1" pivotButton="0" quotePrefix="0" xfId="0">
      <alignment horizontal="center" vertical="center"/>
    </xf>
    <xf numFmtId="2" fontId="48" fillId="0" borderId="23" applyAlignment="1" pivotButton="0" quotePrefix="0" xfId="0">
      <alignment horizontal="center" vertical="center"/>
    </xf>
    <xf numFmtId="49" fontId="48" fillId="0" borderId="24" applyAlignment="1" pivotButton="0" quotePrefix="0" xfId="0">
      <alignment horizontal="center" vertical="center"/>
    </xf>
    <xf numFmtId="49" fontId="48" fillId="0" borderId="23" applyAlignment="1" pivotButton="0" quotePrefix="0" xfId="0">
      <alignment horizontal="center" vertical="center"/>
    </xf>
    <xf numFmtId="0" fontId="49" fillId="0" borderId="24" applyAlignment="1" pivotButton="0" quotePrefix="0" xfId="0">
      <alignment horizontal="center" vertical="center"/>
    </xf>
    <xf numFmtId="0" fontId="48" fillId="0" borderId="23" applyAlignment="1" pivotButton="0" quotePrefix="0" xfId="0">
      <alignment horizontal="center"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49" fillId="0" borderId="24" applyAlignment="1" pivotButton="0" quotePrefix="0" xfId="0">
      <alignment horizontal="center" vertical="center"/>
    </xf>
    <xf numFmtId="0" fontId="49" fillId="0" borderId="23" applyAlignment="1" pivotButton="0" quotePrefix="0" xfId="0">
      <alignment horizontal="center" vertical="center"/>
    </xf>
    <xf numFmtId="0" fontId="20"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2" fontId="0" fillId="0" borderId="24" applyAlignment="1" pivotButton="0" quotePrefix="0" xfId="0">
      <alignment horizontal="center" vertical="center"/>
    </xf>
    <xf numFmtId="171" fontId="0" fillId="0" borderId="24" applyAlignment="1" pivotButton="0" quotePrefix="0" xfId="0">
      <alignment horizontal="center" vertical="center"/>
    </xf>
    <xf numFmtId="0" fontId="0" fillId="0" borderId="11" applyAlignment="1" pivotButton="0" quotePrefix="0" xfId="0">
      <alignment horizontal="left" vertical="center"/>
    </xf>
    <xf numFmtId="0" fontId="0" fillId="0" borderId="0"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left" vertical="center"/>
    </xf>
    <xf numFmtId="0" fontId="0" fillId="0" borderId="8" applyAlignment="1" pivotButton="0" quotePrefix="0" xfId="0">
      <alignment horizontal="left"/>
    </xf>
    <xf numFmtId="0" fontId="0" fillId="0" borderId="9" applyAlignment="1" pivotButton="0" quotePrefix="0" xfId="0">
      <alignment horizontal="left"/>
    </xf>
    <xf numFmtId="0" fontId="30" fillId="0" borderId="2" applyAlignment="1" pivotButton="0" quotePrefix="0" xfId="0">
      <alignment horizontal="left" vertical="center"/>
    </xf>
    <xf numFmtId="0" fontId="30" fillId="0" borderId="3" applyAlignment="1" pivotButton="0" quotePrefix="0" xfId="0">
      <alignment horizontal="left" vertical="center"/>
    </xf>
    <xf numFmtId="14" fontId="9" fillId="0" borderId="3" applyAlignment="1" pivotButton="0" quotePrefix="0" xfId="0">
      <alignment horizontal="left" vertical="center"/>
    </xf>
    <xf numFmtId="14" fontId="9" fillId="0" borderId="4" applyAlignment="1" pivotButton="0" quotePrefix="0" xfId="0">
      <alignment horizontal="left" vertical="center"/>
    </xf>
    <xf numFmtId="0" fontId="15" fillId="0" borderId="8" applyAlignment="1" pivotButton="0" quotePrefix="0" xfId="0">
      <alignment horizontal="center" vertical="center"/>
    </xf>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20" fillId="0" borderId="11" applyAlignment="1" pivotButton="0" quotePrefix="0" xfId="0">
      <alignment horizontal="left" vertical="top" wrapText="1"/>
    </xf>
    <xf numFmtId="0" fontId="20" fillId="0" borderId="0" applyAlignment="1" pivotButton="0" quotePrefix="0" xfId="0">
      <alignment horizontal="left" vertical="top" wrapText="1"/>
    </xf>
    <xf numFmtId="0" fontId="20" fillId="0" borderId="12" applyAlignment="1" pivotButton="0" quotePrefix="0" xfId="0">
      <alignment horizontal="left" vertical="top" wrapText="1"/>
    </xf>
    <xf numFmtId="0" fontId="19" fillId="0" borderId="8" applyAlignment="1" pivotButton="0" quotePrefix="0" xfId="0">
      <alignment horizontal="left" vertical="center"/>
    </xf>
    <xf numFmtId="0" fontId="19" fillId="0" borderId="9" applyAlignment="1" pivotButton="0" quotePrefix="0" xfId="0">
      <alignment horizontal="left" vertical="center"/>
    </xf>
    <xf numFmtId="0" fontId="19" fillId="0" borderId="10" applyAlignment="1" pivotButton="0" quotePrefix="0" xfId="0">
      <alignment horizontal="left" vertical="center"/>
    </xf>
    <xf numFmtId="0" fontId="19" fillId="0" borderId="2"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17" fillId="0" borderId="3" applyAlignment="1" pivotButton="0" quotePrefix="0" xfId="0">
      <alignment horizontal="left" vertical="top" wrapText="1"/>
    </xf>
    <xf numFmtId="0" fontId="17" fillId="0" borderId="4" applyAlignment="1" pivotButton="0" quotePrefix="0" xfId="0">
      <alignment horizontal="left" vertical="top" wrapText="1"/>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9" fillId="0" borderId="3" applyAlignment="1" pivotButton="0" quotePrefix="0" xfId="0">
      <alignment horizontal="left" vertical="center" wrapText="1"/>
    </xf>
    <xf numFmtId="0" fontId="19" fillId="0" borderId="4" applyAlignment="1" pivotButton="0" quotePrefix="0" xfId="0">
      <alignment horizontal="left" vertical="center" wrapText="1"/>
    </xf>
    <xf numFmtId="14" fontId="19" fillId="0" borderId="3" applyAlignment="1" pivotButton="0" quotePrefix="0" xfId="0">
      <alignment horizontal="left" vertical="center" wrapText="1"/>
    </xf>
    <xf numFmtId="169" fontId="0" fillId="0" borderId="1" applyAlignment="1" pivotButton="0" quotePrefix="0" xfId="0">
      <alignment horizontal="center" vertical="center"/>
    </xf>
    <xf numFmtId="164" fontId="0" fillId="0" borderId="1" applyAlignment="1" pivotButton="0" quotePrefix="0" xfId="0">
      <alignment horizontal="center" vertical="center"/>
    </xf>
    <xf numFmtId="171" fontId="0" fillId="0" borderId="8" applyAlignment="1" pivotButton="0" quotePrefix="0" xfId="0">
      <alignment horizontal="center" vertical="center"/>
    </xf>
    <xf numFmtId="171"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14" fillId="0" borderId="1" applyAlignment="1" pivotButton="0" quotePrefix="0" xfId="0">
      <alignment horizontal="center" vertical="center"/>
    </xf>
    <xf numFmtId="171" fontId="0" fillId="0" borderId="0" applyAlignment="1" pivotButton="0" quotePrefix="0" xfId="0">
      <alignment horizontal="left" vertical="center"/>
    </xf>
    <xf numFmtId="0" fontId="0" fillId="0" borderId="0" applyAlignment="1" pivotButton="0" quotePrefix="0" xfId="0">
      <alignment horizontal="left"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5" fillId="0" borderId="11" applyAlignment="1" pivotButton="0" quotePrefix="0" xfId="0">
      <alignment horizontal="left" vertical="center"/>
    </xf>
    <xf numFmtId="0" fontId="15" fillId="0" borderId="0" applyAlignment="1" pivotButton="0" quotePrefix="0" xfId="0">
      <alignment horizontal="left" vertical="center"/>
    </xf>
    <xf numFmtId="0" fontId="19" fillId="0" borderId="8" applyAlignment="1" pivotButton="0" quotePrefix="0" xfId="0">
      <alignment horizontal="center" vertical="center"/>
    </xf>
    <xf numFmtId="0" fontId="19"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7" fillId="0" borderId="5" applyAlignment="1" pivotButton="0" quotePrefix="0" xfId="0">
      <alignment horizontal="center" vertical="center"/>
    </xf>
    <xf numFmtId="0" fontId="17" fillId="0" borderId="6" applyAlignment="1" pivotButton="0" quotePrefix="0" xfId="0">
      <alignment horizontal="center"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7" fillId="0" borderId="6" applyAlignment="1" pivotButton="0" quotePrefix="0" xfId="0">
      <alignment horizontal="left" vertical="center" wrapText="1"/>
    </xf>
    <xf numFmtId="0" fontId="17"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8" fillId="0" borderId="8" applyAlignment="1" pivotButton="0" quotePrefix="0" xfId="0">
      <alignment horizontal="right" vertical="center"/>
    </xf>
    <xf numFmtId="0" fontId="18" fillId="0" borderId="9" applyAlignment="1" pivotButton="0" quotePrefix="0" xfId="0">
      <alignment horizontal="right" vertical="center"/>
    </xf>
    <xf numFmtId="168" fontId="18" fillId="0" borderId="9" applyAlignment="1" pivotButton="0" quotePrefix="0" xfId="0">
      <alignment horizontal="left" vertical="center"/>
    </xf>
    <xf numFmtId="168" fontId="18"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0" fontId="27" fillId="0" borderId="3" applyAlignment="1" pivotButton="0" quotePrefix="0" xfId="0">
      <alignment horizontal="left" vertical="top" wrapText="1"/>
    </xf>
    <xf numFmtId="0" fontId="27" fillId="0" borderId="4" applyAlignment="1" pivotButton="0" quotePrefix="0" xfId="0">
      <alignment horizontal="left" vertical="top" wrapText="1"/>
    </xf>
    <xf numFmtId="0" fontId="27" fillId="0" borderId="0" applyAlignment="1" pivotButton="0" quotePrefix="0" xfId="0">
      <alignment horizontal="left" vertical="top" wrapText="1"/>
    </xf>
    <xf numFmtId="0" fontId="27"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9" fillId="0" borderId="1" applyAlignment="1" pivotButton="0" quotePrefix="0" xfId="0">
      <alignment horizontal="left" vertical="center"/>
    </xf>
    <xf numFmtId="0" fontId="18"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15"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20" fillId="0" borderId="1" applyAlignment="1" pivotButton="0" quotePrefix="0" xfId="0">
      <alignment horizontal="center" vertical="center"/>
    </xf>
    <xf numFmtId="0" fontId="17" fillId="0" borderId="6" applyAlignment="1" pivotButton="0" quotePrefix="0" xfId="0">
      <alignment horizontal="left" vertical="top" wrapText="1"/>
    </xf>
    <xf numFmtId="0" fontId="17" fillId="0" borderId="7" applyAlignment="1" pivotButton="0" quotePrefix="0" xfId="0">
      <alignment horizontal="left" vertical="top" wrapText="1"/>
    </xf>
    <xf numFmtId="0" fontId="37" fillId="0" borderId="11" applyAlignment="1" pivotButton="0" quotePrefix="0" xfId="0">
      <alignment horizontal="left" vertical="top" wrapText="1"/>
    </xf>
    <xf numFmtId="0" fontId="37" fillId="0" borderId="0" applyAlignment="1" pivotButton="0" quotePrefix="0" xfId="0">
      <alignment horizontal="left" vertical="top" wrapText="1"/>
    </xf>
    <xf numFmtId="0" fontId="37" fillId="0" borderId="12" applyAlignment="1" pivotButton="0" quotePrefix="0" xfId="0">
      <alignment horizontal="left" vertical="top" wrapText="1"/>
    </xf>
    <xf numFmtId="0" fontId="37" fillId="0" borderId="5" applyAlignment="1" pivotButton="0" quotePrefix="0" xfId="0">
      <alignment horizontal="left" vertical="top" wrapText="1"/>
    </xf>
    <xf numFmtId="0" fontId="37" fillId="0" borderId="6" applyAlignment="1" pivotButton="0" quotePrefix="0" xfId="0">
      <alignment horizontal="left" vertical="top" wrapText="1"/>
    </xf>
    <xf numFmtId="0" fontId="37" fillId="0" borderId="7" applyAlignment="1" pivotButton="0" quotePrefix="0" xfId="0">
      <alignment horizontal="left" vertical="top" wrapText="1"/>
    </xf>
    <xf numFmtId="0" fontId="15" fillId="0" borderId="1" applyAlignment="1" pivotButton="0" quotePrefix="0" xfId="0">
      <alignment horizontal="center" vertical="center"/>
    </xf>
    <xf numFmtId="0" fontId="15" fillId="0" borderId="40" applyAlignment="1" pivotButton="0" quotePrefix="0" xfId="0">
      <alignment horizontal="center" vertical="center"/>
    </xf>
    <xf numFmtId="0" fontId="15" fillId="0" borderId="39" applyAlignment="1" pivotButton="0" quotePrefix="0" xfId="0">
      <alignment horizontal="center" vertical="center"/>
    </xf>
    <xf numFmtId="0" fontId="20" fillId="0" borderId="8" applyAlignment="1" pivotButton="0" quotePrefix="0" xfId="0">
      <alignment horizontal="center" vertical="center"/>
    </xf>
    <xf numFmtId="0" fontId="20" fillId="0" borderId="10" applyAlignment="1" pivotButton="0" quotePrefix="0" xfId="0">
      <alignment horizontal="center" vertical="center"/>
    </xf>
    <xf numFmtId="0" fontId="19" fillId="0" borderId="9" applyAlignment="1" pivotButton="0" quotePrefix="0" xfId="0">
      <alignment horizontal="left" vertical="center" wrapText="1"/>
    </xf>
    <xf numFmtId="0" fontId="19" fillId="0" borderId="10" applyAlignment="1" pivotButton="0" quotePrefix="0" xfId="0">
      <alignment horizontal="left" vertical="center" wrapText="1"/>
    </xf>
    <xf numFmtId="164" fontId="20" fillId="0" borderId="8" applyAlignment="1" pivotButton="0" quotePrefix="0" xfId="0">
      <alignment horizontal="center" vertical="center"/>
    </xf>
    <xf numFmtId="164" fontId="20" fillId="0" borderId="10" applyAlignment="1" pivotButton="0" quotePrefix="0" xfId="0">
      <alignment horizontal="center" vertical="center"/>
    </xf>
    <xf numFmtId="0" fontId="22" fillId="0" borderId="8" applyAlignment="1" pivotButton="0" quotePrefix="0" xfId="0">
      <alignment horizontal="center" vertical="center"/>
    </xf>
    <xf numFmtId="0" fontId="22" fillId="0" borderId="10" applyAlignment="1" pivotButton="0" quotePrefix="0" xfId="0">
      <alignment horizontal="center" vertical="center"/>
    </xf>
    <xf numFmtId="166" fontId="0" fillId="0" borderId="1" applyAlignment="1" pivotButton="0" quotePrefix="0" xfId="0">
      <alignment horizontal="center" vertical="center"/>
    </xf>
    <xf numFmtId="164" fontId="25" fillId="0" borderId="8" applyAlignment="1" pivotButton="0" quotePrefix="0" xfId="0">
      <alignment horizontal="center" vertical="center"/>
    </xf>
    <xf numFmtId="164" fontId="25" fillId="0" borderId="9" applyAlignment="1" pivotButton="0" quotePrefix="0" xfId="0">
      <alignment horizontal="center" vertical="center"/>
    </xf>
    <xf numFmtId="164" fontId="25" fillId="0" borderId="10"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0" fontId="23" fillId="0" borderId="8" applyAlignment="1" pivotButton="0" quotePrefix="0" xfId="0">
      <alignment horizontal="center" vertical="center"/>
    </xf>
    <xf numFmtId="0" fontId="18" fillId="0" borderId="11" applyAlignment="1" pivotButton="0" quotePrefix="0" xfId="0">
      <alignment horizontal="left" vertical="center"/>
    </xf>
    <xf numFmtId="0" fontId="18" fillId="0" borderId="0" applyAlignment="1" pivotButton="0" quotePrefix="0" xfId="0">
      <alignment horizontal="left" vertical="center"/>
    </xf>
    <xf numFmtId="0" fontId="18"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22" fillId="0" borderId="9"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2" fontId="13" fillId="0" borderId="8" applyAlignment="1" pivotButton="0" quotePrefix="0" xfId="0">
      <alignment horizontal="center" vertical="center"/>
    </xf>
    <xf numFmtId="2" fontId="13" fillId="0" borderId="9" applyAlignment="1" pivotButton="0" quotePrefix="0" xfId="0">
      <alignment horizontal="center"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0" fontId="16" fillId="0" borderId="8" applyAlignment="1" pivotButton="0" quotePrefix="0" xfId="0">
      <alignment horizontal="left" vertical="center"/>
    </xf>
    <xf numFmtId="0" fontId="16" fillId="0" borderId="9" applyAlignment="1" pivotButton="0" quotePrefix="0" xfId="0">
      <alignment horizontal="left" vertical="center"/>
    </xf>
    <xf numFmtId="2" fontId="0" fillId="0" borderId="10" applyAlignment="1" pivotButton="0" quotePrefix="0" xfId="0">
      <alignment horizontal="center" vertical="center"/>
    </xf>
    <xf numFmtId="2" fontId="26"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9" fillId="0" borderId="9" applyAlignment="1" pivotButton="0" quotePrefix="0" xfId="0">
      <alignment horizontal="center" vertical="center"/>
    </xf>
    <xf numFmtId="0" fontId="19" fillId="0" borderId="10" applyAlignment="1" pivotButton="0" quotePrefix="0" xfId="0">
      <alignment horizontal="center" vertical="center"/>
    </xf>
    <xf numFmtId="49" fontId="47" fillId="0" borderId="24" applyAlignment="1" pivotButton="0" quotePrefix="0" xfId="0">
      <alignment horizontal="center" vertical="center"/>
    </xf>
    <xf numFmtId="49" fontId="47" fillId="0" borderId="23" applyAlignment="1" pivotButton="0" quotePrefix="0" xfId="0">
      <alignment horizontal="center" vertical="center"/>
    </xf>
    <xf numFmtId="0" fontId="47" fillId="0" borderId="24" applyAlignment="1" pivotButton="0" quotePrefix="0" xfId="0">
      <alignment horizontal="center" vertical="center"/>
    </xf>
    <xf numFmtId="0" fontId="47" fillId="0" borderId="23" applyAlignment="1" pivotButton="0" quotePrefix="0" xfId="0">
      <alignment horizontal="center" vertical="center"/>
    </xf>
    <xf numFmtId="0" fontId="17" fillId="0" borderId="24" applyAlignment="1" pivotButton="0" quotePrefix="0" xfId="0">
      <alignment horizontal="left" vertical="center" wrapText="1"/>
    </xf>
    <xf numFmtId="0" fontId="17" fillId="0" borderId="23" applyAlignment="1" pivotButton="0" quotePrefix="0" xfId="0">
      <alignment horizontal="left" vertical="center" wrapText="1"/>
    </xf>
    <xf numFmtId="0" fontId="47" fillId="0" borderId="24" applyAlignment="1" pivotButton="0" quotePrefix="0" xfId="0">
      <alignment horizontal="center" vertical="center"/>
    </xf>
    <xf numFmtId="0" fontId="47" fillId="0" borderId="37" applyAlignment="1" pivotButton="0" quotePrefix="0" xfId="0">
      <alignment horizontal="center" vertical="center"/>
    </xf>
    <xf numFmtId="0" fontId="18" fillId="0" borderId="2" applyAlignment="1" pivotButton="0" quotePrefix="0" xfId="0">
      <alignment horizontal="center" vertical="center"/>
    </xf>
    <xf numFmtId="0" fontId="18" fillId="0" borderId="3" applyAlignment="1" pivotButton="0" quotePrefix="0" xfId="0">
      <alignment horizontal="center" vertical="center"/>
    </xf>
    <xf numFmtId="0" fontId="18" fillId="0" borderId="4"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18" fillId="0" borderId="5" applyAlignment="1" pivotButton="0" quotePrefix="0" xfId="0">
      <alignment horizontal="center" vertical="center"/>
    </xf>
    <xf numFmtId="0" fontId="18" fillId="0" borderId="6" applyAlignment="1" pivotButton="0" quotePrefix="0" xfId="0">
      <alignment horizontal="center" vertical="center"/>
    </xf>
    <xf numFmtId="0" fontId="18" fillId="0" borderId="7" applyAlignment="1" pivotButton="0" quotePrefix="0" xfId="0">
      <alignment horizontal="center"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2" fontId="47" fillId="0" borderId="8" applyAlignment="1" pivotButton="0" quotePrefix="0" xfId="0">
      <alignment horizontal="right" vertical="center"/>
    </xf>
    <xf numFmtId="2" fontId="47" fillId="0" borderId="9" applyAlignment="1" pivotButton="0" quotePrefix="0" xfId="0">
      <alignment horizontal="right" vertical="center"/>
    </xf>
    <xf numFmtId="0" fontId="9" fillId="0" borderId="10" applyAlignment="1" pivotButton="0" quotePrefix="0" xfId="0">
      <alignment horizontal="center" vertical="center"/>
    </xf>
    <xf numFmtId="164" fontId="47" fillId="0" borderId="8" applyAlignment="1" pivotButton="0" quotePrefix="0" xfId="0">
      <alignment horizontal="right"/>
    </xf>
    <xf numFmtId="164" fontId="47" fillId="0" borderId="9" applyAlignment="1" pivotButton="0" quotePrefix="0" xfId="0">
      <alignment horizontal="right"/>
    </xf>
    <xf numFmtId="164" fontId="47" fillId="0" borderId="8" applyAlignment="1" pivotButton="0" quotePrefix="0" xfId="0">
      <alignment horizontal="right" vertical="center"/>
    </xf>
    <xf numFmtId="164" fontId="47" fillId="0" borderId="9" applyAlignment="1" pivotButton="0" quotePrefix="0" xfId="0">
      <alignment horizontal="right" vertical="center"/>
    </xf>
    <xf numFmtId="0" fontId="28" fillId="2" borderId="8" applyAlignment="1" pivotButton="0" quotePrefix="0" xfId="1">
      <alignment horizontal="center"/>
    </xf>
    <xf numFmtId="0" fontId="28" fillId="2" borderId="9" applyAlignment="1" pivotButton="0" quotePrefix="0" xfId="1">
      <alignment horizontal="center"/>
    </xf>
    <xf numFmtId="0" fontId="28" fillId="2" borderId="10" applyAlignment="1" pivotButton="0" quotePrefix="0" xfId="1">
      <alignment horizontal="center"/>
    </xf>
    <xf numFmtId="2" fontId="48" fillId="0" borderId="8" applyAlignment="1" pivotButton="0" quotePrefix="0" xfId="0">
      <alignment horizontal="right"/>
    </xf>
    <xf numFmtId="2" fontId="48" fillId="0" borderId="9" applyAlignment="1" pivotButton="0" quotePrefix="0" xfId="0">
      <alignment horizontal="right"/>
    </xf>
    <xf numFmtId="0" fontId="0" fillId="0" borderId="8" applyAlignment="1" pivotButton="0" quotePrefix="0" xfId="0">
      <alignment horizontal="center"/>
    </xf>
    <xf numFmtId="2" fontId="0" fillId="0" borderId="8" applyAlignment="1" pivotButton="0" quotePrefix="0" xfId="0">
      <alignment horizontal="center" vertical="center"/>
    </xf>
    <xf numFmtId="0" fontId="0" fillId="0" borderId="9" applyAlignment="1" pivotButton="0" quotePrefix="0" xfId="0">
      <alignment horizontal="center" vertical="center"/>
    </xf>
    <xf numFmtId="0" fontId="17" fillId="0" borderId="27" applyAlignment="1" pivotButton="0" quotePrefix="0" xfId="0">
      <alignment horizontal="left" vertical="center"/>
    </xf>
    <xf numFmtId="0" fontId="17"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8"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5" fillId="0" borderId="5" applyAlignment="1" pivotButton="0" quotePrefix="0" xfId="0">
      <alignment horizontal="center"/>
    </xf>
    <xf numFmtId="0" fontId="15" fillId="0" borderId="6" applyAlignment="1" pivotButton="0" quotePrefix="0" xfId="0">
      <alignment horizontal="center"/>
    </xf>
    <xf numFmtId="0" fontId="15" fillId="0" borderId="7" applyAlignment="1" pivotButton="0" quotePrefix="0" xfId="0">
      <alignment horizontal="center"/>
    </xf>
    <xf numFmtId="2" fontId="48" fillId="0" borderId="8" applyAlignment="1" pivotButton="0" quotePrefix="0" xfId="0">
      <alignment horizontal="center" vertical="center"/>
    </xf>
    <xf numFmtId="2" fontId="48" fillId="0" borderId="9" applyAlignment="1" pivotButton="0" quotePrefix="0" xfId="0">
      <alignment horizontal="center" vertical="center"/>
    </xf>
    <xf numFmtId="0" fontId="3" fillId="0" borderId="6" applyAlignment="1" pivotButton="0" quotePrefix="0" xfId="0">
      <alignment horizontal="left" vertical="center"/>
    </xf>
    <xf numFmtId="0" fontId="8" fillId="0" borderId="7" applyAlignment="1" pivotButton="0" quotePrefix="0" xfId="0">
      <alignment horizontal="left" vertical="center"/>
    </xf>
    <xf numFmtId="0" fontId="4" fillId="0" borderId="0" applyAlignment="1" pivotButton="0" quotePrefix="0" xfId="0">
      <alignment horizontal="left" vertical="center"/>
    </xf>
    <xf numFmtId="0" fontId="7" fillId="0" borderId="12" applyAlignment="1" pivotButton="0" quotePrefix="0" xfId="0">
      <alignment horizontal="left" vertical="center"/>
    </xf>
    <xf numFmtId="0" fontId="17" fillId="0" borderId="2" applyAlignment="1" pivotButton="0" quotePrefix="0" xfId="0">
      <alignment horizontal="left" vertical="center" wrapText="1"/>
    </xf>
    <xf numFmtId="0" fontId="17" fillId="0" borderId="5" applyAlignment="1" pivotButton="0" quotePrefix="0" xfId="0">
      <alignment horizontal="left" vertical="center"/>
    </xf>
    <xf numFmtId="0" fontId="17" fillId="0" borderId="6" applyAlignment="1" pivotButton="0" quotePrefix="0" xfId="0">
      <alignment horizontal="left" vertical="center"/>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2" fontId="0" fillId="0" borderId="0"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0" fontId="19" fillId="0" borderId="10" applyAlignment="1" pivotButton="0" quotePrefix="0" xfId="0">
      <alignment horizontal="center" vertical="center"/>
    </xf>
    <xf numFmtId="165" fontId="0" fillId="0" borderId="0" applyAlignment="1" pivotButton="0" quotePrefix="0" xfId="0">
      <alignment horizontal="right" vertical="center"/>
    </xf>
    <xf numFmtId="0" fontId="0" fillId="0" borderId="0" applyAlignment="1" pivotButton="0" quotePrefix="0" xfId="0">
      <alignment horizontal="right" vertical="center"/>
    </xf>
    <xf numFmtId="0" fontId="26" fillId="0" borderId="0" applyAlignment="1" pivotButton="0" quotePrefix="0" xfId="0">
      <alignment horizontal="left" vertical="center"/>
    </xf>
    <xf numFmtId="0" fontId="26" fillId="0" borderId="12" applyAlignment="1" pivotButton="0" quotePrefix="0" xfId="0">
      <alignment horizontal="left" vertical="center"/>
    </xf>
    <xf numFmtId="0" fontId="9" fillId="0" borderId="0" applyAlignment="1" pivotButton="0" quotePrefix="0" xfId="0">
      <alignment horizontal="center" vertical="center"/>
    </xf>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29" fillId="0" borderId="0" applyAlignment="1" pivotButton="0" quotePrefix="0" xfId="0">
      <alignment horizontal="left" vertical="top" wrapText="1"/>
    </xf>
    <xf numFmtId="0" fontId="29" fillId="0" borderId="12" applyAlignment="1" pivotButton="0" quotePrefix="0" xfId="0">
      <alignment horizontal="left" vertical="top" wrapText="1"/>
    </xf>
    <xf numFmtId="49" fontId="0" fillId="0" borderId="24" applyAlignment="1" pivotButton="0" quotePrefix="0" xfId="0">
      <alignment horizontal="center" vertical="center"/>
    </xf>
    <xf numFmtId="0" fontId="0" fillId="0" borderId="24" applyAlignment="1" pivotButton="0" quotePrefix="0" xfId="0">
      <alignment horizontal="center" vertical="center"/>
    </xf>
    <xf numFmtId="0" fontId="9" fillId="0" borderId="24" applyAlignment="1" pivotButton="0" quotePrefix="0" xfId="0">
      <alignment horizontal="center" vertical="center"/>
    </xf>
    <xf numFmtId="0" fontId="9" fillId="0" borderId="23" applyAlignment="1" pivotButton="0" quotePrefix="0" xfId="0">
      <alignment horizontal="center"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0" pivotButton="0" quotePrefix="0" xfId="0"/>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2" fillId="0" borderId="11" applyAlignment="1" pivotButton="0" quotePrefix="0" xfId="0">
      <alignment horizontal="center"/>
    </xf>
    <xf numFmtId="0" fontId="42" fillId="0" borderId="0" applyAlignment="1" pivotButton="0" quotePrefix="0" xfId="0">
      <alignment horizontal="center"/>
    </xf>
    <xf numFmtId="0" fontId="42" fillId="0" borderId="12" applyAlignment="1" pivotButton="0" quotePrefix="0" xfId="0">
      <alignment horizontal="center"/>
    </xf>
    <xf numFmtId="0" fontId="15" fillId="0" borderId="8" applyAlignment="1" pivotButton="0" quotePrefix="0" xfId="0">
      <alignment horizontal="center"/>
    </xf>
    <xf numFmtId="0" fontId="15" fillId="0" borderId="9" applyAlignment="1" pivotButton="0" quotePrefix="0" xfId="0">
      <alignment horizontal="center"/>
    </xf>
    <xf numFmtId="0" fontId="15" fillId="0" borderId="10" applyAlignment="1" pivotButton="0" quotePrefix="0" xfId="0">
      <alignment horizontal="center"/>
    </xf>
    <xf numFmtId="2" fontId="15" fillId="0" borderId="8" applyAlignment="1" pivotButton="0" quotePrefix="0" xfId="0">
      <alignment horizontal="center" vertical="center"/>
    </xf>
    <xf numFmtId="2" fontId="15"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43" fillId="0" borderId="11" applyAlignment="1" pivotButton="0" quotePrefix="0" xfId="0">
      <alignment horizontal="center"/>
    </xf>
    <xf numFmtId="0" fontId="43" fillId="0" borderId="0" applyAlignment="1" pivotButton="0" quotePrefix="0" xfId="0">
      <alignment horizontal="center"/>
    </xf>
    <xf numFmtId="0" fontId="43" fillId="0" borderId="12" applyAlignment="1" pivotButton="0" quotePrefix="0" xfId="0">
      <alignment horizontal="center"/>
    </xf>
    <xf numFmtId="0" fontId="17" fillId="0" borderId="2" applyAlignment="1" pivotButton="0" quotePrefix="0" xfId="0">
      <alignment horizontal="left" vertical="top" wrapText="1"/>
    </xf>
    <xf numFmtId="0" fontId="0" fillId="0" borderId="1" applyAlignment="1" pivotButton="0" quotePrefix="0" xfId="0">
      <alignment horizontal="center" vertical="center"/>
    </xf>
    <xf numFmtId="0" fontId="0" fillId="0" borderId="9" applyAlignment="1" pivotButton="0" quotePrefix="0" xfId="0">
      <alignment horizontal="right" vertical="center"/>
    </xf>
    <xf numFmtId="0" fontId="0" fillId="0" borderId="31" applyAlignment="1" pivotButton="0" quotePrefix="0" xfId="0">
      <alignment horizontal="center" vertical="center"/>
    </xf>
    <xf numFmtId="49" fontId="0" fillId="0" borderId="8" applyAlignment="1" pivotButton="0" quotePrefix="0" xfId="0">
      <alignment horizontal="right" vertical="center"/>
    </xf>
    <xf numFmtId="49" fontId="0" fillId="0" borderId="10" applyAlignment="1" pivotButton="0" quotePrefix="0" xfId="0">
      <alignment horizontal="right"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2" fontId="0" fillId="0" borderId="1" applyAlignment="1" pivotButton="0" quotePrefix="0" xfId="0">
      <alignment horizontal="left" vertical="center"/>
    </xf>
    <xf numFmtId="2" fontId="0" fillId="0" borderId="1" applyAlignment="1" pivotButton="0" quotePrefix="0" xfId="0">
      <alignment horizontal="center" vertical="center"/>
    </xf>
    <xf numFmtId="0" fontId="15" fillId="0" borderId="0" applyAlignment="1" pivotButton="0" quotePrefix="0" xfId="0">
      <alignment horizontal="center" vertical="center"/>
    </xf>
    <xf numFmtId="0" fontId="20" fillId="0" borderId="9" applyAlignment="1" pivotButton="0" quotePrefix="0" xfId="0">
      <alignment horizontal="left" vertical="center"/>
    </xf>
    <xf numFmtId="0" fontId="20" fillId="0" borderId="10" applyAlignment="1" pivotButton="0" quotePrefix="0" xfId="0">
      <alignment horizontal="left" vertical="center"/>
    </xf>
    <xf numFmtId="0" fontId="20" fillId="0" borderId="8" applyAlignment="1" pivotButton="0" quotePrefix="0" xfId="0">
      <alignment horizontal="right" vertical="center"/>
    </xf>
    <xf numFmtId="0" fontId="20" fillId="0" borderId="9" applyAlignment="1" pivotButton="0" quotePrefix="0" xfId="0">
      <alignment horizontal="right" vertical="center"/>
    </xf>
    <xf numFmtId="0" fontId="20" fillId="0" borderId="10" applyAlignment="1" pivotButton="0" quotePrefix="0" xfId="0">
      <alignment horizontal="right" vertical="center"/>
    </xf>
    <xf numFmtId="165" fontId="15" fillId="0" borderId="35" applyAlignment="1" pivotButton="0" quotePrefix="0" xfId="0">
      <alignment horizontal="center" vertical="center"/>
    </xf>
    <xf numFmtId="165" fontId="15" fillId="0" borderId="33" applyAlignment="1" pivotButton="0" quotePrefix="0" xfId="0">
      <alignment horizontal="center" vertical="center"/>
    </xf>
    <xf numFmtId="165" fontId="15" fillId="0" borderId="34" applyAlignment="1" pivotButton="0" quotePrefix="0" xfId="0">
      <alignment horizontal="center" vertical="center"/>
    </xf>
    <xf numFmtId="165" fontId="15" fillId="0" borderId="36" applyAlignment="1" pivotButton="0" quotePrefix="0" xfId="0">
      <alignment horizontal="center" vertical="center"/>
    </xf>
    <xf numFmtId="164" fontId="11" fillId="0" borderId="1" applyAlignment="1" pivotButton="0" quotePrefix="0" xfId="0">
      <alignment horizontal="center" vertical="center"/>
    </xf>
    <xf numFmtId="0" fontId="15" fillId="0" borderId="32" applyAlignment="1" pivotButton="0" quotePrefix="0" xfId="0">
      <alignment horizontal="center" vertical="center"/>
    </xf>
    <xf numFmtId="0" fontId="15" fillId="0" borderId="33" applyAlignment="1" pivotButton="0" quotePrefix="0" xfId="0">
      <alignment horizontal="center" vertical="center"/>
    </xf>
    <xf numFmtId="0" fontId="15" fillId="0" borderId="34" applyAlignment="1" pivotButton="0" quotePrefix="0" xfId="0">
      <alignment horizontal="center" vertical="center"/>
    </xf>
    <xf numFmtId="164" fontId="15" fillId="0" borderId="35" applyAlignment="1" pivotButton="0" quotePrefix="0" xfId="0">
      <alignment horizontal="center" vertical="center"/>
    </xf>
    <xf numFmtId="164" fontId="15" fillId="0" borderId="33" applyAlignment="1" pivotButton="0" quotePrefix="0" xfId="0">
      <alignment horizontal="center" vertical="center"/>
    </xf>
    <xf numFmtId="164" fontId="15" fillId="0" borderId="34" applyAlignment="1" pivotButton="0" quotePrefix="0" xfId="0">
      <alignment horizontal="center" vertical="center"/>
    </xf>
    <xf numFmtId="0" fontId="11" fillId="0" borderId="1" applyAlignment="1" pivotButton="0" quotePrefix="0" xfId="0">
      <alignment horizontal="left" vertical="center"/>
    </xf>
    <xf numFmtId="164" fontId="0" fillId="0" borderId="8" applyAlignment="1" pivotButton="0" quotePrefix="0" xfId="0">
      <alignment horizontal="center"/>
    </xf>
    <xf numFmtId="164" fontId="0" fillId="0" borderId="9" applyAlignment="1" pivotButton="0" quotePrefix="0" xfId="0">
      <alignment horizontal="center"/>
    </xf>
    <xf numFmtId="164" fontId="0" fillId="0" borderId="10" applyAlignment="1" pivotButton="0" quotePrefix="0" xfId="0">
      <alignment horizontal="center"/>
    </xf>
    <xf numFmtId="0" fontId="0" fillId="0" borderId="6" applyAlignment="1" pivotButton="0" quotePrefix="0" xfId="0">
      <alignment horizontal="left"/>
    </xf>
    <xf numFmtId="0" fontId="0" fillId="0" borderId="7" applyAlignment="1" pivotButton="0" quotePrefix="0" xfId="0">
      <alignment horizontal="left"/>
    </xf>
    <xf numFmtId="0" fontId="0" fillId="0" borderId="0" applyAlignment="1" pivotButton="0" quotePrefix="0" xfId="0">
      <alignment horizontal="center" vertical="center"/>
    </xf>
    <xf numFmtId="164" fontId="0" fillId="0" borderId="6" applyAlignment="1" pivotButton="0" quotePrefix="0" xfId="0">
      <alignment horizontal="center" vertical="center"/>
    </xf>
    <xf numFmtId="0" fontId="11" fillId="0" borderId="8" applyAlignment="1" pivotButton="0" quotePrefix="0" xfId="0">
      <alignment horizontal="left" vertical="center"/>
    </xf>
    <xf numFmtId="164" fontId="45" fillId="0" borderId="8" applyAlignment="1" pivotButton="0" quotePrefix="0" xfId="0">
      <alignment horizontal="left" vertical="center"/>
    </xf>
    <xf numFmtId="164" fontId="45" fillId="0" borderId="9" applyAlignment="1" pivotButton="0" quotePrefix="0" xfId="0">
      <alignment horizontal="left" vertical="center"/>
    </xf>
    <xf numFmtId="164" fontId="45" fillId="0" borderId="10" applyAlignment="1" pivotButton="0" quotePrefix="0" xfId="0">
      <alignment horizontal="left" vertical="center"/>
    </xf>
    <xf numFmtId="0" fontId="20" fillId="0" borderId="11" applyAlignment="1" pivotButton="0" quotePrefix="0" xfId="0">
      <alignment horizontal="center" vertical="center"/>
    </xf>
    <xf numFmtId="0" fontId="20" fillId="0" borderId="0" applyAlignment="1" pivotButton="0" quotePrefix="0" xfId="0">
      <alignment horizontal="center" vertical="center"/>
    </xf>
    <xf numFmtId="0" fontId="20" fillId="0" borderId="12" applyAlignment="1" pivotButton="0" quotePrefix="0" xfId="0">
      <alignment horizontal="center" vertical="center"/>
    </xf>
    <xf numFmtId="0" fontId="2" fillId="0" borderId="0" applyAlignment="1" pivotButton="0" quotePrefix="0" xfId="0">
      <alignment horizontal="center" vertical="center"/>
    </xf>
    <xf numFmtId="0" fontId="5" fillId="0" borderId="0" applyAlignment="1" pivotButton="0" quotePrefix="0" xfId="0">
      <alignment horizontal="center" vertical="center"/>
    </xf>
    <xf numFmtId="0" fontId="20" fillId="0" borderId="2" applyAlignment="1" pivotButton="0" quotePrefix="0" xfId="0">
      <alignment horizontal="left" vertical="top"/>
    </xf>
    <xf numFmtId="0" fontId="20" fillId="0" borderId="3" applyAlignment="1" pivotButton="0" quotePrefix="0" xfId="0">
      <alignment horizontal="left" vertical="top"/>
    </xf>
    <xf numFmtId="0" fontId="20" fillId="0" borderId="4" applyAlignment="1" pivotButton="0" quotePrefix="0" xfId="0">
      <alignment horizontal="left" vertical="top"/>
    </xf>
    <xf numFmtId="0" fontId="20" fillId="0" borderId="11" applyAlignment="1" pivotButton="0" quotePrefix="0" xfId="0">
      <alignment horizontal="left" vertical="top"/>
    </xf>
    <xf numFmtId="0" fontId="20" fillId="0" borderId="0" applyAlignment="1" pivotButton="0" quotePrefix="0" xfId="0">
      <alignment horizontal="left" vertical="top"/>
    </xf>
    <xf numFmtId="0" fontId="20" fillId="0" borderId="12" applyAlignment="1" pivotButton="0" quotePrefix="0" xfId="0">
      <alignment horizontal="left" vertical="top"/>
    </xf>
    <xf numFmtId="0" fontId="16" fillId="5" borderId="2" applyAlignment="1" pivotButton="0" quotePrefix="0" xfId="0">
      <alignment horizontal="left" vertical="center"/>
    </xf>
    <xf numFmtId="0" fontId="16" fillId="5" borderId="3" applyAlignment="1" pivotButton="0" quotePrefix="0" xfId="0">
      <alignment horizontal="left" vertical="center"/>
    </xf>
    <xf numFmtId="0" fontId="20" fillId="5" borderId="3" applyAlignment="1" pivotButton="0" quotePrefix="0" xfId="0">
      <alignment horizontal="left" vertical="center"/>
    </xf>
    <xf numFmtId="0" fontId="20" fillId="5" borderId="3" applyAlignment="1" pivotButton="0" quotePrefix="0" xfId="0">
      <alignment horizontal="right" vertical="center"/>
    </xf>
    <xf numFmtId="0" fontId="20"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15" fillId="5" borderId="11" applyAlignment="1" pivotButton="0" quotePrefix="0" xfId="0">
      <alignment horizontal="center" vertical="top"/>
    </xf>
    <xf numFmtId="0" fontId="15" fillId="5" borderId="0" applyAlignment="1" pivotButton="0" quotePrefix="0" xfId="0">
      <alignment horizontal="center" vertical="top"/>
    </xf>
    <xf numFmtId="0" fontId="15" fillId="5" borderId="12" applyAlignment="1" pivotButton="0" quotePrefix="0" xfId="0">
      <alignment horizontal="center" vertical="top"/>
    </xf>
    <xf numFmtId="0" fontId="19" fillId="0" borderId="11" applyAlignment="1" pivotButton="0" quotePrefix="0" xfId="0">
      <alignment horizontal="left" vertical="center"/>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19" fillId="0" borderId="12" applyAlignment="1" pivotButton="0" quotePrefix="0" xfId="0">
      <alignment horizontal="left" vertical="center" wrapText="1"/>
    </xf>
    <xf numFmtId="173" fontId="0" fillId="0" borderId="0" applyAlignment="1" pivotButton="0" quotePrefix="0" xfId="0">
      <alignment horizontal="left"/>
    </xf>
    <xf numFmtId="173" fontId="0" fillId="0" borderId="0" applyAlignment="1" pivotButton="0" quotePrefix="0" xfId="0">
      <alignment horizontal="right"/>
    </xf>
    <xf numFmtId="0" fontId="39" fillId="0" borderId="41" applyAlignment="1" pivotButton="0" quotePrefix="0" xfId="0">
      <alignment horizontal="center" vertical="center" wrapText="1"/>
    </xf>
    <xf numFmtId="0" fontId="18"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42" applyAlignment="1" pivotButton="0" quotePrefix="0" xfId="0">
      <alignment horizontal="center" vertical="center"/>
    </xf>
    <xf numFmtId="164" fontId="0" fillId="0" borderId="43" applyAlignment="1" pivotButton="0" quotePrefix="0" xfId="0">
      <alignment horizontal="center"/>
    </xf>
    <xf numFmtId="171"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42" applyAlignment="1" pivotButton="0" quotePrefix="0" xfId="0">
      <alignment horizontal="left" vertical="center"/>
    </xf>
    <xf numFmtId="0" fontId="20" fillId="0" borderId="41" applyAlignment="1" pivotButton="0" quotePrefix="0" xfId="0">
      <alignment horizontal="left" vertical="top" wrapText="1"/>
    </xf>
    <xf numFmtId="14" fontId="9" fillId="0" borderId="12"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168" fontId="18" fillId="0" borderId="10" applyAlignment="1" pivotButton="0" quotePrefix="0" xfId="0">
      <alignment horizontal="left" vertical="center"/>
    </xf>
    <xf numFmtId="171" fontId="0" fillId="0" borderId="0" applyAlignment="1" pivotButton="0" quotePrefix="0" xfId="0">
      <alignment horizontal="left" vertical="center"/>
    </xf>
    <xf numFmtId="169" fontId="0" fillId="0" borderId="0" pivotButton="0" quotePrefix="0" xfId="0"/>
    <xf numFmtId="167" fontId="0" fillId="0" borderId="0" pivotButton="0" quotePrefix="0" xfId="0"/>
    <xf numFmtId="171" fontId="0" fillId="0" borderId="1" applyAlignment="1" pivotButton="0" quotePrefix="0" xfId="0">
      <alignment horizontal="center" vertical="center"/>
    </xf>
    <xf numFmtId="169" fontId="0" fillId="0" borderId="1" applyAlignment="1" pivotButton="0" quotePrefix="0" xfId="0">
      <alignment horizontal="center" vertical="center"/>
    </xf>
    <xf numFmtId="14" fontId="19" fillId="0" borderId="4" applyAlignment="1" pivotButton="0" quotePrefix="0" xfId="0">
      <alignment horizontal="left" vertical="center" wrapText="1"/>
    </xf>
    <xf numFmtId="170" fontId="0" fillId="0" borderId="1" applyAlignment="1" pivotButton="0" quotePrefix="0" xfId="0">
      <alignment horizontal="center" vertical="center"/>
    </xf>
    <xf numFmtId="2" fontId="15" fillId="0" borderId="40" applyAlignment="1" pivotButton="0" quotePrefix="0" xfId="0">
      <alignment horizontal="center" vertical="center"/>
    </xf>
    <xf numFmtId="0" fontId="0" fillId="0" borderId="39" pivotButton="0" quotePrefix="0" xfId="0"/>
    <xf numFmtId="2" fontId="15" fillId="0" borderId="39" applyAlignment="1" pivotButton="0" quotePrefix="0" xfId="0">
      <alignment horizontal="center" vertical="center"/>
    </xf>
    <xf numFmtId="2" fontId="15" fillId="0" borderId="1" applyAlignment="1" pivotButton="0" quotePrefix="0" xfId="0">
      <alignment horizontal="center" vertical="center"/>
    </xf>
    <xf numFmtId="2" fontId="15" fillId="0" borderId="10" applyAlignment="1" pivotButton="0" quotePrefix="0" xfId="0">
      <alignment horizontal="center" vertical="center"/>
    </xf>
    <xf numFmtId="2" fontId="18" fillId="0" borderId="1" applyAlignment="1" pivotButton="0" quotePrefix="0" xfId="0">
      <alignment horizontal="center" vertical="center"/>
    </xf>
    <xf numFmtId="2" fontId="15" fillId="0" borderId="0" applyAlignment="1" pivotButton="0" quotePrefix="0" xfId="0">
      <alignment vertical="center"/>
    </xf>
    <xf numFmtId="0" fontId="17" fillId="0" borderId="10" applyAlignment="1" pivotButton="0" quotePrefix="0" xfId="0">
      <alignment horizontal="left" vertical="top" wrapText="1"/>
    </xf>
    <xf numFmtId="0" fontId="37" fillId="0" borderId="42" applyAlignment="1" pivotButton="0" quotePrefix="0" xfId="0">
      <alignment horizontal="left" vertical="top" wrapText="1"/>
    </xf>
    <xf numFmtId="0" fontId="18" fillId="0" borderId="41" applyAlignment="1" pivotButton="0" quotePrefix="0" xfId="0">
      <alignment horizontal="left" vertical="center"/>
    </xf>
    <xf numFmtId="0" fontId="22" fillId="0" borderId="1" applyAlignment="1" pivotButton="0" quotePrefix="0" xfId="0">
      <alignment horizontal="center" vertical="center"/>
    </xf>
    <xf numFmtId="0" fontId="23" fillId="0" borderId="1" applyAlignment="1" pivotButton="0" quotePrefix="0" xfId="0">
      <alignment horizontal="center" vertical="center"/>
    </xf>
    <xf numFmtId="172" fontId="0" fillId="0" borderId="1" applyAlignment="1" pivotButton="0" quotePrefix="0" xfId="0">
      <alignment horizontal="center" vertical="center"/>
    </xf>
    <xf numFmtId="164" fontId="20" fillId="0" borderId="1" applyAlignment="1" pivotButton="0" quotePrefix="0" xfId="0">
      <alignment horizontal="center" vertical="center"/>
    </xf>
    <xf numFmtId="164" fontId="25" fillId="0" borderId="1" applyAlignment="1" pivotButton="0" quotePrefix="0" xfId="0">
      <alignment horizontal="center" vertical="center"/>
    </xf>
    <xf numFmtId="2" fontId="26" fillId="0" borderId="1" applyAlignment="1" pivotButton="0" quotePrefix="0" xfId="0">
      <alignment horizontal="center" vertical="center"/>
    </xf>
    <xf numFmtId="0" fontId="0" fillId="0" borderId="31" applyAlignment="1" pivotButton="0" quotePrefix="0" xfId="0">
      <alignment horizontal="left" vertical="center"/>
    </xf>
    <xf numFmtId="0" fontId="17" fillId="0" borderId="26" applyAlignment="1" pivotButton="0" quotePrefix="0" xfId="0">
      <alignment horizontal="left" vertical="center" wrapText="1"/>
    </xf>
    <xf numFmtId="0" fontId="0" fillId="0" borderId="37" pivotButton="0" quotePrefix="0" xfId="0"/>
    <xf numFmtId="0" fontId="28" fillId="2" borderId="1" applyAlignment="1" pivotButton="0" quotePrefix="0" xfId="1">
      <alignment horizontal="center"/>
    </xf>
    <xf numFmtId="0" fontId="0" fillId="0" borderId="43" applyAlignment="1" pivotButton="0" quotePrefix="0" xfId="0">
      <alignment horizontal="left" vertical="center"/>
    </xf>
    <xf numFmtId="0" fontId="0" fillId="0" borderId="45" applyAlignment="1" pivotButton="0" quotePrefix="0" xfId="0">
      <alignment horizontal="left" vertical="center"/>
    </xf>
    <xf numFmtId="0" fontId="0" fillId="0" borderId="28" pivotButton="0" quotePrefix="0" xfId="0"/>
    <xf numFmtId="0" fontId="0" fillId="0" borderId="29" pivotButton="0" quotePrefix="0" xfId="0"/>
    <xf numFmtId="0" fontId="15" fillId="0" borderId="42" applyAlignment="1" pivotButton="0" quotePrefix="0" xfId="0">
      <alignment horizontal="center"/>
    </xf>
    <xf numFmtId="0" fontId="4" fillId="0" borderId="12" applyAlignment="1" pivotButton="0" quotePrefix="0" xfId="0">
      <alignment horizontal="left" vertical="center"/>
    </xf>
    <xf numFmtId="0" fontId="3" fillId="0" borderId="7" applyAlignment="1" pivotButton="0" quotePrefix="0" xfId="0">
      <alignment horizontal="left" vertical="center"/>
    </xf>
    <xf numFmtId="2" fontId="0" fillId="0" borderId="10" applyAlignment="1" pivotButton="0" quotePrefix="0" xfId="0">
      <alignment vertical="center"/>
    </xf>
    <xf numFmtId="49" fontId="0" fillId="0" borderId="23" applyAlignment="1" pivotButton="0" quotePrefix="0" xfId="0">
      <alignment horizontal="center" vertical="center"/>
    </xf>
    <xf numFmtId="2" fontId="0" fillId="0" borderId="9" applyAlignment="1" pivotButton="0" quotePrefix="0" xfId="0">
      <alignment horizontal="right" vertical="center"/>
    </xf>
    <xf numFmtId="0" fontId="15" fillId="0" borderId="1" applyAlignment="1" pivotButton="0" quotePrefix="0" xfId="0">
      <alignment horizontal="center"/>
    </xf>
    <xf numFmtId="0" fontId="0" fillId="0" borderId="1" applyAlignment="1" pivotButton="0" quotePrefix="0" xfId="0">
      <alignment horizontal="center" vertical="center" wrapText="1"/>
    </xf>
    <xf numFmtId="0" fontId="42" fillId="0" borderId="41" applyAlignment="1" pivotButton="0" quotePrefix="0" xfId="0">
      <alignment horizontal="center"/>
    </xf>
    <xf numFmtId="0" fontId="43" fillId="0" borderId="41" applyAlignment="1" pivotButton="0" quotePrefix="0" xfId="0">
      <alignment horizontal="center"/>
    </xf>
    <xf numFmtId="0" fontId="17" fillId="0" borderId="31" applyAlignment="1" pivotButton="0" quotePrefix="0" xfId="0">
      <alignment horizontal="left" vertical="top" wrapText="1"/>
    </xf>
    <xf numFmtId="0" fontId="20" fillId="0" borderId="1" applyAlignment="1" pivotButton="0" quotePrefix="0" xfId="0">
      <alignment horizontal="right" vertical="center"/>
    </xf>
    <xf numFmtId="49" fontId="0" fillId="0" borderId="1" applyAlignment="1" pivotButton="0" quotePrefix="0" xfId="0">
      <alignment horizontal="right" vertical="center"/>
    </xf>
    <xf numFmtId="0" fontId="15" fillId="0" borderId="52" applyAlignment="1" pivotButton="0" quotePrefix="0" xfId="0">
      <alignment horizontal="center" vertical="center"/>
    </xf>
    <xf numFmtId="0" fontId="0" fillId="0" borderId="33" pivotButton="0" quotePrefix="0" xfId="0"/>
    <xf numFmtId="0" fontId="0" fillId="0" borderId="34" pivotButton="0" quotePrefix="0" xfId="0"/>
    <xf numFmtId="164" fontId="15" fillId="0" borderId="49" applyAlignment="1" pivotButton="0" quotePrefix="0" xfId="0">
      <alignment horizontal="center" vertical="center"/>
    </xf>
    <xf numFmtId="165" fontId="15" fillId="0" borderId="49" applyAlignment="1" pivotButton="0" quotePrefix="0" xfId="0">
      <alignment horizontal="center" vertical="center"/>
    </xf>
    <xf numFmtId="165" fontId="15" fillId="0" borderId="50" applyAlignment="1" pivotButton="0" quotePrefix="0" xfId="0">
      <alignment horizontal="center" vertical="center"/>
    </xf>
    <xf numFmtId="0" fontId="0" fillId="0" borderId="36" pivotButton="0" quotePrefix="0" xfId="0"/>
    <xf numFmtId="164" fontId="0" fillId="0" borderId="1" applyAlignment="1" pivotButton="0" quotePrefix="0" xfId="0">
      <alignment horizontal="center"/>
    </xf>
    <xf numFmtId="164" fontId="45" fillId="0" borderId="1" applyAlignment="1" pivotButton="0" quotePrefix="0" xfId="0">
      <alignment horizontal="left" vertical="center"/>
    </xf>
    <xf numFmtId="0" fontId="20" fillId="0" borderId="41" applyAlignment="1" pivotButton="0" quotePrefix="0" xfId="0">
      <alignment horizontal="center" vertical="center"/>
    </xf>
    <xf numFmtId="0" fontId="20" fillId="0" borderId="31" applyAlignment="1" pivotButton="0" quotePrefix="0" xfId="0">
      <alignment horizontal="left" vertical="top"/>
    </xf>
    <xf numFmtId="0" fontId="15" fillId="5" borderId="41" applyAlignment="1" pivotButton="0" quotePrefix="0" xfId="0">
      <alignment horizontal="center" vertical="top"/>
    </xf>
    <xf numFmtId="0" fontId="0" fillId="5" borderId="41"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17">
    <dxf>
      <fill>
        <patternFill>
          <bgColor rgb="FFFFFF00"/>
        </patternFill>
      </fill>
    </dxf>
    <dxf>
      <fill>
        <patternFill>
          <bgColor rgb="FFFFFF66"/>
        </patternFill>
      </fill>
    </dxf>
    <dxf>
      <fill>
        <patternFill>
          <bgColor rgb="FFFFCC00"/>
        </patternFill>
      </fill>
    </dxf>
    <dxf>
      <fill>
        <patternFill>
          <bgColor rgb="FFFF9933"/>
        </patternFill>
      </fill>
    </dxf>
    <dxf>
      <fill>
        <patternFill>
          <bgColor rgb="FFE3790F"/>
        </patternFill>
      </fill>
    </dxf>
    <dxf>
      <fill>
        <patternFill>
          <bgColor theme="9" tint="-0.499984740745262"/>
        </patternFill>
      </fill>
    </dxf>
    <dxf>
      <fill>
        <patternFill>
          <bgColor rgb="FF92D050"/>
        </patternFill>
      </fill>
    </dxf>
    <dxf>
      <fill>
        <patternFill>
          <bgColor rgb="FFFF3B3B"/>
        </patternFill>
      </fill>
    </dxf>
    <dxf>
      <fill>
        <patternFill>
          <bgColor rgb="FFFF2F2F"/>
        </patternFill>
      </fill>
    </dxf>
    <dxf>
      <fill>
        <patternFill>
          <bgColor rgb="FFFF2D2D"/>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formatCode>0.0000%</formatCode>
                  <v>0.2982795698924732</v>
                </pt>
                <pt idx="1">
                  <v>0.4272559852670351</v>
                </pt>
                <pt idx="2">
                  <v>0.2993548387096775</v>
                </pt>
                <pt idx="3">
                  <v>0.05</v>
                </pt>
              </numCache>
            </numRef>
          </yVal>
          <smooth val="0"/>
        </ser>
        <dLbls>
          <dLblPos val="t"/>
          <showLegendKey val="0"/>
          <showVal val="1"/>
          <showCatName val="0"/>
          <showSerName val="0"/>
          <showPercent val="0"/>
          <showBubbleSize val="0"/>
        </dLbls>
        <axId val="584830704"/>
        <axId val="584822000"/>
      </scatterChart>
      <valAx>
        <axId val="5848307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584822000"/>
        <crosses val="autoZero"/>
        <crossBetween val="midCat"/>
      </valAx>
      <valAx>
        <axId val="5848220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584830704"/>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0.03488372093023252</v>
                </pt>
                <pt idx="1">
                  <v>0.02272727272727279</v>
                </pt>
                <pt idx="2">
                  <v>0.02325581395348843</v>
                </pt>
                <pt idx="3">
                  <v>0.05</v>
                </pt>
              </numCache>
            </numRef>
          </yVal>
          <smooth val="0"/>
        </ser>
        <dLbls>
          <dLblPos val="t"/>
          <showLegendKey val="0"/>
          <showVal val="1"/>
          <showCatName val="0"/>
          <showSerName val="0"/>
          <showPercent val="0"/>
          <showBubbleSize val="0"/>
        </dLbls>
        <axId val="584825264"/>
        <axId val="584826352"/>
      </scatterChart>
      <valAx>
        <axId val="58482526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584826352"/>
        <crosses val="autoZero"/>
        <crossBetween val="midCat"/>
      </valAx>
      <valAx>
        <axId val="5848263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584825264"/>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14</v>
                </pt>
                <pt idx="1">
                  <v>16.8</v>
                </pt>
                <pt idx="2">
                  <v>21</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584827440"/>
        <axId val="584828528"/>
      </lineChart>
      <catAx>
        <axId val="584827440"/>
        <scaling>
          <orientation val="minMax"/>
        </scaling>
        <delete val="1"/>
        <axPos val="b"/>
        <majorTickMark val="none"/>
        <minorTickMark val="none"/>
        <tickLblPos val="nextTo"/>
        <crossAx val="584828528"/>
        <crosses val="autoZero"/>
        <auto val="1"/>
        <lblAlgn val="ctr"/>
        <lblOffset val="100"/>
        <noMultiLvlLbl val="0"/>
      </catAx>
      <valAx>
        <axId val="584828528"/>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584827440"/>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11.2</v>
                </pt>
                <pt idx="1">
                  <v>14</v>
                </pt>
                <pt idx="2">
                  <v>18.2</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584831792"/>
        <axId val="584832880"/>
      </lineChart>
      <catAx>
        <axId val="584831792"/>
        <scaling>
          <orientation val="minMax"/>
        </scaling>
        <delete val="1"/>
        <axPos val="b"/>
        <majorTickMark val="none"/>
        <minorTickMark val="none"/>
        <tickLblPos val="nextTo"/>
        <crossAx val="584832880"/>
        <crosses val="autoZero"/>
        <auto val="1"/>
        <lblAlgn val="ctr"/>
        <lblOffset val="100"/>
        <noMultiLvlLbl val="0"/>
      </catAx>
      <valAx>
        <axId val="58483288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58483179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21</v>
                </pt>
                <pt idx="1">
                  <v>22.4</v>
                </pt>
                <pt idx="2">
                  <v>25.2</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637805280"/>
        <axId val="637806912"/>
      </lineChart>
      <catAx>
        <axId val="637805280"/>
        <scaling>
          <orientation val="minMax"/>
        </scaling>
        <delete val="1"/>
        <axPos val="b"/>
        <majorTickMark val="none"/>
        <minorTickMark val="none"/>
        <tickLblPos val="nextTo"/>
        <crossAx val="637806912"/>
        <crosses val="autoZero"/>
        <auto val="1"/>
        <lblAlgn val="ctr"/>
        <lblOffset val="100"/>
        <noMultiLvlLbl val="0"/>
      </catAx>
      <valAx>
        <axId val="63780691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637805280"/>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0.05531310260870745</v>
                </pt>
                <pt idx="1">
                  <v>0.1148913536231993</v>
                </pt>
                <pt idx="2">
                  <v>0.8807061756521884</v>
                </pt>
                <pt idx="3">
                  <formatCode>General</formatCode>
                  <v>0.5</v>
                </pt>
              </numCache>
            </numRef>
          </val>
        </ser>
        <dLbls>
          <dLblPos val="outEnd"/>
          <showLegendKey val="0"/>
          <showVal val="1"/>
          <showCatName val="0"/>
          <showSerName val="0"/>
          <showPercent val="0"/>
          <showBubbleSize val="0"/>
        </dLbls>
        <gapWidth val="182"/>
        <axId val="637798752"/>
        <axId val="637808544"/>
      </barChart>
      <catAx>
        <axId val="63779875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808544"/>
        <crosses val="autoZero"/>
        <auto val="1"/>
        <lblAlgn val="ctr"/>
        <lblOffset val="100"/>
        <noMultiLvlLbl val="0"/>
      </catAx>
      <valAx>
        <axId val="637808544"/>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798752"/>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2</v>
                </pt>
              </numCache>
            </numRef>
          </val>
        </ser>
        <dLbls>
          <showLegendKey val="0"/>
          <showVal val="0"/>
          <showCatName val="0"/>
          <showSerName val="0"/>
          <showPercent val="0"/>
          <showBubbleSize val="0"/>
        </dLbls>
        <gapWidth val="150"/>
        <axId val="637799840"/>
        <axId val="637804192"/>
      </barChart>
      <catAx>
        <axId val="637799840"/>
        <scaling>
          <orientation val="minMax"/>
        </scaling>
        <delete val="0"/>
        <axPos val="l"/>
        <majorTickMark val="out"/>
        <minorTickMark val="none"/>
        <tickLblPos val="nextTo"/>
        <crossAx val="637804192"/>
        <crosses val="autoZero"/>
        <auto val="1"/>
        <lblAlgn val="ctr"/>
        <lblOffset val="100"/>
        <noMultiLvlLbl val="0"/>
      </catAx>
      <valAx>
        <axId val="637804192"/>
        <scaling>
          <orientation val="minMax"/>
        </scaling>
        <delete val="0"/>
        <axPos val="b"/>
        <majorGridlines/>
        <numFmt formatCode="0.00" sourceLinked="1"/>
        <majorTickMark val="out"/>
        <minorTickMark val="none"/>
        <tickLblPos val="nextTo"/>
        <crossAx val="637799840"/>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0.32</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0.35</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0.35</v>
                </pt>
              </numCache>
            </numRef>
          </val>
        </ser>
        <dLbls>
          <showLegendKey val="0"/>
          <showVal val="0"/>
          <showCatName val="0"/>
          <showSerName val="0"/>
          <showPercent val="0"/>
          <showBubbleSize val="0"/>
        </dLbls>
        <gapWidth val="150"/>
        <axId val="637800384"/>
        <axId val="637809088"/>
      </barChart>
      <catAx>
        <axId val="637800384"/>
        <scaling>
          <orientation val="minMax"/>
        </scaling>
        <delete val="0"/>
        <axPos val="l"/>
        <majorTickMark val="out"/>
        <minorTickMark val="none"/>
        <tickLblPos val="nextTo"/>
        <crossAx val="637809088"/>
        <crosses val="autoZero"/>
        <auto val="1"/>
        <lblAlgn val="ctr"/>
        <lblOffset val="100"/>
        <noMultiLvlLbl val="0"/>
      </catAx>
      <valAx>
        <axId val="637809088"/>
        <scaling>
          <orientation val="minMax"/>
          <min val="0"/>
        </scaling>
        <delete val="0"/>
        <axPos val="b"/>
        <majorGridlines/>
        <numFmt formatCode="0.00" sourceLinked="1"/>
        <majorTickMark val="out"/>
        <minorTickMark val="none"/>
        <tickLblPos val="nextTo"/>
        <crossAx val="637800384"/>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637797120"/>
        <axId val="637797664"/>
      </barChart>
      <catAx>
        <axId val="637797120"/>
        <scaling>
          <orientation val="minMax"/>
        </scaling>
        <delete val="0"/>
        <axPos val="b"/>
        <numFmt formatCode="General" sourceLinked="0"/>
        <majorTickMark val="out"/>
        <minorTickMark val="none"/>
        <tickLblPos val="nextTo"/>
        <spPr>
          <a:noFill xmlns:a="http://schemas.openxmlformats.org/drawingml/2006/main"/>
          <a:ln xmlns:a="http://schemas.openxmlformats.org/drawingml/2006/main">
            <a:prstDash val="solid"/>
          </a:ln>
        </spPr>
        <crossAx val="637797664"/>
        <crosses val="autoZero"/>
        <auto val="1"/>
        <lblAlgn val="ctr"/>
        <lblOffset val="100"/>
        <noMultiLvlLbl val="0"/>
      </catAx>
      <valAx>
        <axId val="637797664"/>
        <scaling>
          <orientation val="minMax"/>
        </scaling>
        <delete val="0"/>
        <axPos val="l"/>
        <majorGridlines/>
        <numFmt formatCode="General" sourceLinked="1"/>
        <majorTickMark val="out"/>
        <minorTickMark val="none"/>
        <tickLblPos val="nextTo"/>
        <crossAx val="637797120"/>
        <crosses val="autoZero"/>
        <crossBetween val="between"/>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637799296"/>
        <axId val="637809632"/>
      </scatterChart>
      <valAx>
        <axId val="637799296"/>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overlay val="0"/>
        </title>
        <numFmt formatCode="0.00" sourceLinked="1"/>
        <majorTickMark val="out"/>
        <minorTickMark val="none"/>
        <tickLblPos val="nextTo"/>
        <crossAx val="637809632"/>
        <crossesAt val="0"/>
        <crossBetween val="midCat"/>
        <majorUnit val="20"/>
        <minorUnit val="5"/>
      </valAx>
      <valAx>
        <axId val="637809632"/>
        <scaling>
          <orientation val="minMax"/>
        </scaling>
        <delete val="1"/>
        <axPos val="l"/>
        <majorGridlines/>
        <minorGridlines/>
        <numFmt formatCode="General" sourceLinked="1"/>
        <majorTickMark val="out"/>
        <minorTickMark val="none"/>
        <tickLblPos val="nextTo"/>
        <crossAx val="637799296"/>
        <crosses val="autoZero"/>
        <crossBetween val="midCat"/>
      </valAx>
    </plotArea>
    <legend>
      <legendPos val="r"/>
      <legendEntry>
        <idx val="4"/>
        <delete val="1"/>
      </legendEntry>
      <legendEntry>
        <idx val="5"/>
        <delete val="1"/>
      </legendEntry>
      <legendEntry>
        <idx val="6"/>
        <delete val="1"/>
      </legendEntry>
      <overlay val="0"/>
    </legend>
    <plotVisOnly val="0"/>
    <dispBlanksAs val="zero"/>
  </chart>
</chartSpace>
</file>

<file path=xl/charts/chart11.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75.34999999999999</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74.98</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75.15000000000001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637795488"/>
        <axId val="637802560"/>
      </scatterChart>
      <valAx>
        <axId val="637795488"/>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overlay val="0"/>
        </title>
        <numFmt formatCode="0.00" sourceLinked="1"/>
        <majorTickMark val="out"/>
        <minorTickMark val="none"/>
        <tickLblPos val="nextTo"/>
        <crossAx val="637802560"/>
        <crosses val="autoZero"/>
        <crossBetween val="midCat"/>
        <majorUnit val="10"/>
        <minorUnit val="5"/>
      </valAx>
      <valAx>
        <axId val="637802560"/>
        <scaling>
          <orientation val="minMax"/>
        </scaling>
        <delete val="1"/>
        <axPos val="l"/>
        <majorGridlines/>
        <minorGridlines/>
        <numFmt formatCode="General" sourceLinked="1"/>
        <majorTickMark val="out"/>
        <minorTickMark val="none"/>
        <tickLblPos val="nextTo"/>
        <crossAx val="637795488"/>
        <crossesAt val="0"/>
        <crossBetween val="midCat"/>
      </valAx>
    </plotArea>
    <legend>
      <legendPos val="r"/>
      <legendEntry>
        <idx val="4"/>
        <delete val="1"/>
      </legendEntry>
      <legendEntry>
        <idx val="5"/>
        <delete val="1"/>
      </legendEntry>
      <legendEntry>
        <idx val="6"/>
        <delete val="1"/>
      </legendEntry>
      <overlay val="0"/>
      <spPr>
        <a:noFill xmlns:a="http://schemas.openxmlformats.org/drawingml/2006/main"/>
        <a:ln xmlns:a="http://schemas.openxmlformats.org/drawingml/2006/main">
          <a:prstDash val="solid"/>
        </a:ln>
      </spPr>
    </legend>
    <plotVisOnly val="0"/>
    <dispBlanksAs val="zero"/>
  </chart>
</chartSpace>
</file>

<file path=xl/charts/chart12.xml><?xml version="1.0" encoding="utf-8"?>
<chartSpace xmlns="http://schemas.openxmlformats.org/drawingml/2006/chart">
  <chart>
    <plotArea>
      <layout>
        <manualLayout>
          <layoutTarget val="inner"/>
          <xMode val="edge"/>
          <yMode val="edge"/>
          <wMode val="factor"/>
          <hMode val="factor"/>
          <x val="0.1213074860207691"/>
          <y val="0.03287551995004748"/>
          <w val="0.6589436401095028"/>
          <h val="0.8591021269700412"/>
        </manualLayout>
      </layout>
      <barChart>
        <barDir val="col"/>
        <grouping val="clustered"/>
        <varyColors val="0"/>
        <ser>
          <idx val="0"/>
          <order val="0"/>
          <tx>
            <strRef>
              <f>'YAĞ RAPORU'!$B$16</f>
              <strCache>
                <ptCount val="1"/>
                <pt idx="0">
                  <v>DENEY 1</v>
                </pt>
              </strCache>
            </strRef>
          </tx>
          <spPr>
            <a:solidFill xmlns:a="http://schemas.openxmlformats.org/drawingml/2006/main">
              <a:srgbClr val="FF4B4B"/>
            </a:solidFill>
            <a:ln xmlns:a="http://schemas.openxmlformats.org/drawingml/2006/main">
              <a:prstDash val="solid"/>
            </a:ln>
          </spPr>
          <invertIfNegative val="0"/>
          <dLbls>
            <dLbl>
              <idx val="0"/>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showLegendKey val="0"/>
            <showVal val="0"/>
            <showCatName val="0"/>
            <showSerName val="0"/>
            <showPercent val="0"/>
            <showBubbleSize val="0"/>
          </dLbls>
          <cat>
            <strLit>
              <ptCount val="1"/>
              <pt idx="0">
                <v>kV</v>
              </pt>
            </strLit>
          </cat>
          <val>
            <numRef>
              <f>'YAĞ RAPORU'!$D$16</f>
              <numCache>
                <formatCode>0.0</formatCode>
                <ptCount val="1"/>
                <pt idx="0">
                  <v>60</v>
                </pt>
              </numCache>
            </numRef>
          </val>
        </ser>
        <ser>
          <idx val="1"/>
          <order val="1"/>
          <tx>
            <strRef>
              <f>'YAĞ RAPORU'!$B$18</f>
              <strCache>
                <ptCount val="1"/>
                <pt idx="0">
                  <v>DENEY 2</v>
                </pt>
              </strCache>
            </strRef>
          </tx>
          <spPr>
            <a:ln xmlns:a="http://schemas.openxmlformats.org/drawingml/2006/main">
              <a:prstDash val="solid"/>
            </a:ln>
          </spPr>
          <invertIfNegative val="0"/>
          <dPt>
            <idx val="0"/>
            <invertIfNegative val="0"/>
            <bubble3D val="0"/>
            <spPr>
              <a:solidFill xmlns:a="http://schemas.openxmlformats.org/drawingml/2006/main">
                <a:schemeClr val="tx2">
                  <a:lumMod val="60000"/>
                  <a:lumOff val="40000"/>
                </a:schemeClr>
              </a:solidFill>
              <a:ln xmlns:a="http://schemas.openxmlformats.org/drawingml/2006/main">
                <a:prstDash val="solid"/>
              </a:ln>
            </spPr>
          </dPt>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RAPORU'!$D$18</f>
              <numCache>
                <formatCode>0.0</formatCode>
                <ptCount val="1"/>
                <pt idx="0">
                  <v>60</v>
                </pt>
              </numCache>
            </numRef>
          </val>
        </ser>
        <ser>
          <idx val="2"/>
          <order val="2"/>
          <tx>
            <strRef>
              <f>'YAĞ RAPORU'!$B$20</f>
              <strCache>
                <ptCount val="1"/>
                <pt idx="0">
                  <v>DENEY 3</v>
                </pt>
              </strCache>
            </strRef>
          </tx>
          <spPr>
            <a:ln xmlns:a="http://schemas.openxmlformats.org/drawingml/2006/main">
              <a:prstDash val="solid"/>
            </a:ln>
          </spPr>
          <invertIfNegative val="0"/>
          <dLbls>
            <numFmt formatCode="0.0\ \k\V"/>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RAPORU'!$D$20</f>
              <numCache>
                <formatCode>0.0</formatCode>
                <ptCount val="1"/>
                <pt idx="0">
                  <v>60</v>
                </pt>
              </numCache>
            </numRef>
          </val>
        </ser>
        <ser>
          <idx val="3"/>
          <order val="3"/>
          <tx>
            <strRef>
              <f>'YAĞ RAPORU'!$B$22</f>
              <strCache>
                <ptCount val="1"/>
                <pt idx="0">
                  <v>DENEY 4</v>
                </pt>
              </strCache>
            </strRef>
          </tx>
          <spPr>
            <a:ln xmlns:a="http://schemas.openxmlformats.org/drawingml/2006/main">
              <a:prstDash val="solid"/>
            </a:ln>
          </spPr>
          <invertIfNegative val="0"/>
          <dPt>
            <idx val="0"/>
            <invertIfNegative val="0"/>
            <bubble3D val="0"/>
            <spPr>
              <a:solidFill xmlns:a="http://schemas.openxmlformats.org/drawingml/2006/main">
                <a:schemeClr val="accent4">
                  <a:lumMod val="60000"/>
                  <a:lumOff val="40000"/>
                </a:schemeClr>
              </a:solidFill>
              <a:ln xmlns:a="http://schemas.openxmlformats.org/drawingml/2006/main">
                <a:prstDash val="solid"/>
              </a:ln>
            </spPr>
          </dPt>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RAPORU'!$D$22</f>
              <numCache>
                <formatCode>0.0</formatCode>
                <ptCount val="1"/>
                <pt idx="0">
                  <v>60</v>
                </pt>
              </numCache>
            </numRef>
          </val>
        </ser>
        <ser>
          <idx val="4"/>
          <order val="4"/>
          <tx>
            <strRef>
              <f>'YAĞ RAPORU'!$B$24</f>
              <strCache>
                <ptCount val="1"/>
                <pt idx="0">
                  <v>DENEY 5</v>
                </pt>
              </strCache>
            </strRef>
          </tx>
          <spPr>
            <a:ln xmlns:a="http://schemas.openxmlformats.org/drawingml/2006/main">
              <a:prstDash val="solid"/>
            </a:ln>
          </spPr>
          <invertIfNegative val="0"/>
          <dLbls>
            <numFmt formatCode="0.0\ \k\V"/>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RAPORU'!$D$24</f>
              <numCache>
                <formatCode>0.0</formatCode>
                <ptCount val="1"/>
                <pt idx="0">
                  <v>60</v>
                </pt>
              </numCache>
            </numRef>
          </val>
        </ser>
        <ser>
          <idx val="5"/>
          <order val="5"/>
          <tx>
            <strRef>
              <f>'YAĞ RAPORU'!$B$26</f>
              <strCache>
                <ptCount val="1"/>
                <pt idx="0">
                  <v>DENEY 6</v>
                </pt>
              </strCache>
            </strRef>
          </tx>
          <spPr>
            <a:ln xmlns:a="http://schemas.openxmlformats.org/drawingml/2006/main">
              <a:prstDash val="solid"/>
            </a:ln>
          </spPr>
          <invertIfNegative val="0"/>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RAPORU'!$D$26</f>
              <numCache>
                <formatCode>0.0</formatCode>
                <ptCount val="1"/>
                <pt idx="0">
                  <v>60</v>
                </pt>
              </numCache>
            </numRef>
          </val>
        </ser>
        <ser>
          <idx val="6"/>
          <order val="6"/>
          <tx>
            <v>LİMİT</v>
          </tx>
          <spPr>
            <a:solidFill xmlns:a="http://schemas.openxmlformats.org/drawingml/2006/main">
              <a:schemeClr val="tx1"/>
            </a:solidFill>
            <a:ln xmlns:a="http://schemas.openxmlformats.org/drawingml/2006/main">
              <a:prstDash val="solid"/>
            </a:ln>
          </spPr>
          <invertIfNegative val="0"/>
          <dLbls>
            <dLbl>
              <idx val="0"/>
              <numFmt formatCode="0.0\ \k\V"/>
              <spPr>
                <a:solidFill xmlns:a="http://schemas.openxmlformats.org/drawingml/2006/main">
                  <a:schemeClr val="bg1"/>
                </a:solidFill>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showLegendKey val="0"/>
              <showVal val="1"/>
              <showCatName val="0"/>
              <showSerName val="0"/>
              <showPercent val="0"/>
              <showBubbleSize val="0"/>
            </dLbl>
            <numFmt formatCode="0\ \k\V"/>
            <spPr>
              <a:solidFill xmlns:a="http://schemas.openxmlformats.org/drawingml/2006/main">
                <a:schemeClr val="bg1"/>
              </a:solidFill>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showLegendKey val="0"/>
            <showVal val="1"/>
            <showCatName val="0"/>
            <showSerName val="0"/>
            <showPercent val="0"/>
            <showBubbleSize val="0"/>
            <showLeaderLines val="0"/>
          </dLbls>
          <val>
            <numRef>
              <f>'YAĞ RAPORU'!$W$20</f>
              <numCache>
                <formatCode>0.0</formatCode>
                <ptCount val="1"/>
                <pt idx="0">
                  <v>30</v>
                </pt>
              </numCache>
            </numRef>
          </val>
        </ser>
        <ser>
          <idx val="7"/>
          <order val="7"/>
          <tx>
            <strRef>
              <f>'YAĞ RAPORU'!$B$28</f>
              <strCache>
                <ptCount val="1"/>
                <pt idx="0">
                  <v>Vort</v>
                </pt>
              </strCache>
            </strRef>
          </tx>
          <spPr>
            <a:ln xmlns:a="http://schemas.openxmlformats.org/drawingml/2006/main">
              <a:prstDash val="solid"/>
            </a:ln>
          </spPr>
          <invertIfNegative val="0"/>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1"/>
              <showPercent val="0"/>
              <showBubbleSize val="0"/>
            </dLbl>
            <numFmt formatCode="0\ \k\V"/>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1"/>
            <showPercent val="0"/>
            <showBubbleSize val="0"/>
            <showLeaderLines val="0"/>
          </dLbls>
          <cat>
            <strLit>
              <ptCount val="1"/>
              <pt idx="0">
                <v>kV</v>
              </pt>
            </strLit>
          </cat>
          <val>
            <numRef>
              <f>'YAĞ RAPORU'!$D$28</f>
              <numCache>
                <formatCode>0.0</formatCode>
                <ptCount val="1"/>
                <pt idx="0">
                  <v>60</v>
                </pt>
              </numCache>
            </numRef>
          </val>
        </ser>
        <dLbls>
          <showLegendKey val="0"/>
          <showVal val="0"/>
          <showCatName val="0"/>
          <showSerName val="0"/>
          <showPercent val="0"/>
          <showBubbleSize val="0"/>
        </dLbls>
        <gapWidth val="150"/>
        <overlap val="-55"/>
        <axId val="637803104"/>
        <axId val="637803648"/>
      </barChart>
      <catAx>
        <axId val="637803104"/>
        <scaling>
          <orientation val="minMax"/>
        </scaling>
        <delete val="0"/>
        <axPos val="b"/>
        <numFmt formatCode="General" sourceLinked="0"/>
        <majorTickMark val="out"/>
        <minorTickMark val="none"/>
        <tickLblPos val="nextTo"/>
        <spPr>
          <a:noFill xmlns:a="http://schemas.openxmlformats.org/drawingml/2006/main"/>
          <a:ln xmlns:a="http://schemas.openxmlformats.org/drawingml/2006/main">
            <a:prstDash val="solid"/>
          </a:ln>
        </spPr>
        <crossAx val="637803648"/>
        <crosses val="autoZero"/>
        <auto val="1"/>
        <lblAlgn val="ctr"/>
        <lblOffset val="100"/>
        <noMultiLvlLbl val="0"/>
      </catAx>
      <valAx>
        <axId val="637803648"/>
        <scaling>
          <orientation val="minMax"/>
          <max val="60"/>
          <min val="0"/>
        </scaling>
        <delete val="0"/>
        <axPos val="l"/>
        <majorGridlines/>
        <numFmt formatCode="0.0" sourceLinked="1"/>
        <majorTickMark val="in"/>
        <minorTickMark val="out"/>
        <tickLblPos val="nextTo"/>
        <crossAx val="637803104"/>
        <crosses val="autoZero"/>
        <crossBetween val="between"/>
      </valAx>
    </plotArea>
    <legend>
      <legendPos val="r"/>
      <layout>
        <manualLayout>
          <xMode val="edge"/>
          <yMode val="edge"/>
          <wMode val="factor"/>
          <hMode val="factor"/>
          <x val="0.7805628780098138"/>
          <y val="0.02826985840582549"/>
          <w val="0.1904516147438092"/>
          <h val="0.9500767993130786"/>
        </manualLayout>
      </layout>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chart" Target="/xl/charts/chart9.xml" Id="rId1"/><Relationship Type="http://schemas.openxmlformats.org/officeDocument/2006/relationships/image" Target="/xl/media/image28.png" Id="rId2"/><Relationship Type="http://schemas.openxmlformats.org/officeDocument/2006/relationships/image" Target="/xl/media/image29.png" Id="rId3"/><Relationship Type="http://schemas.openxmlformats.org/officeDocument/2006/relationships/image" Target="/xl/media/image30.png" Id="rId4"/></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image" Target="/xl/media/image34.png" Id="rId3"/><Relationship Type="http://schemas.openxmlformats.org/officeDocument/2006/relationships/image" Target="/xl/media/image35.png" Id="rId4"/><Relationship Type="http://schemas.openxmlformats.org/officeDocument/2006/relationships/image" Target="/xl/media/image36.png" Id="rId5"/></Relationships>
</file>

<file path=xl/drawings/_rels/drawing12.xml.rels><Relationships xmlns="http://schemas.openxmlformats.org/package/2006/relationships"><Relationship Type="http://schemas.openxmlformats.org/officeDocument/2006/relationships/chart" Target="/xl/charts/chart12.xml" Id="rId1"/><Relationship Type="http://schemas.openxmlformats.org/officeDocument/2006/relationships/image" Target="/xl/media/image37.png" Id="rId2"/><Relationship Type="http://schemas.openxmlformats.org/officeDocument/2006/relationships/image" Target="/xl/media/image38.png" Id="rId3"/><Relationship Type="http://schemas.openxmlformats.org/officeDocument/2006/relationships/image" Target="/xl/media/image39.png" Id="rId4"/></Relationships>
</file>

<file path=xl/drawings/_rels/drawing13.xml.rels><Relationships xmlns="http://schemas.openxmlformats.org/package/2006/relationships"><Relationship Type="http://schemas.openxmlformats.org/officeDocument/2006/relationships/image" Target="/xl/media/image40.png" Id="rId1"/><Relationship Type="http://schemas.openxmlformats.org/officeDocument/2006/relationships/image" Target="/xl/media/image41.png" Id="rId2"/><Relationship Type="http://schemas.openxmlformats.org/officeDocument/2006/relationships/image" Target="/xl/media/image42.png" Id="rId3"/></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9</col>
      <colOff>257175</colOff>
      <row>55</row>
      <rowOff>0</rowOff>
    </from>
    <to>
      <col>12</col>
      <colOff>291782</colOff>
      <row>56</row>
      <rowOff>181582</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705350" y="9505950"/>
          <a:ext cx="1549082" cy="372082"/>
        </a:xfrm>
        <a:prstGeom xmlns:a="http://schemas.openxmlformats.org/drawingml/2006/main" prst="rect">
          <avLst/>
        </a:prstGeom>
        <a:ln xmlns:a="http://schemas.openxmlformats.org/drawingml/2006/main">
          <a:prstDash val="solid"/>
        </a:ln>
      </spPr>
    </pic>
    <clientData/>
  </twoCellAnchor>
  <oneCellAnchor>
    <from>
      <col>6</col>
      <colOff>0</colOff>
      <row>55</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14</col>
      <colOff>66675</colOff>
      <row>79</row>
      <rowOff>28575</rowOff>
    </from>
    <to>
      <col>18</col>
      <colOff>284606</colOff>
      <row>80</row>
      <rowOff>189803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05325" y="9667875"/>
          <a:ext cx="1551431" cy="370778"/>
        </a:xfrm>
        <a:prstGeom xmlns:a="http://schemas.openxmlformats.org/drawingml/2006/main" prst="rect">
          <avLst/>
        </a:prstGeom>
        <a:ln xmlns:a="http://schemas.openxmlformats.org/drawingml/2006/main">
          <a:prstDash val="solid"/>
        </a:ln>
      </spPr>
    </pic>
    <clientData/>
  </twoCellAnchor>
  <oneCellAnchor>
    <from>
      <col>10</col>
      <colOff>0</colOff>
      <row>78</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133350</colOff>
      <row>46</row>
      <rowOff>0</rowOff>
    </from>
    <to>
      <col>16</col>
      <colOff>198881</colOff>
      <row>47</row>
      <rowOff>85028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457700" y="9563100"/>
          <a:ext cx="1551431" cy="370778"/>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205441</colOff>
      <row>46</row>
      <rowOff>18677</rowOff>
    </from>
    <to>
      <col>16</col>
      <colOff>262755</colOff>
      <row>47</row>
      <rowOff>109308</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57059" y="9468971"/>
          <a:ext cx="1551431" cy="370778"/>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3</col>
      <colOff>580465</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154081</colOff>
      <row>50</row>
      <rowOff>246529</rowOff>
    </from>
    <to>
      <col>16</col>
      <colOff>136688</colOff>
      <row>52</row>
      <rowOff>57013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939118" y="10555941"/>
          <a:ext cx="1551431" cy="370778"/>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317500</colOff>
      <row>51</row>
      <rowOff>33421</rowOff>
    </from>
    <to>
      <col>16</col>
      <colOff>264721</colOff>
      <row>52</row>
      <rowOff>120120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29079" y="10160000"/>
          <a:ext cx="1551431" cy="370778"/>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13</col>
      <colOff>56029</colOff>
      <row>47</row>
      <rowOff>246529</rowOff>
    </from>
    <to>
      <col>17</col>
      <colOff>38637</colOff>
      <row>49</row>
      <rowOff>34601</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60794" y="9581029"/>
          <a:ext cx="1551431" cy="370778"/>
        </a:xfrm>
        <a:prstGeom xmlns:a="http://schemas.openxmlformats.org/drawingml/2006/main" prst="rect">
          <avLst/>
        </a:prstGeom>
        <a:ln xmlns:a="http://schemas.openxmlformats.org/drawingml/2006/main">
          <a:prstDash val="solid"/>
        </a:ln>
      </spPr>
    </pic>
    <clientData/>
  </twoCellAnchor>
  <oneCellAnchor>
    <from>
      <col>9</col>
      <colOff>0</colOff>
      <row>47</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13</col>
      <colOff>190500</colOff>
      <row>75</row>
      <rowOff>19050</rowOff>
    </from>
    <to>
      <col>18</col>
      <colOff>75056</colOff>
      <row>77</row>
      <rowOff>46928</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295775" y="9620250"/>
          <a:ext cx="1551431" cy="370778"/>
        </a:xfrm>
        <a:prstGeom xmlns:a="http://schemas.openxmlformats.org/drawingml/2006/main" prst="rect">
          <avLst/>
        </a:prstGeom>
        <a:ln xmlns:a="http://schemas.openxmlformats.org/drawingml/2006/main">
          <a:prstDash val="solid"/>
        </a:ln>
      </spPr>
    </pic>
    <clientData/>
  </twoCellAnchor>
  <oneCellAnchor>
    <from>
      <col>10</col>
      <colOff>0</colOff>
      <row>74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twoCellAnchor>
    <from>
      <col>1</col>
      <colOff>28575</colOff>
      <row>19</row>
      <rowOff>42862</rowOff>
    </from>
    <to>
      <col>16</col>
      <colOff>295275</colOff>
      <row>35</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190500</colOff>
      <row>50</row>
      <rowOff>247650</rowOff>
    </from>
    <to>
      <col>17</col>
      <colOff>27431</colOff>
      <row>52</row>
      <rowOff>46928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410075" y="9525000"/>
          <a:ext cx="1551431" cy="370778"/>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209550</colOff>
      <row>51</row>
      <rowOff>0</rowOff>
    </from>
    <to>
      <col>16</col>
      <colOff>313181</colOff>
      <row>52</row>
      <rowOff>85028</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429125" y="9572625"/>
          <a:ext cx="1551431" cy="370778"/>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124556</colOff>
      <row>48</row>
      <rowOff>249116</rowOff>
    </from>
    <to>
      <col>16</col>
      <colOff>239910</colOff>
      <row>50</row>
      <rowOff>48394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315556" y="9590943"/>
          <a:ext cx="1551431" cy="370778"/>
        </a:xfrm>
        <a:prstGeom xmlns:a="http://schemas.openxmlformats.org/drawingml/2006/main" prst="rect">
          <avLst/>
        </a:prstGeom>
        <a:ln xmlns:a="http://schemas.openxmlformats.org/drawingml/2006/main">
          <a:prstDash val="solid"/>
        </a:ln>
      </spPr>
    </pic>
    <clientData/>
  </twoCellAnchor>
  <oneCellAnchor>
    <from>
      <col>9</col>
      <colOff>0</colOff>
      <row>48</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twoCellAnchor>
    <from>
      <col>7</col>
      <colOff>57150</colOff>
      <row>15</row>
      <rowOff>4762</rowOff>
    </from>
    <to>
      <col>16</col>
      <colOff>342900</colOff>
      <row>28</row>
      <rowOff>9525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13</col>
      <colOff>28575</colOff>
      <row>52</row>
      <rowOff>238125</rowOff>
    </from>
    <to>
      <col>17</col>
      <colOff>65531</colOff>
      <row>54</row>
      <rowOff>37403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62475" y="9439275"/>
          <a:ext cx="1551431" cy="370778"/>
        </a:xfrm>
        <a:prstGeom xmlns:a="http://schemas.openxmlformats.org/drawingml/2006/main" prst="rect">
          <avLst/>
        </a:prstGeom>
        <a:ln xmlns:a="http://schemas.openxmlformats.org/drawingml/2006/main">
          <a:prstDash val="solid"/>
        </a:ln>
      </spPr>
    </pic>
    <clientData/>
  </twoCellAnchor>
  <oneCellAnchor>
    <from>
      <col>9</col>
      <colOff>0</colOff>
      <row>52</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12</col>
      <colOff>352425</colOff>
      <row>53</row>
      <rowOff>9525</rowOff>
    </from>
    <to>
      <col>17</col>
      <colOff>27431</colOff>
      <row>54</row>
      <rowOff>94553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24375" y="9477375"/>
          <a:ext cx="1551431" cy="370778"/>
        </a:xfrm>
        <a:prstGeom xmlns:a="http://schemas.openxmlformats.org/drawingml/2006/main" prst="rect">
          <avLst/>
        </a:prstGeom>
        <a:ln xmlns:a="http://schemas.openxmlformats.org/drawingml/2006/main">
          <a:prstDash val="solid"/>
        </a:ln>
      </spPr>
    </pic>
    <clientData/>
  </twoCellAnchor>
  <oneCellAnchor>
    <from>
      <col>9</col>
      <colOff>0</colOff>
      <row>52</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R64"/>
  <sheetViews>
    <sheetView topLeftCell="A12" zoomScale="77" zoomScaleNormal="77" workbookViewId="0">
      <selection activeCell="A31" sqref="A31:M33"/>
    </sheetView>
  </sheetViews>
  <sheetFormatPr baseColWidth="8" defaultColWidth="9.109375" defaultRowHeight="14.4"/>
  <cols>
    <col width="3.109375" customWidth="1" style="718" min="1" max="1"/>
    <col width="13.33203125" customWidth="1" style="718" min="2" max="2"/>
    <col width="1.44140625" customWidth="1" style="718" min="3" max="3"/>
    <col width="14" bestFit="1" customWidth="1" style="718" min="4" max="4"/>
    <col width="8.5546875" customWidth="1" style="718" min="5" max="8"/>
    <col width="4.44140625" customWidth="1" style="718" min="9" max="10"/>
    <col width="9.109375" customWidth="1" style="718" min="11" max="16384"/>
  </cols>
  <sheetData>
    <row r="1" ht="15" customHeight="1" s="718">
      <c r="A1" s="469" t="n"/>
      <c r="E1" s="752" t="inlineStr">
        <is>
          <t xml:space="preserve">B.T.S. ELEKTRİK TRAFO BAKIM </t>
        </is>
      </c>
      <c r="K1" s="368" t="n"/>
    </row>
    <row r="2" ht="15" customHeight="1" s="718">
      <c r="K2" s="368" t="n"/>
      <c r="L2" s="356" t="n"/>
      <c r="M2" s="356" t="n"/>
    </row>
    <row r="3" ht="15" customHeight="1" s="718">
      <c r="E3" s="397" t="inlineStr">
        <is>
          <t>MÜH. İNŞ. MAK. LAB. SAN. VE TİC. LTD. ŞTİ.</t>
        </is>
      </c>
      <c r="K3" s="369" t="n"/>
      <c r="L3" s="356" t="n"/>
      <c r="M3" s="356" t="n"/>
    </row>
    <row r="4" ht="15" customHeight="1" s="718">
      <c r="K4" s="369" t="n"/>
      <c r="L4" s="357" t="n"/>
      <c r="M4" s="357" t="n"/>
    </row>
    <row r="5" ht="1.5" customHeight="1" s="718">
      <c r="A5" s="398" t="n"/>
    </row>
    <row r="6" ht="7.5" customHeight="1" s="718"/>
    <row r="7" ht="18" customHeight="1" s="718">
      <c r="A7" s="407" t="inlineStr">
        <is>
          <t>TRAFO BAKIM RAPORU</t>
        </is>
      </c>
    </row>
    <row r="8" ht="9" customHeight="1" s="718"/>
    <row r="9">
      <c r="A9" s="700" t="inlineStr">
        <is>
          <t xml:space="preserve">Müşterinin Adı      </t>
        </is>
      </c>
      <c r="C9" s="700" t="n"/>
      <c r="D9" s="700" t="inlineStr">
        <is>
          <t>Test Musteri AS</t>
        </is>
      </c>
    </row>
    <row r="10" s="718">
      <c r="A10" s="700" t="inlineStr">
        <is>
          <t>Trafo Etiketi</t>
        </is>
      </c>
      <c r="C10" s="700" t="n"/>
      <c r="D10" s="700" t="inlineStr">
        <is>
          <t>TRAFO-1</t>
        </is>
      </c>
    </row>
    <row r="11">
      <c r="A11" s="700" t="inlineStr">
        <is>
          <t xml:space="preserve">ADRESİ                     </t>
        </is>
      </c>
      <c r="C11" s="700" t="n"/>
      <c r="D11" s="700" t="inlineStr">
        <is>
          <t>Bursa OSB Test Cad. No:1</t>
        </is>
      </c>
    </row>
    <row r="12">
      <c r="A12" s="700" t="inlineStr">
        <is>
          <t>RAPOR TARİHİ</t>
        </is>
      </c>
      <c r="C12" s="700" t="n"/>
      <c r="D12" s="808" t="n">
        <v>46237</v>
      </c>
    </row>
    <row r="13">
      <c r="A13" s="700" t="inlineStr">
        <is>
          <t>REFERANS</t>
        </is>
      </c>
      <c r="C13" s="700" t="n"/>
      <c r="D13" s="700" t="inlineStr">
        <is>
          <t>International Electrical Testing Association</t>
        </is>
      </c>
    </row>
    <row r="14">
      <c r="A14" s="700" t="inlineStr">
        <is>
          <t>RAPOR KONUSU</t>
        </is>
      </c>
      <c r="C14" s="700" t="n"/>
      <c r="D14" s="809" t="n">
        <v>46237</v>
      </c>
      <c r="E14" s="700" t="inlineStr">
        <is>
          <t xml:space="preserve">Tarihinde yapılan Trafo Bakım raporu. </t>
        </is>
      </c>
    </row>
    <row r="15" ht="9" customHeight="1" s="718"/>
    <row r="16">
      <c r="B16" s="356" t="inlineStr">
        <is>
          <t>TRAFO BAKIMI VE KONTROLLERİ</t>
        </is>
      </c>
      <c r="C16" s="356" t="n"/>
      <c r="O16" s="391" t="inlineStr">
        <is>
          <t>TRAFO BAKIMINDA SORUN YOKSA OK SEÇENEĞİ İLE BU YAZILAR ÇIKSIN</t>
        </is>
      </c>
    </row>
    <row r="17" ht="9" customHeight="1" s="718"/>
    <row r="18" s="718">
      <c r="A18" s="324" t="inlineStr">
        <is>
          <t>-</t>
        </is>
      </c>
      <c r="B18" s="326" t="inlineStr">
        <is>
          <t>Trafonun D.C. İzolasyon test değerleri uygun bulunmuştur.</t>
        </is>
      </c>
      <c r="C18" s="326" t="n"/>
      <c r="D18" s="325" t="n"/>
      <c r="E18" s="325" t="n"/>
      <c r="F18" s="325" t="n"/>
      <c r="G18" s="325" t="n"/>
      <c r="H18" s="325" t="n"/>
      <c r="I18" s="325" t="n"/>
      <c r="J18" s="325" t="n"/>
      <c r="K18" s="325" t="n"/>
      <c r="L18" s="325" t="n"/>
      <c r="M18" s="325" t="n"/>
    </row>
    <row r="19" ht="9" customHeight="1" s="718">
      <c r="A19" s="324" t="n"/>
      <c r="B19" s="326" t="n"/>
      <c r="C19" s="326" t="n"/>
      <c r="D19" s="325" t="n"/>
      <c r="E19" s="325" t="n"/>
      <c r="F19" s="325" t="n"/>
      <c r="G19" s="325" t="n"/>
      <c r="H19" s="325" t="n"/>
      <c r="I19" s="325" t="n"/>
      <c r="J19" s="325" t="n"/>
      <c r="K19" s="325" t="n"/>
      <c r="L19" s="325" t="n"/>
      <c r="M19" s="325" t="n"/>
    </row>
    <row r="20" s="718">
      <c r="A20" s="324" t="inlineStr">
        <is>
          <t>-</t>
        </is>
      </c>
      <c r="B20" s="408" t="inlineStr">
        <is>
          <t>Trafoda yapılan çevirme oranı (TTR) test sonuçları uygun bulmuştur, buna bağlı olarak kademe değiştirici ile sargılar arasındaki bağlantılarda herhangi bir sorun olmadığı gözlemlenmiştir.</t>
        </is>
      </c>
    </row>
    <row r="21" s="718">
      <c r="A21" s="314" t="n"/>
    </row>
    <row r="22" ht="9" customHeight="1" s="718">
      <c r="A22" s="314" t="n"/>
      <c r="B22" s="408" t="n"/>
      <c r="C22" s="408" t="n"/>
      <c r="D22" s="408" t="n"/>
      <c r="E22" s="408" t="n"/>
      <c r="F22" s="408" t="n"/>
      <c r="G22" s="408" t="n"/>
      <c r="H22" s="408" t="n"/>
      <c r="I22" s="408" t="n"/>
      <c r="J22" s="408" t="n"/>
      <c r="K22" s="408" t="n"/>
      <c r="L22" s="408" t="n"/>
      <c r="M22" s="408" t="n"/>
    </row>
    <row r="23" s="718">
      <c r="A23" t="inlineStr">
        <is>
          <t>-</t>
        </is>
      </c>
      <c r="B23" s="409"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718"/>
    <row r="25" s="718">
      <c r="A25" s="314" t="n"/>
    </row>
    <row r="26" ht="9" customHeight="1" s="718">
      <c r="A26" s="314" t="n"/>
      <c r="B26" s="409" t="n"/>
      <c r="C26" s="409" t="n"/>
      <c r="D26" s="409" t="n"/>
      <c r="E26" s="409" t="n"/>
      <c r="F26" s="409" t="n"/>
      <c r="G26" s="409" t="n"/>
      <c r="H26" s="409" t="n"/>
      <c r="I26" s="409" t="n"/>
      <c r="J26" s="409" t="n"/>
      <c r="K26" s="409" t="n"/>
      <c r="L26" s="409" t="n"/>
      <c r="M26" s="409" t="n"/>
    </row>
    <row r="27" s="718">
      <c r="A27" t="inlineStr">
        <is>
          <t>-</t>
        </is>
      </c>
      <c r="B27" s="326" t="inlineStr">
        <is>
          <t>Görsel olarak yapılan kontrollerde herhangi bir soruna rastlanmamıştır.</t>
        </is>
      </c>
      <c r="C27" s="326" t="n"/>
      <c r="D27" s="325" t="n"/>
      <c r="E27" s="325" t="n"/>
      <c r="F27" s="325" t="n"/>
      <c r="G27" s="325" t="n"/>
      <c r="H27" s="325" t="n"/>
      <c r="I27" s="325" t="n"/>
      <c r="J27" s="325" t="n"/>
      <c r="K27" s="325" t="n"/>
      <c r="L27" s="325" t="n"/>
      <c r="M27" s="325" t="n"/>
    </row>
    <row r="28" ht="9" customHeight="1" s="718">
      <c r="A28" s="314" t="n"/>
      <c r="B28" s="408" t="n"/>
      <c r="C28" s="408" t="n"/>
      <c r="D28" s="408" t="n"/>
      <c r="E28" s="408" t="n"/>
      <c r="F28" s="408" t="n"/>
      <c r="G28" s="408" t="n"/>
      <c r="H28" s="408" t="n"/>
      <c r="I28" s="408" t="n"/>
      <c r="J28" s="408" t="n"/>
      <c r="K28" s="408" t="n"/>
      <c r="L28" s="408" t="n"/>
    </row>
    <row r="29" s="718">
      <c r="A29" s="412" t="inlineStr">
        <is>
          <t>SONUÇ</t>
        </is>
      </c>
      <c r="C29" s="412" t="n"/>
      <c r="D29" s="330" t="n"/>
      <c r="E29" s="330" t="n"/>
      <c r="F29" s="330" t="n"/>
      <c r="G29" s="330" t="n"/>
      <c r="H29" s="330" t="n"/>
      <c r="I29" s="330" t="n"/>
      <c r="J29" s="330" t="n"/>
      <c r="K29" s="330" t="n"/>
      <c r="L29" s="330" t="n"/>
      <c r="M29" s="330" t="n"/>
    </row>
    <row r="30" ht="9" customHeight="1" s="718"/>
    <row r="31" ht="15" customHeight="1" s="718">
      <c r="A31" s="408" t="inlineStr">
        <is>
          <t>Kontroller yapildiktan sonra trafoya enerji verildi. Olcumler UYGUN.</t>
        </is>
      </c>
    </row>
    <row r="32" s="718"/>
    <row r="33"/>
    <row r="34" ht="11.25" customHeight="1" s="718">
      <c r="B34" s="469" t="inlineStr">
        <is>
          <t>ÖNCESİ</t>
        </is>
      </c>
      <c r="G34" s="469" t="inlineStr">
        <is>
          <t>SONRASI</t>
        </is>
      </c>
    </row>
    <row r="35"/>
    <row r="36">
      <c r="N36" s="391" t="inlineStr">
        <is>
          <t>BAKIMDA 3 TANE FOTOGRAF : ÖNCESİ, SONRASI, ETİKET</t>
        </is>
      </c>
      <c r="O36" s="391" t="n"/>
      <c r="P36" s="391" t="n"/>
      <c r="Q36" s="391" t="n"/>
      <c r="R36" s="391" t="n"/>
    </row>
    <row r="37">
      <c r="N37" s="391" t="n"/>
      <c r="O37" s="391" t="n"/>
      <c r="P37" s="391" t="n"/>
      <c r="Q37" s="391" t="n"/>
      <c r="R37" s="391" t="n"/>
    </row>
    <row r="38">
      <c r="N38" s="391" t="inlineStr">
        <is>
          <t>TEST YAPILIRSA SADECE ETİKET FOTOGRAFI</t>
        </is>
      </c>
      <c r="O38" s="391" t="n"/>
      <c r="P38" s="391" t="n"/>
      <c r="Q38" s="391" t="n"/>
      <c r="R38" s="391" t="n"/>
    </row>
    <row r="39"/>
    <row r="40"/>
    <row r="41"/>
    <row r="42" s="718"/>
    <row r="43" s="718"/>
    <row r="44" s="718"/>
    <row r="45"/>
    <row r="46" s="718">
      <c r="E46" s="469" t="n"/>
    </row>
    <row r="47"/>
    <row r="48"/>
    <row r="49"/>
    <row r="50" ht="7.5" customHeight="1" s="718"/>
    <row r="51"/>
    <row r="52"/>
    <row r="53"/>
    <row r="54">
      <c r="A54" s="410" t="inlineStr">
        <is>
          <t xml:space="preserve">Test Tarihi                </t>
        </is>
      </c>
      <c r="B54" s="70" t="n"/>
      <c r="C54" s="411" t="inlineStr">
        <is>
          <t>:</t>
        </is>
      </c>
      <c r="D54" s="416">
        <f>D14</f>
        <v/>
      </c>
      <c r="E54" s="70" t="n"/>
      <c r="F54" s="359" t="n"/>
      <c r="G54" s="413" t="inlineStr">
        <is>
          <t>ONAYLAYAN</t>
        </is>
      </c>
      <c r="H54" s="130" t="n"/>
      <c r="I54" s="130" t="n"/>
      <c r="J54" s="130" t="n"/>
      <c r="K54" s="130" t="n"/>
      <c r="L54" s="130" t="n"/>
      <c r="M54" s="242" t="n"/>
    </row>
    <row r="55">
      <c r="A55" s="400" t="inlineStr">
        <is>
          <t xml:space="preserve">Rapor Tarihi           </t>
        </is>
      </c>
      <c r="C55" s="401" t="inlineStr">
        <is>
          <t>:</t>
        </is>
      </c>
      <c r="D55" s="418">
        <f>D12</f>
        <v/>
      </c>
      <c r="F55" s="360" t="n"/>
      <c r="G55" s="414" t="inlineStr">
        <is>
          <t>Ahmet YILMAZ</t>
        </is>
      </c>
      <c r="H55" s="70" t="n"/>
      <c r="I55" s="70" t="n"/>
      <c r="J55" s="70" t="n"/>
      <c r="K55" s="70" t="n"/>
      <c r="L55" s="70" t="n"/>
      <c r="M55" s="359" t="n"/>
    </row>
    <row r="56">
      <c r="A56" s="400" t="inlineStr">
        <is>
          <t>Unvan</t>
        </is>
      </c>
      <c r="C56" s="401" t="inlineStr">
        <is>
          <t>:</t>
        </is>
      </c>
      <c r="D56" s="701" t="inlineStr">
        <is>
          <t>Elektrik Mühendisi</t>
        </is>
      </c>
      <c r="F56" s="360" t="n"/>
      <c r="G56" s="85" t="n"/>
      <c r="M56" s="360" t="n"/>
    </row>
    <row r="57">
      <c r="A57" s="400" t="inlineStr">
        <is>
          <t>Sicil No</t>
        </is>
      </c>
      <c r="C57" s="401" t="inlineStr">
        <is>
          <t>:</t>
        </is>
      </c>
      <c r="D57" s="701" t="n">
        <v>12345</v>
      </c>
      <c r="F57" s="360" t="n"/>
      <c r="G57" s="85" t="n"/>
      <c r="M57" s="360" t="n"/>
    </row>
    <row r="58">
      <c r="A58" s="402" t="inlineStr">
        <is>
          <t>Ekipnet No</t>
        </is>
      </c>
      <c r="B58" s="139" t="n"/>
      <c r="C58" s="403" t="inlineStr">
        <is>
          <t>:</t>
        </is>
      </c>
      <c r="D58" s="774" t="inlineStr">
        <is>
          <t>K202439698</t>
        </is>
      </c>
      <c r="E58" s="139" t="n"/>
      <c r="F58" s="361" t="n"/>
      <c r="G58" s="62" t="n"/>
      <c r="H58" s="139" t="n"/>
      <c r="I58" s="139" t="n"/>
      <c r="J58" s="139" t="n"/>
      <c r="K58" s="139" t="n"/>
      <c r="L58" s="139" t="n"/>
      <c r="M58" s="361" t="n"/>
    </row>
    <row r="59" ht="3.75" customHeight="1" s="718"/>
    <row r="60" ht="11.25" customHeight="1" s="718">
      <c r="A60" s="399" t="inlineStr">
        <is>
          <t>Bu belge 5070 sayılı elektronik imza kanununa göre güvenli elektronik imza ile imzalanmıştır.</t>
        </is>
      </c>
      <c r="N60" s="371" t="n"/>
    </row>
    <row r="61" ht="1.5" customHeight="1" s="718">
      <c r="A61" s="398" t="n"/>
    </row>
    <row r="62" ht="11.25" customHeight="1" s="718">
      <c r="A62" s="406" t="inlineStr">
        <is>
          <t>Üçevler Mahallesi Ak-Va Sanayi Sitesi 80. Sokak No:2/P Nilüfer-BURSA</t>
        </is>
      </c>
      <c r="N62" s="373" t="n"/>
    </row>
    <row r="63" ht="11.25" customHeight="1" s="718">
      <c r="A63" s="406" t="inlineStr">
        <is>
          <t>Telefon : 444 0 287 - 0224 441 94 33                  Mail:     www.btselektrik.com.tr</t>
        </is>
      </c>
      <c r="N63" s="373" t="n"/>
    </row>
    <row r="64" ht="11.25" customHeight="1" s="718">
      <c r="A64" s="406" t="inlineStr">
        <is>
          <t>Gsm      : 0532 206 58 32 - 0538 035 35 94</t>
        </is>
      </c>
      <c r="N64" s="373" t="n"/>
    </row>
  </sheetData>
  <mergeCells count="39">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D55:F55"/>
    <mergeCell ref="A55:B55"/>
    <mergeCell ref="A12:B12"/>
    <mergeCell ref="A31:M33"/>
    <mergeCell ref="A60:M60"/>
    <mergeCell ref="E1:J2"/>
    <mergeCell ref="G34:K34"/>
    <mergeCell ref="E46:F46"/>
    <mergeCell ref="A57:B57"/>
    <mergeCell ref="A61:M61"/>
    <mergeCell ref="D54:F54"/>
    <mergeCell ref="G55:M58"/>
    <mergeCell ref="A14:B14"/>
    <mergeCell ref="A7:M7"/>
    <mergeCell ref="D11:M11"/>
    <mergeCell ref="A29:B29"/>
    <mergeCell ref="A10:B10"/>
    <mergeCell ref="E14:M14"/>
    <mergeCell ref="A13:B13"/>
    <mergeCell ref="B34:E34"/>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abSelected="1" topLeftCell="B22" zoomScale="72" zoomScaleNormal="91" workbookViewId="0">
      <selection activeCell="Q57" sqref="Q57:S57"/>
    </sheetView>
  </sheetViews>
  <sheetFormatPr baseColWidth="8" defaultRowHeight="14.4"/>
  <cols>
    <col width="1.5546875" customWidth="1" style="718" min="1" max="1"/>
    <col width="5" customWidth="1" style="718" min="2" max="19"/>
    <col width="14" customWidth="1" style="718" min="4" max="4"/>
    <col width="1.5546875" customWidth="1" style="718" min="20" max="20"/>
    <col width="5" customWidth="1" style="718" min="22" max="49"/>
  </cols>
  <sheetData>
    <row r="1" ht="5.25" customHeight="1" s="718">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718">
      <c r="A2" s="10" t="n"/>
      <c r="B2" s="240" t="n"/>
      <c r="C2" s="70" t="n"/>
      <c r="D2" s="70" t="n"/>
      <c r="E2" s="70" t="n"/>
      <c r="F2" s="70" t="n"/>
      <c r="G2" s="359" t="n"/>
      <c r="H2" s="458" t="inlineStr">
        <is>
          <t xml:space="preserve">  ŞALT SAHASI        </t>
        </is>
      </c>
      <c r="I2" s="70" t="n"/>
      <c r="J2" s="70" t="n"/>
      <c r="K2" s="457">
        <f>'KAPAK SAYFASI'!D9</f>
        <v/>
      </c>
      <c r="L2" s="70" t="n"/>
      <c r="M2" s="70" t="n"/>
      <c r="N2" s="70" t="n"/>
      <c r="O2" s="70" t="n"/>
      <c r="P2" s="70" t="n"/>
      <c r="Q2" s="70" t="n"/>
      <c r="R2" s="70" t="n"/>
      <c r="S2" s="359" t="n"/>
      <c r="T2" s="11" t="n"/>
    </row>
    <row r="3" ht="22.5" customHeight="1" s="718">
      <c r="A3" s="10" t="n"/>
      <c r="B3" s="85" t="n"/>
      <c r="G3" s="360" t="n"/>
      <c r="H3" s="85" t="n"/>
      <c r="S3" s="360" t="n"/>
      <c r="T3" s="11" t="n"/>
    </row>
    <row r="4" ht="3" customHeight="1" s="718">
      <c r="A4" s="10" t="n"/>
      <c r="B4" s="85" t="n"/>
      <c r="G4" s="360" t="n"/>
      <c r="H4" s="305" t="n"/>
      <c r="I4" s="306" t="n"/>
      <c r="J4" s="306" t="n"/>
      <c r="K4" s="306" t="n"/>
      <c r="L4" s="306" t="n"/>
      <c r="M4" s="306" t="n"/>
      <c r="N4" s="306" t="n"/>
      <c r="O4" s="306" t="n"/>
      <c r="P4" s="306" t="n"/>
      <c r="Q4" s="306" t="n"/>
      <c r="R4" s="306" t="n"/>
      <c r="S4" s="307" t="n"/>
      <c r="T4" s="11" t="n"/>
    </row>
    <row r="5" ht="15" customHeight="1" s="718">
      <c r="A5" s="10" t="n"/>
      <c r="B5" s="85" t="n"/>
      <c r="G5" s="360" t="n"/>
      <c r="H5" s="452" t="inlineStr">
        <is>
          <t>TRAFO ETİKETİ</t>
        </is>
      </c>
      <c r="K5" s="455">
        <f>'KAPAK SAYFASI'!D10</f>
        <v/>
      </c>
      <c r="S5" s="360" t="n"/>
      <c r="T5" s="11" t="n"/>
    </row>
    <row r="6" ht="22.5" customHeight="1" s="718">
      <c r="A6" s="10" t="n"/>
      <c r="B6" s="810" t="inlineStr">
        <is>
          <t>Üçevler Mh.  AK-VA Sanayi Sitesi  80. Sk.  No:2/P  Nilüfer  /  BURSA  /  TÜRKİYE</t>
        </is>
      </c>
      <c r="G6" s="360" t="n"/>
      <c r="H6" s="85" t="n"/>
      <c r="S6" s="360" t="n"/>
      <c r="T6" s="11" t="n"/>
    </row>
    <row r="7" ht="3" customHeight="1" s="718">
      <c r="A7" s="10" t="n"/>
      <c r="B7" s="62" t="n"/>
      <c r="C7" s="139" t="n"/>
      <c r="D7" s="139" t="n"/>
      <c r="E7" s="139" t="n"/>
      <c r="F7" s="139" t="n"/>
      <c r="G7" s="90" t="n"/>
      <c r="H7" s="160" t="n"/>
      <c r="I7" s="64" t="n"/>
      <c r="J7" s="64" t="n"/>
      <c r="K7" s="64" t="n"/>
      <c r="L7" s="64" t="n"/>
      <c r="M7" s="64" t="n"/>
      <c r="N7" s="64" t="n"/>
      <c r="O7" s="64" t="n"/>
      <c r="P7" s="64" t="n"/>
      <c r="Q7" s="64" t="n"/>
      <c r="R7" s="64" t="n"/>
      <c r="S7" s="90" t="n"/>
      <c r="T7" s="11" t="n"/>
    </row>
    <row r="8" ht="3" customHeight="1" s="718">
      <c r="A8" s="10" t="n"/>
      <c r="B8" s="3" t="n"/>
      <c r="C8" s="272" t="n"/>
      <c r="D8" s="272" t="n"/>
      <c r="E8" s="272" t="n"/>
      <c r="F8" s="272" t="n"/>
      <c r="G8" s="48" t="n"/>
      <c r="H8" s="48" t="n"/>
      <c r="I8" s="272" t="n"/>
      <c r="J8" s="272" t="n"/>
      <c r="K8" s="48" t="n"/>
      <c r="L8" s="272" t="n"/>
      <c r="M8" s="272" t="n"/>
      <c r="N8" s="272" t="n"/>
      <c r="O8" s="272" t="n"/>
      <c r="P8" s="272" t="n"/>
      <c r="Q8" s="272" t="n"/>
      <c r="R8" s="272" t="n"/>
      <c r="S8" s="202" t="n"/>
      <c r="T8" s="11" t="n"/>
    </row>
    <row r="9" ht="15.75" customHeight="1" s="718">
      <c r="A9" s="10" t="n"/>
      <c r="B9" s="811" t="inlineStr">
        <is>
          <t xml:space="preserve">TRAFO BİLGİLERİ </t>
        </is>
      </c>
      <c r="C9" s="130" t="n"/>
      <c r="D9" s="130" t="n"/>
      <c r="E9" s="130" t="n"/>
      <c r="F9" s="130" t="n"/>
      <c r="G9" s="130" t="n"/>
      <c r="H9" s="130" t="n"/>
      <c r="I9" s="130" t="n"/>
      <c r="J9" s="130" t="n"/>
      <c r="K9" s="130" t="n"/>
      <c r="L9" s="130" t="n"/>
      <c r="M9" s="130" t="n"/>
      <c r="N9" s="130" t="n"/>
      <c r="O9" s="130" t="n"/>
      <c r="P9" s="130" t="n"/>
      <c r="Q9" s="130" t="n"/>
      <c r="R9" s="130" t="n"/>
      <c r="S9" s="242" t="n"/>
      <c r="T9" s="11" t="n"/>
      <c r="Y9" s="129" t="n"/>
    </row>
    <row r="10" ht="3" customHeight="1" s="718">
      <c r="A10" s="10" t="n"/>
      <c r="B10" s="44" t="n"/>
      <c r="C10" s="45" t="n"/>
      <c r="D10" s="45" t="n"/>
      <c r="E10" s="45" t="n"/>
      <c r="F10" s="45" t="n"/>
      <c r="G10" s="45" t="n"/>
      <c r="H10" s="45" t="n"/>
      <c r="I10" s="45" t="n"/>
      <c r="J10" s="45" t="n"/>
      <c r="K10" s="499" t="n"/>
      <c r="L10" s="499" t="n"/>
      <c r="M10" s="723" t="n"/>
      <c r="N10" s="45" t="n"/>
      <c r="O10" s="45" t="n"/>
      <c r="P10" s="45" t="n"/>
      <c r="Q10" s="45" t="n"/>
      <c r="R10" s="45" t="n"/>
      <c r="S10" s="46" t="n"/>
      <c r="T10" s="11" t="n"/>
    </row>
    <row r="11">
      <c r="A11" s="10" t="n"/>
      <c r="B11" s="449" t="inlineStr">
        <is>
          <t>Trafo Markası</t>
        </is>
      </c>
      <c r="F11" s="118" t="inlineStr">
        <is>
          <t>:</t>
        </is>
      </c>
      <c r="G11" s="451" t="inlineStr">
        <is>
          <t>BEST</t>
        </is>
      </c>
      <c r="H11" s="812" t="n"/>
      <c r="I11" s="812" t="n"/>
      <c r="J11" s="812" t="n"/>
      <c r="K11" s="450" t="inlineStr">
        <is>
          <t>Kademe Bilgisi</t>
        </is>
      </c>
      <c r="N11" s="122" t="inlineStr">
        <is>
          <t xml:space="preserve">: </t>
        </is>
      </c>
      <c r="O11" s="392" t="n">
        <v>6</v>
      </c>
      <c r="P11" s="123" t="inlineStr">
        <is>
          <t>/</t>
        </is>
      </c>
      <c r="Q11" s="392" t="n">
        <v>4</v>
      </c>
      <c r="R11" s="123" t="inlineStr">
        <is>
          <t>/</t>
        </is>
      </c>
      <c r="S11" s="393" t="n">
        <v>3</v>
      </c>
      <c r="T11" s="11" t="n"/>
    </row>
    <row r="12" ht="3" customHeight="1" s="718">
      <c r="A12" s="10" t="n"/>
      <c r="B12" s="449" t="n"/>
      <c r="C12" s="450" t="n"/>
      <c r="D12" s="450" t="n"/>
      <c r="E12" s="450" t="n"/>
      <c r="F12" s="93" t="n"/>
      <c r="G12" s="383" t="n"/>
      <c r="H12" s="383" t="n"/>
      <c r="I12" s="383" t="n"/>
      <c r="J12" s="383" t="n"/>
      <c r="K12" s="430" t="n"/>
      <c r="L12" s="430" t="n"/>
      <c r="M12" s="775" t="n"/>
      <c r="N12" s="272" t="n"/>
      <c r="O12" s="272" t="n"/>
      <c r="P12" s="272" t="n"/>
      <c r="Q12" s="272" t="n"/>
      <c r="R12" s="272" t="n"/>
      <c r="S12" s="202" t="n"/>
      <c r="T12" s="11" t="n"/>
    </row>
    <row r="13">
      <c r="A13" s="10" t="n"/>
      <c r="B13" s="400" t="inlineStr">
        <is>
          <t>Trafo Gücü (kVA)</t>
        </is>
      </c>
      <c r="F13" s="118" t="inlineStr">
        <is>
          <t>:</t>
        </is>
      </c>
      <c r="G13" s="451" t="n">
        <v>2000</v>
      </c>
      <c r="H13" s="812" t="n"/>
      <c r="I13" s="812" t="n"/>
      <c r="J13" s="812" t="n"/>
      <c r="K13" s="430" t="inlineStr">
        <is>
          <t>İmal Yılı</t>
        </is>
      </c>
      <c r="N13" s="118" t="inlineStr">
        <is>
          <t>:</t>
        </is>
      </c>
      <c r="O13" s="465" t="n">
        <v>2015</v>
      </c>
      <c r="P13" s="812" t="n"/>
      <c r="Q13" s="812" t="n"/>
      <c r="R13" s="812" t="n"/>
      <c r="S13" s="813" t="n"/>
      <c r="T13" s="11" t="n"/>
    </row>
    <row r="14" ht="3" customHeight="1" s="718">
      <c r="A14" s="10" t="n"/>
      <c r="B14" s="449" t="n"/>
      <c r="C14" s="450" t="n"/>
      <c r="D14" s="450" t="n"/>
      <c r="E14" s="450" t="n"/>
      <c r="F14" s="93" t="n"/>
      <c r="G14" s="383" t="n"/>
      <c r="H14" s="383" t="n"/>
      <c r="I14" s="383" t="n"/>
      <c r="J14" s="383" t="n"/>
      <c r="K14" s="430" t="n"/>
      <c r="L14" s="430" t="n"/>
      <c r="M14" s="775" t="n"/>
      <c r="N14" s="272" t="n"/>
      <c r="O14" s="383" t="n"/>
      <c r="P14" s="383" t="n"/>
      <c r="Q14" s="383" t="n"/>
      <c r="R14" s="383" t="n"/>
      <c r="S14" s="394" t="n"/>
      <c r="T14" s="11" t="n"/>
    </row>
    <row r="15">
      <c r="A15" s="10" t="n"/>
      <c r="B15" s="449" t="inlineStr">
        <is>
          <t>Gerilim Seviyesi (V)</t>
        </is>
      </c>
      <c r="F15" s="118" t="inlineStr">
        <is>
          <t xml:space="preserve">:  </t>
        </is>
      </c>
      <c r="G15" s="471" t="inlineStr">
        <is>
          <t>34500/400</t>
        </is>
      </c>
      <c r="H15" s="812" t="n"/>
      <c r="I15" s="812" t="n"/>
      <c r="J15" s="812" t="n"/>
      <c r="K15" s="430" t="inlineStr">
        <is>
          <t>Seri Numarası</t>
        </is>
      </c>
      <c r="N15" s="118" t="inlineStr">
        <is>
          <t>:</t>
        </is>
      </c>
      <c r="O15" s="465" t="inlineStr">
        <is>
          <t>SN-TEST-001</t>
        </is>
      </c>
      <c r="P15" s="812" t="n"/>
      <c r="Q15" s="812" t="n"/>
      <c r="R15" s="812" t="n"/>
      <c r="S15" s="813" t="n"/>
      <c r="T15" s="11" t="n"/>
    </row>
    <row r="16" ht="3" customHeight="1" s="718">
      <c r="A16" s="10" t="n"/>
      <c r="B16" s="449" t="n"/>
      <c r="C16" s="450" t="n"/>
      <c r="D16" s="450" t="n"/>
      <c r="E16" s="450" t="n"/>
      <c r="F16" s="93" t="n"/>
      <c r="G16" s="383" t="n"/>
      <c r="H16" s="383" t="n"/>
      <c r="I16" s="383" t="n"/>
      <c r="J16" s="383" t="n"/>
      <c r="K16" s="430" t="n"/>
      <c r="L16" s="430" t="n"/>
      <c r="M16" s="775" t="n"/>
      <c r="N16" s="272" t="n"/>
      <c r="O16" s="383" t="n"/>
      <c r="P16" s="383" t="n"/>
      <c r="Q16" s="383" t="n"/>
      <c r="R16" s="383" t="n"/>
      <c r="S16" s="394" t="n"/>
      <c r="T16" s="11" t="n"/>
    </row>
    <row r="17" ht="15" customHeight="1" s="718">
      <c r="A17" s="10" t="n"/>
      <c r="B17" s="429" t="inlineStr">
        <is>
          <t>Yağ Markası</t>
        </is>
      </c>
      <c r="F17" s="118" t="inlineStr">
        <is>
          <t xml:space="preserve">:  </t>
        </is>
      </c>
      <c r="G17" s="451" t="inlineStr">
        <is>
          <t>NYNAS</t>
        </is>
      </c>
      <c r="H17" s="812" t="n"/>
      <c r="I17" s="812" t="n"/>
      <c r="J17" s="812" t="n"/>
      <c r="K17" s="430" t="inlineStr">
        <is>
          <t>Yağ Ağırlığı (kg)</t>
        </is>
      </c>
      <c r="N17" s="118" t="inlineStr">
        <is>
          <t>:</t>
        </is>
      </c>
      <c r="O17" s="467" t="n">
        <v>875</v>
      </c>
      <c r="P17" s="812" t="n"/>
      <c r="Q17" s="812" t="n"/>
      <c r="R17" s="812" t="n"/>
      <c r="S17" s="813" t="n"/>
      <c r="T17" s="11" t="n"/>
    </row>
    <row r="18" ht="3" customHeight="1" s="718">
      <c r="A18" s="10" t="n"/>
      <c r="B18" s="449" t="n"/>
      <c r="C18" s="450" t="n"/>
      <c r="D18" s="450" t="n"/>
      <c r="E18" s="450" t="n"/>
      <c r="F18" s="93" t="n"/>
      <c r="G18" s="383" t="n"/>
      <c r="H18" s="383" t="n"/>
      <c r="I18" s="383" t="n"/>
      <c r="J18" s="383" t="n"/>
      <c r="K18" s="430" t="n"/>
      <c r="L18" s="430" t="n"/>
      <c r="M18" s="775" t="n"/>
      <c r="N18" s="272" t="n"/>
      <c r="O18" s="383" t="n"/>
      <c r="P18" s="383" t="n"/>
      <c r="Q18" s="383" t="n"/>
      <c r="R18" s="383" t="n"/>
      <c r="S18" s="394" t="n"/>
      <c r="T18" s="11" t="n"/>
    </row>
    <row r="19" ht="15" customHeight="1" s="718">
      <c r="A19" s="10" t="n"/>
      <c r="B19" s="449" t="inlineStr">
        <is>
          <t>Bağlantı Grubu</t>
        </is>
      </c>
      <c r="F19" s="118" t="inlineStr">
        <is>
          <t>:</t>
        </is>
      </c>
      <c r="G19" s="451" t="inlineStr">
        <is>
          <t>Dyn11</t>
        </is>
      </c>
      <c r="H19" s="812" t="n"/>
      <c r="I19" s="812" t="n"/>
      <c r="J19" s="812" t="n"/>
      <c r="K19" s="430" t="inlineStr">
        <is>
          <t>Kısa Devre Emp.%</t>
        </is>
      </c>
      <c r="N19" s="118" t="inlineStr">
        <is>
          <t>:</t>
        </is>
      </c>
      <c r="O19" s="463" t="n">
        <v>6.42</v>
      </c>
      <c r="P19" s="812" t="n"/>
      <c r="Q19" s="812" t="n"/>
      <c r="R19" s="812" t="n"/>
      <c r="S19" s="813" t="n"/>
      <c r="T19" s="11" t="n"/>
    </row>
    <row r="20" ht="3.75" customHeight="1" s="718">
      <c r="A20" s="10" t="n"/>
      <c r="B20" s="449" t="n"/>
      <c r="C20" s="450" t="n"/>
      <c r="D20" s="450" t="n"/>
      <c r="E20" s="450" t="n"/>
      <c r="F20" s="93" t="n"/>
      <c r="G20" s="272" t="n"/>
      <c r="H20" s="272" t="n"/>
      <c r="I20" s="272" t="n"/>
      <c r="J20" s="272" t="n"/>
      <c r="K20" s="430" t="n"/>
      <c r="L20" s="430" t="n"/>
      <c r="M20" s="775" t="n"/>
      <c r="N20" s="272" t="n"/>
      <c r="O20" s="272" t="n"/>
      <c r="P20" s="272" t="n"/>
      <c r="Q20" s="272" t="n"/>
      <c r="R20" s="272" t="n"/>
      <c r="S20" s="202" t="n"/>
      <c r="T20" s="11" t="n"/>
    </row>
    <row r="21">
      <c r="A21" s="10" t="n"/>
      <c r="B21" s="468" t="inlineStr">
        <is>
          <t>Kazan Tipi</t>
        </is>
      </c>
      <c r="F21" s="93" t="inlineStr">
        <is>
          <t xml:space="preserve">:  </t>
        </is>
      </c>
      <c r="G21" t="inlineStr">
        <is>
          <t>Hermetik</t>
        </is>
      </c>
      <c r="H21" s="360" t="n"/>
      <c r="I21" s="124" t="inlineStr">
        <is>
          <t>ü</t>
        </is>
      </c>
      <c r="K21" s="470" t="inlineStr">
        <is>
          <t>Genleşme Tanklı</t>
        </is>
      </c>
      <c r="M21" s="360" t="n"/>
      <c r="N21" s="124" t="inlineStr">
        <is>
          <t>ü</t>
        </is>
      </c>
      <c r="P21" t="inlineStr">
        <is>
          <t>ü</t>
        </is>
      </c>
      <c r="Q21" s="360" t="n"/>
      <c r="R21" s="124" t="n"/>
      <c r="S21" s="360" t="n"/>
      <c r="T21" s="11" t="n"/>
    </row>
    <row r="22" ht="3" customHeight="1" s="718">
      <c r="A22" s="10" t="n"/>
      <c r="B22" s="109" t="n"/>
      <c r="C22" s="773" t="n"/>
      <c r="D22" s="773" t="n"/>
      <c r="E22" s="773" t="n"/>
      <c r="F22" s="139" t="n"/>
      <c r="G22" s="139" t="n"/>
      <c r="H22" s="139" t="n"/>
      <c r="I22" s="139" t="n"/>
      <c r="J22" s="139" t="n"/>
      <c r="K22" s="585" t="n"/>
      <c r="L22" s="585" t="n"/>
      <c r="M22" s="585" t="n"/>
      <c r="N22" s="139" t="n"/>
      <c r="O22" s="139" t="n"/>
      <c r="P22" s="139" t="n"/>
      <c r="Q22" s="139" t="n"/>
      <c r="R22" s="139" t="n"/>
      <c r="S22" s="361" t="n"/>
      <c r="T22" s="11" t="n"/>
    </row>
    <row r="23" ht="3" customHeight="1" s="718">
      <c r="A23" s="10" t="n"/>
      <c r="B23" s="449" t="n"/>
      <c r="C23" s="450" t="n"/>
      <c r="D23" s="450" t="n"/>
      <c r="E23" s="450" t="n"/>
      <c r="F23" s="93" t="n"/>
      <c r="G23" s="272" t="n"/>
      <c r="H23" s="272" t="n"/>
      <c r="I23" s="272" t="n"/>
      <c r="J23" s="272" t="n"/>
      <c r="K23" s="430" t="n"/>
      <c r="L23" s="430" t="n"/>
      <c r="M23" s="775" t="n"/>
      <c r="N23" s="272" t="n"/>
      <c r="O23" s="272" t="n"/>
      <c r="P23" s="272" t="n"/>
      <c r="Q23" s="272" t="n"/>
      <c r="R23" s="272" t="n"/>
      <c r="S23" s="202" t="n"/>
      <c r="T23" s="11" t="n"/>
    </row>
    <row r="24" ht="15.75" customHeight="1" s="718">
      <c r="A24" s="10" t="n"/>
      <c r="B24" s="811" t="inlineStr">
        <is>
          <t>KONTROLLER</t>
        </is>
      </c>
      <c r="C24" s="130" t="n"/>
      <c r="D24" s="130" t="n"/>
      <c r="E24" s="130" t="n"/>
      <c r="F24" s="130" t="n"/>
      <c r="G24" s="130" t="n"/>
      <c r="H24" s="130" t="n"/>
      <c r="I24" s="130" t="n"/>
      <c r="J24" s="130" t="n"/>
      <c r="K24" s="130" t="n"/>
      <c r="L24" s="130" t="n"/>
      <c r="M24" s="130" t="n"/>
      <c r="N24" s="130" t="n"/>
      <c r="O24" s="130" t="n"/>
      <c r="P24" s="130" t="n"/>
      <c r="Q24" s="130" t="n"/>
      <c r="R24" s="130" t="n"/>
      <c r="S24" s="242" t="n"/>
      <c r="T24" s="11" t="n"/>
    </row>
    <row r="25" ht="15" customHeight="1" s="718">
      <c r="A25" s="10" t="n"/>
      <c r="B25" s="3" t="n"/>
      <c r="C25" s="272" t="n"/>
      <c r="D25" s="272" t="n"/>
      <c r="E25" s="272" t="n"/>
      <c r="F25" s="272" t="n"/>
      <c r="G25" s="272" t="n"/>
      <c r="H25" s="272" t="n"/>
      <c r="I25" s="55" t="inlineStr">
        <is>
          <t>Evet</t>
        </is>
      </c>
      <c r="J25" s="55" t="inlineStr">
        <is>
          <t>Hayır</t>
        </is>
      </c>
      <c r="K25" s="272" t="n"/>
      <c r="L25" s="272" t="n"/>
      <c r="M25" s="272" t="n"/>
      <c r="N25" s="272" t="n"/>
      <c r="O25" s="272" t="n"/>
      <c r="P25" s="272" t="n"/>
      <c r="Q25" s="272" t="n"/>
      <c r="R25" s="55" t="inlineStr">
        <is>
          <t>Evet</t>
        </is>
      </c>
      <c r="S25" s="55" t="inlineStr">
        <is>
          <t>Hayır</t>
        </is>
      </c>
      <c r="T25" s="11" t="n"/>
    </row>
    <row r="26" ht="3.75" customHeight="1" s="718">
      <c r="A26" s="10" t="n"/>
      <c r="B26" s="3" t="n"/>
      <c r="C26" s="272" t="n"/>
      <c r="D26" s="272" t="n"/>
      <c r="E26" s="272" t="n"/>
      <c r="F26" s="272" t="n"/>
      <c r="G26" s="272" t="n"/>
      <c r="H26" s="272" t="n"/>
      <c r="I26" s="272" t="n"/>
      <c r="J26" s="272" t="n"/>
      <c r="K26" s="272" t="n"/>
      <c r="L26" s="272" t="n"/>
      <c r="M26" s="272" t="n"/>
      <c r="N26" s="272" t="n"/>
      <c r="O26" s="272" t="n"/>
      <c r="P26" s="272" t="n"/>
      <c r="Q26" s="272" t="n"/>
      <c r="R26" s="272" t="n"/>
      <c r="S26" s="202" t="n"/>
      <c r="T26" s="11" t="n"/>
    </row>
    <row r="27">
      <c r="A27" s="10" t="n"/>
      <c r="B27" s="449" t="inlineStr">
        <is>
          <t xml:space="preserve">Trafo Sıcaklık Kontrolü </t>
        </is>
      </c>
      <c r="F27" s="118" t="inlineStr">
        <is>
          <t>:</t>
        </is>
      </c>
      <c r="G27" s="389" t="n">
        <v>25</v>
      </c>
      <c r="H27" s="472" t="inlineStr">
        <is>
          <t>°C</t>
        </is>
      </c>
      <c r="I27" s="386" t="inlineStr">
        <is>
          <t>ü</t>
        </is>
      </c>
      <c r="J27" s="386" t="inlineStr">
        <is>
          <t>ü</t>
        </is>
      </c>
      <c r="K27" s="450" t="inlineStr">
        <is>
          <t>Trafo Temizliği</t>
        </is>
      </c>
      <c r="O27" s="118" t="inlineStr">
        <is>
          <t>:</t>
        </is>
      </c>
      <c r="P27" s="472" t="inlineStr">
        <is>
          <t>YAPILDI</t>
        </is>
      </c>
      <c r="Q27" s="813" t="n"/>
      <c r="R27" s="386" t="inlineStr">
        <is>
          <t>ü</t>
        </is>
      </c>
      <c r="S27" s="386" t="inlineStr">
        <is>
          <t>ü</t>
        </is>
      </c>
      <c r="T27" s="11" t="n"/>
    </row>
    <row r="28" ht="3.75" customHeight="1" s="718">
      <c r="A28" s="10" t="n"/>
      <c r="B28" s="96" t="n"/>
      <c r="C28" s="93" t="n"/>
      <c r="D28" s="93" t="n"/>
      <c r="E28" s="93" t="n"/>
      <c r="F28" s="93" t="n"/>
      <c r="G28" s="387" t="n"/>
      <c r="H28" s="387" t="n"/>
      <c r="I28" s="388" t="n"/>
      <c r="J28" s="388" t="inlineStr">
        <is>
          <t>ü</t>
        </is>
      </c>
      <c r="K28" s="93" t="n"/>
      <c r="L28" s="93" t="n"/>
      <c r="M28" s="93" t="n"/>
      <c r="N28" s="93" t="n"/>
      <c r="O28" s="93" t="n"/>
      <c r="P28" s="388" t="n"/>
      <c r="Q28" s="388" t="n"/>
      <c r="R28" s="388" t="n"/>
      <c r="S28" s="395" t="n"/>
      <c r="T28" s="11" t="n"/>
    </row>
    <row r="29">
      <c r="A29" s="10" t="n"/>
      <c r="B29" s="449" t="inlineStr">
        <is>
          <t>Yağ Seviyesi Kontrolü</t>
        </is>
      </c>
      <c r="F29" s="118" t="inlineStr">
        <is>
          <t>:</t>
        </is>
      </c>
      <c r="G29" s="472" t="inlineStr">
        <is>
          <t>UYGUN</t>
        </is>
      </c>
      <c r="H29" s="813" t="n"/>
      <c r="I29" s="386" t="inlineStr">
        <is>
          <t>ü</t>
        </is>
      </c>
      <c r="J29" s="386" t="inlineStr">
        <is>
          <t>ü</t>
        </is>
      </c>
      <c r="K29" s="450" t="inlineStr">
        <is>
          <t>Bina Temizliği</t>
        </is>
      </c>
      <c r="O29" s="118" t="inlineStr">
        <is>
          <t>:</t>
        </is>
      </c>
      <c r="P29" s="472" t="inlineStr">
        <is>
          <t>YAPILDI</t>
        </is>
      </c>
      <c r="Q29" s="813" t="n"/>
      <c r="R29" s="386" t="inlineStr">
        <is>
          <t>ü</t>
        </is>
      </c>
      <c r="S29" s="386" t="inlineStr">
        <is>
          <t>ü</t>
        </is>
      </c>
      <c r="T29" s="11" t="n"/>
    </row>
    <row r="30" ht="3.75" customHeight="1" s="718">
      <c r="A30" s="10" t="n"/>
      <c r="B30" s="96" t="n"/>
      <c r="C30" s="93" t="n"/>
      <c r="D30" s="93" t="n"/>
      <c r="E30" s="93" t="n"/>
      <c r="F30" s="93" t="n"/>
      <c r="G30" s="387" t="n"/>
      <c r="H30" s="387" t="n"/>
      <c r="I30" s="388" t="n"/>
      <c r="J30" s="388" t="n"/>
      <c r="K30" s="93" t="n"/>
      <c r="L30" s="93" t="n"/>
      <c r="M30" s="93" t="n"/>
      <c r="N30" s="93" t="n"/>
      <c r="O30" s="93" t="n"/>
      <c r="P30" s="388" t="n"/>
      <c r="Q30" s="388" t="n"/>
      <c r="R30" s="388" t="n"/>
      <c r="S30" s="395" t="n"/>
      <c r="T30" s="11" t="n"/>
    </row>
    <row r="31">
      <c r="A31" s="10" t="n"/>
      <c r="B31" s="449" t="inlineStr">
        <is>
          <t>DC Redresör Kontrolü</t>
        </is>
      </c>
      <c r="F31" s="118" t="inlineStr">
        <is>
          <t>:</t>
        </is>
      </c>
      <c r="G31" s="389" t="n">
        <v>24</v>
      </c>
      <c r="H31" s="472" t="inlineStr">
        <is>
          <t>Vdc</t>
        </is>
      </c>
      <c r="I31" s="386" t="inlineStr">
        <is>
          <t>ü</t>
        </is>
      </c>
      <c r="J31" s="386" t="inlineStr">
        <is>
          <t>ü</t>
        </is>
      </c>
      <c r="K31" s="450" t="inlineStr">
        <is>
          <t>Kablo Sıkılık Kontrolü</t>
        </is>
      </c>
      <c r="O31" s="118" t="inlineStr">
        <is>
          <t>:</t>
        </is>
      </c>
      <c r="P31" s="472" t="inlineStr">
        <is>
          <t>YAPILDI</t>
        </is>
      </c>
      <c r="Q31" s="813" t="n"/>
      <c r="R31" s="386" t="inlineStr">
        <is>
          <t>ü</t>
        </is>
      </c>
      <c r="S31" s="386" t="inlineStr">
        <is>
          <t>ü</t>
        </is>
      </c>
      <c r="T31" s="11" t="n"/>
    </row>
    <row r="32" ht="3.75" customHeight="1" s="718">
      <c r="A32" s="10" t="n"/>
      <c r="B32" s="96" t="n"/>
      <c r="C32" s="93" t="n"/>
      <c r="D32" s="93" t="n"/>
      <c r="E32" s="93" t="n"/>
      <c r="F32" s="93" t="n"/>
      <c r="G32" s="387" t="n"/>
      <c r="H32" s="387" t="n"/>
      <c r="I32" s="388" t="n"/>
      <c r="J32" s="388" t="n"/>
      <c r="K32" s="93" t="n"/>
      <c r="L32" s="93" t="n"/>
      <c r="M32" s="93" t="n"/>
      <c r="N32" s="93" t="n"/>
      <c r="O32" s="93" t="n"/>
      <c r="P32" s="388" t="n"/>
      <c r="Q32" s="388" t="n"/>
      <c r="R32" s="388" t="n"/>
      <c r="S32" s="395" t="n"/>
      <c r="T32" s="11" t="n"/>
    </row>
    <row r="33">
      <c r="A33" s="10" t="n"/>
      <c r="B33" s="449" t="inlineStr">
        <is>
          <t>Termostat Rölesi</t>
        </is>
      </c>
      <c r="F33" s="118" t="inlineStr">
        <is>
          <t>:</t>
        </is>
      </c>
      <c r="G33" s="472" t="inlineStr">
        <is>
          <t>UYGUN</t>
        </is>
      </c>
      <c r="H33" s="813" t="n"/>
      <c r="I33" s="386" t="inlineStr">
        <is>
          <t>ü</t>
        </is>
      </c>
      <c r="J33" s="386" t="inlineStr">
        <is>
          <t>ü</t>
        </is>
      </c>
      <c r="K33" s="449" t="inlineStr">
        <is>
          <t>Slika-Jel İlavesi (kg)</t>
        </is>
      </c>
      <c r="O33" s="150" t="inlineStr">
        <is>
          <t xml:space="preserve">: </t>
        </is>
      </c>
      <c r="P33" s="472" t="inlineStr">
        <is>
          <t>_</t>
        </is>
      </c>
      <c r="Q33" s="813" t="n"/>
      <c r="R33" s="386" t="inlineStr">
        <is>
          <t>ü</t>
        </is>
      </c>
      <c r="S33" s="386" t="inlineStr">
        <is>
          <t>ü</t>
        </is>
      </c>
      <c r="T33" s="11" t="n"/>
    </row>
    <row r="34" ht="3.75" customHeight="1" s="718">
      <c r="A34" s="10" t="n"/>
      <c r="B34" s="96" t="n"/>
      <c r="C34" s="93" t="n"/>
      <c r="D34" s="93" t="n"/>
      <c r="E34" s="93" t="n"/>
      <c r="F34" s="93" t="n"/>
      <c r="G34" s="387" t="n"/>
      <c r="H34" s="387" t="n"/>
      <c r="I34" s="388" t="n"/>
      <c r="J34" s="388" t="n"/>
      <c r="K34" s="93" t="n"/>
      <c r="L34" s="93" t="n"/>
      <c r="M34" s="93" t="n"/>
      <c r="N34" s="93" t="n"/>
      <c r="O34" s="93" t="n"/>
      <c r="P34" s="388" t="n"/>
      <c r="Q34" s="388" t="n"/>
      <c r="R34" s="388" t="n"/>
      <c r="S34" s="395" t="n"/>
      <c r="T34" s="11" t="n"/>
    </row>
    <row r="35">
      <c r="A35" s="10" t="n"/>
      <c r="B35" s="449" t="inlineStr">
        <is>
          <t>Bucholz Rölesi</t>
        </is>
      </c>
      <c r="F35" s="118" t="inlineStr">
        <is>
          <t>:</t>
        </is>
      </c>
      <c r="G35" s="472" t="inlineStr">
        <is>
          <t>UYGUN</t>
        </is>
      </c>
      <c r="H35" s="813" t="n"/>
      <c r="I35" s="386" t="inlineStr">
        <is>
          <t>ü</t>
        </is>
      </c>
      <c r="J35" s="386" t="inlineStr">
        <is>
          <t>ü</t>
        </is>
      </c>
      <c r="K35" s="450" t="inlineStr">
        <is>
          <t>Yağ İlavesi (kg)</t>
        </is>
      </c>
      <c r="O35" s="118" t="inlineStr">
        <is>
          <t>:</t>
        </is>
      </c>
      <c r="P35" s="472" t="inlineStr">
        <is>
          <t>_</t>
        </is>
      </c>
      <c r="Q35" s="813" t="n"/>
      <c r="R35" s="386" t="inlineStr">
        <is>
          <t>ü</t>
        </is>
      </c>
      <c r="S35" s="386" t="inlineStr">
        <is>
          <t>ü</t>
        </is>
      </c>
      <c r="T35" s="11" t="n"/>
    </row>
    <row r="36" ht="3.75" customHeight="1" s="718">
      <c r="A36" s="10" t="n"/>
      <c r="B36" s="96" t="n"/>
      <c r="C36" s="93" t="n"/>
      <c r="D36" s="93" t="n"/>
      <c r="E36" s="93" t="n"/>
      <c r="F36" s="93" t="n"/>
      <c r="G36" s="387" t="n"/>
      <c r="H36" s="387" t="n"/>
      <c r="I36" s="388" t="n"/>
      <c r="J36" s="388" t="n"/>
      <c r="K36" s="93" t="n"/>
      <c r="L36" s="93" t="n"/>
      <c r="M36" s="93" t="n"/>
      <c r="N36" s="93" t="n"/>
      <c r="O36" s="93" t="n"/>
      <c r="P36" s="388" t="n"/>
      <c r="Q36" s="388" t="n"/>
      <c r="R36" s="388" t="n"/>
      <c r="S36" s="395" t="n"/>
      <c r="T36" s="11" t="n"/>
    </row>
    <row r="37">
      <c r="A37" s="10" t="n"/>
      <c r="B37" s="449" t="inlineStr">
        <is>
          <t>Yağ Kaçağı Kontrolü</t>
        </is>
      </c>
      <c r="F37" s="144" t="inlineStr">
        <is>
          <t>:</t>
        </is>
      </c>
      <c r="G37" s="472" t="inlineStr">
        <is>
          <t>UYGUN</t>
        </is>
      </c>
      <c r="H37" s="813" t="n"/>
      <c r="I37" s="386" t="inlineStr">
        <is>
          <t>ü</t>
        </is>
      </c>
      <c r="J37" s="386" t="inlineStr">
        <is>
          <t>ü</t>
        </is>
      </c>
      <c r="K37" s="450" t="inlineStr">
        <is>
          <t xml:space="preserve">Yağ Numunesi </t>
        </is>
      </c>
      <c r="O37" s="145" t="inlineStr">
        <is>
          <t>:</t>
        </is>
      </c>
      <c r="P37" s="472" t="inlineStr">
        <is>
          <t>_</t>
        </is>
      </c>
      <c r="Q37" s="813" t="n"/>
      <c r="R37" s="386" t="inlineStr">
        <is>
          <t>ü</t>
        </is>
      </c>
      <c r="S37" s="386" t="inlineStr">
        <is>
          <t>ü</t>
        </is>
      </c>
      <c r="T37" s="11" t="n"/>
    </row>
    <row r="38" ht="3.75" customHeight="1" s="718">
      <c r="A38" s="10" t="n"/>
      <c r="B38" s="96" t="n"/>
      <c r="C38" s="93" t="n"/>
      <c r="D38" s="93" t="n"/>
      <c r="E38" s="93" t="n"/>
      <c r="F38" s="93" t="n"/>
      <c r="G38" s="387" t="n"/>
      <c r="H38" s="387" t="n"/>
      <c r="I38" s="388" t="n"/>
      <c r="J38" s="388" t="n"/>
      <c r="K38" s="93" t="n"/>
      <c r="L38" s="93" t="n"/>
      <c r="M38" s="93" t="n"/>
      <c r="N38" s="93" t="n"/>
      <c r="O38" s="93" t="n"/>
      <c r="P38" s="388" t="n"/>
      <c r="Q38" s="388" t="n"/>
      <c r="R38" s="388" t="n"/>
      <c r="S38" s="395" t="n"/>
      <c r="T38" s="11" t="n"/>
    </row>
    <row r="39" ht="15" customHeight="1" s="718">
      <c r="A39" s="10" t="n"/>
      <c r="B39" s="449" t="inlineStr">
        <is>
          <t>Kademe Conta Kontrolü</t>
        </is>
      </c>
      <c r="F39" s="118" t="inlineStr">
        <is>
          <t>:</t>
        </is>
      </c>
      <c r="G39" s="472" t="inlineStr">
        <is>
          <t>UYGUN</t>
        </is>
      </c>
      <c r="H39" s="813" t="n"/>
      <c r="I39" s="386" t="inlineStr">
        <is>
          <t>ü</t>
        </is>
      </c>
      <c r="J39" s="386" t="inlineStr">
        <is>
          <t>ü</t>
        </is>
      </c>
      <c r="K39" s="450" t="inlineStr">
        <is>
          <t>Kapak Conta Kontrolü</t>
        </is>
      </c>
      <c r="O39" s="118" t="inlineStr">
        <is>
          <t>:</t>
        </is>
      </c>
      <c r="P39" s="472" t="inlineStr">
        <is>
          <t>UYGUN</t>
        </is>
      </c>
      <c r="Q39" s="813" t="n"/>
      <c r="R39" s="386" t="inlineStr">
        <is>
          <t>ü</t>
        </is>
      </c>
      <c r="S39" s="386" t="inlineStr">
        <is>
          <t>ü</t>
        </is>
      </c>
      <c r="T39" s="11" t="n"/>
    </row>
    <row r="40" ht="3.75" customHeight="1" s="718">
      <c r="A40" s="10" t="n"/>
      <c r="B40" s="96" t="n"/>
      <c r="C40" s="93" t="n"/>
      <c r="D40" s="93" t="n"/>
      <c r="E40" s="93" t="n"/>
      <c r="F40" s="93" t="n"/>
      <c r="G40" s="387" t="n"/>
      <c r="H40" s="387" t="n"/>
      <c r="I40" s="388" t="n"/>
      <c r="J40" s="388" t="n"/>
      <c r="K40" s="93" t="n"/>
      <c r="L40" s="93" t="n"/>
      <c r="M40" s="93" t="n"/>
      <c r="N40" s="93" t="n"/>
      <c r="O40" s="93" t="n"/>
      <c r="P40" s="388" t="n"/>
      <c r="Q40" s="388" t="n"/>
      <c r="R40" s="388" t="n"/>
      <c r="S40" s="395" t="n"/>
      <c r="T40" s="11" t="n"/>
    </row>
    <row r="41">
      <c r="A41" s="10" t="n"/>
      <c r="B41" s="400" t="inlineStr">
        <is>
          <t>O.G Conta Kontrolü</t>
        </is>
      </c>
      <c r="F41" s="118" t="inlineStr">
        <is>
          <t>:</t>
        </is>
      </c>
      <c r="G41" s="472" t="inlineStr">
        <is>
          <t>UYGUN</t>
        </is>
      </c>
      <c r="H41" s="813" t="n"/>
      <c r="I41" s="386" t="inlineStr">
        <is>
          <t>ü</t>
        </is>
      </c>
      <c r="J41" s="386" t="inlineStr">
        <is>
          <t>ü</t>
        </is>
      </c>
      <c r="K41" s="401" t="inlineStr">
        <is>
          <t>A.G Conta Kontrolü</t>
        </is>
      </c>
      <c r="O41" s="118" t="inlineStr">
        <is>
          <t>:</t>
        </is>
      </c>
      <c r="P41" s="472" t="inlineStr">
        <is>
          <t>UYGUN</t>
        </is>
      </c>
      <c r="Q41" s="813" t="n"/>
      <c r="R41" s="386" t="inlineStr">
        <is>
          <t>ü</t>
        </is>
      </c>
      <c r="S41" s="386" t="inlineStr">
        <is>
          <t>ü</t>
        </is>
      </c>
      <c r="T41" s="11" t="n"/>
    </row>
    <row r="42" ht="3" customHeight="1" s="718">
      <c r="A42" s="10" t="n"/>
      <c r="B42" s="97" t="n"/>
      <c r="C42" s="98" t="n"/>
      <c r="D42" s="98" t="n"/>
      <c r="E42" s="98" t="n"/>
      <c r="F42" s="99" t="n"/>
      <c r="G42" s="99" t="n"/>
      <c r="H42" s="99" t="n"/>
      <c r="I42" s="99" t="n"/>
      <c r="J42" s="99" t="n"/>
      <c r="K42" s="98" t="n"/>
      <c r="L42" s="98" t="n"/>
      <c r="M42" s="98" t="n"/>
      <c r="N42" s="98" t="n"/>
      <c r="O42" s="99" t="n"/>
      <c r="P42" s="99" t="n"/>
      <c r="Q42" s="99" t="n"/>
      <c r="R42" s="99" t="n"/>
      <c r="S42" s="100" t="n"/>
      <c r="T42" s="11" t="n"/>
    </row>
    <row r="43" ht="3" customHeight="1" s="718">
      <c r="A43" s="10" t="n"/>
      <c r="B43" s="96" t="n"/>
      <c r="C43" s="93" t="n"/>
      <c r="D43" s="93" t="n"/>
      <c r="E43" s="93" t="n"/>
      <c r="F43" s="93" t="n"/>
      <c r="G43" s="93" t="n"/>
      <c r="H43" s="93" t="n"/>
      <c r="I43" s="93" t="n"/>
      <c r="J43" s="93" t="n"/>
      <c r="K43" s="93" t="n"/>
      <c r="L43" s="93" t="n"/>
      <c r="M43" s="93" t="n"/>
      <c r="N43" s="93" t="n"/>
      <c r="O43" s="93" t="n"/>
      <c r="P43" s="93" t="n"/>
      <c r="Q43" s="93" t="n"/>
      <c r="R43" s="93" t="n"/>
      <c r="S43" s="101" t="n"/>
      <c r="T43" s="11" t="n"/>
    </row>
    <row r="44" ht="15.75" customHeight="1" s="718">
      <c r="A44" s="10" t="n"/>
      <c r="B44" s="811" t="inlineStr">
        <is>
          <t>TOPRAKLAMA ÖLÇÜMÜ ( Ω )</t>
        </is>
      </c>
      <c r="C44" s="130" t="n"/>
      <c r="D44" s="130" t="n"/>
      <c r="E44" s="130" t="n"/>
      <c r="F44" s="130" t="n"/>
      <c r="G44" s="130" t="n"/>
      <c r="H44" s="130" t="n"/>
      <c r="I44" s="130" t="n"/>
      <c r="J44" s="130" t="n"/>
      <c r="K44" s="130" t="n"/>
      <c r="L44" s="130" t="n"/>
      <c r="M44" s="130" t="n"/>
      <c r="N44" s="130" t="n"/>
      <c r="O44" s="130" t="n"/>
      <c r="P44" s="130" t="n"/>
      <c r="Q44" s="130" t="n"/>
      <c r="R44" s="130" t="n"/>
      <c r="S44" s="242" t="n"/>
      <c r="T44" s="11" t="n"/>
      <c r="V44" s="811" t="inlineStr">
        <is>
          <t>ÇEVİRME ORANI  ( TTR )</t>
        </is>
      </c>
      <c r="W44" s="130" t="n"/>
      <c r="X44" s="130" t="n"/>
      <c r="Y44" s="130" t="n"/>
      <c r="Z44" s="130" t="n"/>
      <c r="AA44" s="130" t="n"/>
      <c r="AB44" s="130" t="n"/>
      <c r="AC44" s="130" t="n"/>
      <c r="AD44" s="242" t="n"/>
      <c r="AF44" s="811" t="inlineStr">
        <is>
          <t>ÇEVİRME ORANI  ( TTR )</t>
        </is>
      </c>
      <c r="AG44" s="130" t="n"/>
      <c r="AH44" s="130" t="n"/>
      <c r="AI44" s="130" t="n"/>
      <c r="AJ44" s="130" t="n"/>
      <c r="AK44" s="130" t="n"/>
      <c r="AL44" s="130" t="n"/>
      <c r="AM44" s="130" t="n"/>
      <c r="AN44" s="242" t="n"/>
    </row>
    <row r="45" ht="3" customHeight="1" s="718">
      <c r="A45" s="10" t="n"/>
      <c r="B45" s="3" t="n"/>
      <c r="C45" s="272" t="n"/>
      <c r="D45" s="272" t="n"/>
      <c r="E45" s="272" t="n"/>
      <c r="F45" s="272" t="n"/>
      <c r="G45" s="272" t="n"/>
      <c r="H45" s="272" t="n"/>
      <c r="I45" s="272" t="n"/>
      <c r="J45" s="272" t="n"/>
      <c r="K45" s="272" t="n"/>
      <c r="L45" s="272" t="n"/>
      <c r="M45" s="272" t="n"/>
      <c r="N45" s="272" t="n"/>
      <c r="O45" s="272" t="n"/>
      <c r="P45" s="272" t="n"/>
      <c r="Q45" s="272" t="n"/>
      <c r="R45" s="272" t="n"/>
      <c r="S45" s="202" t="n"/>
      <c r="T45" s="11" t="n"/>
      <c r="V45" s="3" t="n"/>
      <c r="W45" s="272" t="n"/>
      <c r="X45" s="272" t="n"/>
      <c r="Y45" s="44" t="n"/>
      <c r="Z45" s="272" t="n"/>
      <c r="AA45" s="272" t="n"/>
      <c r="AB45" s="44" t="n"/>
      <c r="AC45" s="272" t="n"/>
      <c r="AD45" s="202" t="n"/>
      <c r="AF45" s="3" t="n"/>
      <c r="AG45" s="272" t="n"/>
      <c r="AH45" s="272" t="n"/>
      <c r="AI45" s="44" t="n"/>
      <c r="AJ45" s="272" t="n"/>
      <c r="AK45" s="272" t="n"/>
      <c r="AL45" s="44" t="n"/>
      <c r="AM45" s="272" t="n"/>
      <c r="AN45" s="202" t="n"/>
    </row>
    <row r="46">
      <c r="A46" s="10" t="n"/>
      <c r="B46" s="481" t="inlineStr">
        <is>
          <t>Trafo Topraklaması</t>
        </is>
      </c>
      <c r="G46" s="117" t="inlineStr">
        <is>
          <t>:</t>
        </is>
      </c>
      <c r="H46" s="479" t="n">
        <v>0.35</v>
      </c>
      <c r="I46" s="812" t="n"/>
      <c r="J46" s="716" t="inlineStr">
        <is>
          <t>Ω</t>
        </is>
      </c>
      <c r="K46" s="612" t="inlineStr">
        <is>
          <t>A.G Pano Topraklaması</t>
        </is>
      </c>
      <c r="P46" s="117" t="inlineStr">
        <is>
          <t>:</t>
        </is>
      </c>
      <c r="Q46" s="479" t="n">
        <v>0.32</v>
      </c>
      <c r="R46" s="812" t="n"/>
      <c r="S46" s="717" t="inlineStr">
        <is>
          <t>Ω</t>
        </is>
      </c>
      <c r="T46" s="11" t="n"/>
      <c r="V46" s="814" t="inlineStr">
        <is>
          <t>AB / an</t>
        </is>
      </c>
      <c r="W46" s="139" t="n"/>
      <c r="X46" s="361" t="n"/>
      <c r="Y46" s="487" t="inlineStr">
        <is>
          <t>BC / bn</t>
        </is>
      </c>
      <c r="Z46" s="139" t="n"/>
      <c r="AA46" s="361" t="n"/>
      <c r="AB46" s="814" t="inlineStr">
        <is>
          <t>CA / cn</t>
        </is>
      </c>
      <c r="AC46" s="139" t="n"/>
      <c r="AD46" s="361" t="n"/>
      <c r="AF46" s="814" t="inlineStr">
        <is>
          <t>AB / an</t>
        </is>
      </c>
      <c r="AG46" s="139" t="n"/>
      <c r="AH46" s="361" t="n"/>
      <c r="AI46" s="487" t="inlineStr">
        <is>
          <t>BC / bn</t>
        </is>
      </c>
      <c r="AJ46" s="139" t="n"/>
      <c r="AK46" s="361" t="n"/>
      <c r="AL46" s="814" t="inlineStr">
        <is>
          <t>CA / cn</t>
        </is>
      </c>
      <c r="AM46" s="139" t="n"/>
      <c r="AN46" s="361" t="n"/>
    </row>
    <row r="47" ht="3" customHeight="1" s="718">
      <c r="A47" s="10" t="n"/>
      <c r="B47" s="3" t="n"/>
      <c r="C47" s="272" t="n"/>
      <c r="D47" s="272" t="n"/>
      <c r="E47" s="272" t="n"/>
      <c r="F47" s="272" t="n"/>
      <c r="G47" s="272" t="n"/>
      <c r="H47" s="272" t="n"/>
      <c r="I47" s="272" t="n"/>
      <c r="J47" s="272" t="n"/>
      <c r="K47" s="272" t="n"/>
      <c r="L47" s="272" t="n"/>
      <c r="M47" s="272" t="n"/>
      <c r="N47" s="272" t="n"/>
      <c r="O47" s="272" t="n"/>
      <c r="P47" s="272" t="n"/>
      <c r="Q47" s="272" t="n"/>
      <c r="R47" s="272" t="n"/>
      <c r="S47" s="202" t="n"/>
      <c r="T47" s="11" t="n"/>
      <c r="V47" s="3" t="n"/>
      <c r="W47" s="272" t="n"/>
      <c r="X47" s="202" t="n"/>
      <c r="Y47" s="272" t="n"/>
      <c r="Z47" s="272" t="n"/>
      <c r="AA47" s="202" t="n"/>
      <c r="AB47" s="272" t="n"/>
      <c r="AC47" s="272" t="n"/>
      <c r="AD47" s="202" t="n"/>
      <c r="AF47" s="3" t="n"/>
      <c r="AG47" s="272" t="n"/>
      <c r="AH47" s="202" t="n"/>
      <c r="AI47" s="272" t="n"/>
      <c r="AJ47" s="272" t="n"/>
      <c r="AK47" s="202" t="n"/>
      <c r="AL47" s="272" t="n"/>
      <c r="AM47" s="272" t="n"/>
      <c r="AN47" s="202" t="n"/>
    </row>
    <row r="48">
      <c r="A48" s="10" t="n"/>
      <c r="B48" s="481" t="inlineStr">
        <is>
          <t>Nötr (işletme) Topraklaması</t>
        </is>
      </c>
      <c r="G48" s="117" t="inlineStr">
        <is>
          <t>:</t>
        </is>
      </c>
      <c r="H48" s="479" t="n">
        <v>2</v>
      </c>
      <c r="I48" s="812" t="n"/>
      <c r="J48" s="716" t="inlineStr">
        <is>
          <t>Ω</t>
        </is>
      </c>
      <c r="K48" s="612" t="inlineStr">
        <is>
          <t>Kapı Topraklaması</t>
        </is>
      </c>
      <c r="P48" s="117" t="inlineStr">
        <is>
          <t>:</t>
        </is>
      </c>
      <c r="Q48" s="479" t="n">
        <v>0.6</v>
      </c>
      <c r="R48" s="812" t="n"/>
      <c r="S48" s="717" t="inlineStr">
        <is>
          <t>Ω</t>
        </is>
      </c>
      <c r="T48" s="11" t="n"/>
      <c r="V48" s="815">
        <f>V57/1.0525889</f>
        <v/>
      </c>
      <c r="W48" s="812" t="n"/>
      <c r="X48" s="813" t="n"/>
      <c r="Y48" s="815">
        <f>Y57/1.0525889</f>
        <v/>
      </c>
      <c r="Z48" s="812" t="n"/>
      <c r="AA48" s="813" t="n"/>
      <c r="AB48" s="815">
        <f>AB57/1.0525889</f>
        <v/>
      </c>
      <c r="AC48" s="812" t="n"/>
      <c r="AD48" s="813" t="n"/>
      <c r="AF48" s="815">
        <f>AF57/1.045489</f>
        <v/>
      </c>
      <c r="AG48" s="812" t="n"/>
      <c r="AH48" s="813" t="n"/>
      <c r="AI48" s="815">
        <f>AI57/1.045489</f>
        <v/>
      </c>
      <c r="AJ48" s="812" t="n"/>
      <c r="AK48" s="813" t="n"/>
      <c r="AL48" s="815">
        <f>AL57/1.045489</f>
        <v/>
      </c>
      <c r="AM48" s="812" t="n"/>
      <c r="AN48" s="813" t="n"/>
    </row>
    <row r="49" ht="3" customHeight="1" s="718">
      <c r="A49" s="10" t="n"/>
      <c r="B49" s="3" t="n"/>
      <c r="C49" s="272" t="n"/>
      <c r="D49" s="272" t="n"/>
      <c r="E49" s="272" t="n"/>
      <c r="F49" s="272" t="n"/>
      <c r="G49" s="272" t="n"/>
      <c r="H49" s="272" t="n"/>
      <c r="I49" s="272" t="n"/>
      <c r="J49" s="272" t="n"/>
      <c r="K49" s="272" t="n"/>
      <c r="L49" s="272" t="n"/>
      <c r="M49" s="272" t="n"/>
      <c r="N49" s="272" t="n"/>
      <c r="O49" s="272" t="n"/>
      <c r="P49" s="272" t="n"/>
      <c r="Q49" s="272" t="n"/>
      <c r="R49" s="272" t="n"/>
      <c r="S49" s="202" t="n"/>
      <c r="T49" s="11" t="n"/>
      <c r="V49" s="47" t="n"/>
      <c r="W49" s="48" t="n"/>
      <c r="X49" s="102" t="n"/>
      <c r="Y49" s="47" t="n"/>
      <c r="Z49" s="48" t="n"/>
      <c r="AA49" s="102" t="n"/>
      <c r="AB49" s="48" t="n"/>
      <c r="AC49" s="48" t="n"/>
      <c r="AD49" s="102" t="n"/>
      <c r="AF49" s="47" t="n"/>
      <c r="AG49" s="48" t="n"/>
      <c r="AH49" s="102" t="n"/>
      <c r="AI49" s="47" t="n"/>
      <c r="AJ49" s="48" t="n"/>
      <c r="AK49" s="102" t="n"/>
      <c r="AL49" s="48" t="n"/>
      <c r="AM49" s="48" t="n"/>
      <c r="AN49" s="102" t="n"/>
    </row>
    <row r="50">
      <c r="A50" s="10" t="n"/>
      <c r="B50" s="481" t="inlineStr">
        <is>
          <t>Hücre Topraklaması</t>
        </is>
      </c>
      <c r="G50" s="117" t="inlineStr">
        <is>
          <t>:</t>
        </is>
      </c>
      <c r="H50" s="479" t="n">
        <v>0.35</v>
      </c>
      <c r="I50" s="812" t="n"/>
      <c r="J50" s="716" t="inlineStr">
        <is>
          <t>Ω</t>
        </is>
      </c>
      <c r="K50" s="612" t="inlineStr">
        <is>
          <t>Direk Topraklaması</t>
        </is>
      </c>
      <c r="P50" s="117" t="inlineStr">
        <is>
          <t>:</t>
        </is>
      </c>
      <c r="Q50" s="479" t="inlineStr">
        <is>
          <t>_</t>
        </is>
      </c>
      <c r="R50" s="812" t="n"/>
      <c r="S50" s="717" t="inlineStr">
        <is>
          <t>Ω</t>
        </is>
      </c>
      <c r="T50" s="11" t="n"/>
      <c r="V50" s="496" t="inlineStr">
        <is>
          <t xml:space="preserve">Kademe Bilgisi </t>
        </is>
      </c>
      <c r="W50" s="130" t="n"/>
      <c r="X50" s="130" t="n"/>
      <c r="Y50" s="130" t="inlineStr">
        <is>
          <t>:</t>
        </is>
      </c>
      <c r="Z50" s="489" t="inlineStr">
        <is>
          <t>28500 / 400</t>
        </is>
      </c>
      <c r="AA50" s="130" t="n"/>
      <c r="AB50" s="130" t="n"/>
      <c r="AC50" s="130" t="n"/>
      <c r="AD50" s="242" t="n"/>
      <c r="AF50" s="496" t="inlineStr">
        <is>
          <t xml:space="preserve">Kademe Bilgisi </t>
        </is>
      </c>
      <c r="AG50" s="130" t="n"/>
      <c r="AH50" s="130" t="n"/>
      <c r="AI50" s="130" t="inlineStr">
        <is>
          <t>:</t>
        </is>
      </c>
      <c r="AJ50" s="489" t="inlineStr">
        <is>
          <t>33000 / 400</t>
        </is>
      </c>
      <c r="AK50" s="130" t="n"/>
      <c r="AL50" s="130" t="n"/>
      <c r="AM50" s="130" t="n"/>
      <c r="AN50" s="242" t="n"/>
    </row>
    <row r="51" ht="3" customHeight="1" s="718">
      <c r="A51" s="10" t="n"/>
      <c r="B51" s="47" t="n"/>
      <c r="C51" s="48" t="n"/>
      <c r="D51" s="48" t="n"/>
      <c r="E51" s="48" t="n"/>
      <c r="F51" s="48" t="n"/>
      <c r="G51" s="48" t="n"/>
      <c r="H51" s="48" t="n"/>
      <c r="I51" s="48" t="n"/>
      <c r="J51" s="48" t="n"/>
      <c r="K51" s="48" t="n"/>
      <c r="L51" s="48" t="n"/>
      <c r="M51" s="48" t="n"/>
      <c r="N51" s="48" t="n"/>
      <c r="O51" s="48" t="n"/>
      <c r="P51" s="48" t="n"/>
      <c r="Q51" s="48" t="n"/>
      <c r="R51" s="48" t="n"/>
      <c r="S51" s="102" t="n"/>
      <c r="T51" s="11" t="n"/>
    </row>
    <row r="52" ht="3" customHeight="1" s="718">
      <c r="A52" s="10" t="n"/>
      <c r="B52" s="3" t="n"/>
      <c r="C52" s="272" t="n"/>
      <c r="D52" s="272" t="n"/>
      <c r="E52" s="272" t="n"/>
      <c r="F52" s="272" t="n"/>
      <c r="G52" s="272" t="n"/>
      <c r="H52" s="272" t="n"/>
      <c r="I52" s="272" t="n"/>
      <c r="J52" s="272" t="n"/>
      <c r="K52" s="272" t="n"/>
      <c r="L52" s="272" t="n"/>
      <c r="M52" s="272" t="n"/>
      <c r="N52" s="272" t="n"/>
      <c r="O52" s="272" t="n"/>
      <c r="P52" s="272" t="n"/>
      <c r="Q52" s="272" t="n"/>
      <c r="R52" s="272" t="n"/>
      <c r="S52" s="202" t="n"/>
      <c r="T52" s="11" t="n"/>
    </row>
    <row r="53" ht="15.75" customHeight="1" s="718">
      <c r="A53" s="10" t="n"/>
      <c r="B53" s="278" t="n">
        <v>2</v>
      </c>
      <c r="C53" s="279" t="inlineStr">
        <is>
          <t>A</t>
        </is>
      </c>
      <c r="D53" s="473" t="inlineStr">
        <is>
          <t>SARGI DİRENÇLERİ ( Ω )</t>
        </is>
      </c>
      <c r="E53" s="130" t="n"/>
      <c r="F53" s="130" t="n"/>
      <c r="G53" s="130" t="n"/>
      <c r="H53" s="130" t="n"/>
      <c r="I53" s="279" t="n">
        <v>100</v>
      </c>
      <c r="J53" s="280" t="inlineStr">
        <is>
          <t>A</t>
        </is>
      </c>
      <c r="K53" s="811" t="inlineStr">
        <is>
          <t>ÇEVİRME ORANI  ( TTR )</t>
        </is>
      </c>
      <c r="L53" s="130" t="n"/>
      <c r="M53" s="130" t="n"/>
      <c r="N53" s="130" t="n"/>
      <c r="O53" s="130" t="n"/>
      <c r="P53" s="130" t="n"/>
      <c r="Q53" s="130" t="n"/>
      <c r="R53" s="130" t="n"/>
      <c r="S53" s="242" t="n"/>
      <c r="T53" s="11" t="n"/>
      <c r="V53" s="811" t="inlineStr">
        <is>
          <t>ÇEVİRME ORANI  ( TTR )</t>
        </is>
      </c>
      <c r="W53" s="130" t="n"/>
      <c r="X53" s="130" t="n"/>
      <c r="Y53" s="130" t="n"/>
      <c r="Z53" s="130" t="n"/>
      <c r="AA53" s="130" t="n"/>
      <c r="AB53" s="130" t="n"/>
      <c r="AC53" s="130" t="n"/>
      <c r="AD53" s="242" t="n"/>
      <c r="AF53" s="811" t="inlineStr">
        <is>
          <t>ÇEVİRME ORANI  ( TTR )</t>
        </is>
      </c>
      <c r="AG53" s="130" t="n"/>
      <c r="AH53" s="130" t="n"/>
      <c r="AI53" s="130" t="n"/>
      <c r="AJ53" s="130" t="n"/>
      <c r="AK53" s="130" t="n"/>
      <c r="AL53" s="130" t="n"/>
      <c r="AM53" s="130" t="n"/>
      <c r="AN53" s="242" t="n"/>
    </row>
    <row r="54" ht="3" customHeight="1" s="718">
      <c r="A54" s="10" t="n"/>
      <c r="B54" s="3" t="n"/>
      <c r="C54" s="272" t="n"/>
      <c r="D54" s="272" t="n"/>
      <c r="E54" s="272" t="n"/>
      <c r="F54" s="272" t="n"/>
      <c r="G54" s="272" t="n"/>
      <c r="H54" s="272" t="n"/>
      <c r="I54" s="272" t="n"/>
      <c r="J54" s="202" t="n"/>
      <c r="K54" s="3" t="n"/>
      <c r="L54" s="272" t="n"/>
      <c r="M54" s="272" t="n"/>
      <c r="N54" s="44" t="n"/>
      <c r="O54" s="272" t="n"/>
      <c r="P54" s="272" t="n"/>
      <c r="Q54" s="44" t="n"/>
      <c r="R54" s="272" t="n"/>
      <c r="S54" s="202" t="n"/>
      <c r="T54" s="11" t="n"/>
      <c r="V54" s="3" t="n"/>
      <c r="W54" s="272" t="n"/>
      <c r="X54" s="272" t="n"/>
      <c r="Y54" s="44" t="n"/>
      <c r="Z54" s="272" t="n"/>
      <c r="AA54" s="272" t="n"/>
      <c r="AB54" s="44" t="n"/>
      <c r="AC54" s="272" t="n"/>
      <c r="AD54" s="202" t="n"/>
      <c r="AF54" s="3" t="n"/>
      <c r="AG54" s="272" t="n"/>
      <c r="AH54" s="272" t="n"/>
      <c r="AI54" s="44" t="n"/>
      <c r="AJ54" s="272" t="n"/>
      <c r="AK54" s="272" t="n"/>
      <c r="AL54" s="44" t="n"/>
      <c r="AM54" s="272" t="n"/>
      <c r="AN54" s="202" t="n"/>
    </row>
    <row r="55" ht="15" customHeight="1" s="718">
      <c r="A55" s="10" t="n"/>
      <c r="B55" s="103" t="inlineStr">
        <is>
          <t>RAB  :</t>
        </is>
      </c>
      <c r="C55" s="816" t="n">
        <v>50.123456</v>
      </c>
      <c r="D55" s="812" t="n"/>
      <c r="E55" s="812" t="n"/>
      <c r="F55" s="104" t="inlineStr">
        <is>
          <t>Ran  :</t>
        </is>
      </c>
      <c r="G55" s="817" t="n">
        <v>0.000415</v>
      </c>
      <c r="H55" s="812" t="n"/>
      <c r="I55" s="812" t="n"/>
      <c r="J55" s="813" t="n"/>
      <c r="K55" s="814" t="inlineStr">
        <is>
          <t>AB / an</t>
        </is>
      </c>
      <c r="L55" s="139" t="n"/>
      <c r="M55" s="361" t="n"/>
      <c r="N55" s="487" t="inlineStr">
        <is>
          <t>BC / bn</t>
        </is>
      </c>
      <c r="O55" s="139" t="n"/>
      <c r="P55" s="361" t="n"/>
      <c r="Q55" s="814" t="inlineStr">
        <is>
          <t>CA / cn</t>
        </is>
      </c>
      <c r="R55" s="139" t="n"/>
      <c r="S55" s="361" t="n"/>
      <c r="T55" s="95" t="n"/>
      <c r="V55" s="814" t="inlineStr">
        <is>
          <t>AB / an</t>
        </is>
      </c>
      <c r="W55" s="139" t="n"/>
      <c r="X55" s="361" t="n"/>
      <c r="Y55" s="487" t="inlineStr">
        <is>
          <t>BC / bn</t>
        </is>
      </c>
      <c r="Z55" s="139" t="n"/>
      <c r="AA55" s="361" t="n"/>
      <c r="AB55" s="814" t="inlineStr">
        <is>
          <t>CA / cn</t>
        </is>
      </c>
      <c r="AC55" s="139" t="n"/>
      <c r="AD55" s="361" t="n"/>
      <c r="AF55" s="814" t="inlineStr">
        <is>
          <t>AB / an</t>
        </is>
      </c>
      <c r="AG55" s="139" t="n"/>
      <c r="AH55" s="361" t="n"/>
      <c r="AI55" s="487" t="inlineStr">
        <is>
          <t>BC / bn</t>
        </is>
      </c>
      <c r="AJ55" s="139" t="n"/>
      <c r="AK55" s="361" t="n"/>
      <c r="AL55" s="814" t="inlineStr">
        <is>
          <t>CA / cn</t>
        </is>
      </c>
      <c r="AM55" s="139" t="n"/>
      <c r="AN55" s="361" t="n"/>
    </row>
    <row r="56" ht="3" customHeight="1" s="718">
      <c r="A56" s="10" t="n"/>
      <c r="B56" s="85" t="n"/>
      <c r="C56" s="24" t="n"/>
      <c r="D56" s="24" t="n"/>
      <c r="E56" s="24" t="n"/>
      <c r="G56" s="32" t="n"/>
      <c r="H56" s="32" t="n"/>
      <c r="I56" s="32" t="n"/>
      <c r="J56" s="157" t="n"/>
      <c r="K56" s="3" t="n"/>
      <c r="L56" s="272" t="n"/>
      <c r="M56" s="202" t="n"/>
      <c r="N56" s="272" t="n"/>
      <c r="O56" s="272" t="n"/>
      <c r="P56" s="202" t="n"/>
      <c r="Q56" s="272" t="n"/>
      <c r="R56" s="272" t="n"/>
      <c r="S56" s="202" t="n"/>
      <c r="T56" s="11" t="n"/>
      <c r="V56" s="3" t="n"/>
      <c r="W56" s="272" t="n"/>
      <c r="X56" s="202" t="n"/>
      <c r="Y56" s="272" t="n"/>
      <c r="Z56" s="272" t="n"/>
      <c r="AA56" s="202" t="n"/>
      <c r="AB56" s="272" t="n"/>
      <c r="AC56" s="272" t="n"/>
      <c r="AD56" s="202" t="n"/>
      <c r="AF56" s="3" t="n"/>
      <c r="AG56" s="272" t="n"/>
      <c r="AH56" s="202" t="n"/>
      <c r="AI56" s="272" t="n"/>
      <c r="AJ56" s="272" t="n"/>
      <c r="AK56" s="202" t="n"/>
      <c r="AL56" s="272" t="n"/>
      <c r="AM56" s="272" t="n"/>
      <c r="AN56" s="202" t="n"/>
    </row>
    <row r="57" ht="15" customHeight="1" s="718">
      <c r="A57" s="10" t="n"/>
      <c r="B57" s="103" t="inlineStr">
        <is>
          <t>RAC  :</t>
        </is>
      </c>
      <c r="C57" s="816" t="n">
        <v>50.098765</v>
      </c>
      <c r="D57" s="812" t="n"/>
      <c r="E57" s="812" t="n"/>
      <c r="F57" s="104" t="inlineStr">
        <is>
          <t>Rbn  :</t>
        </is>
      </c>
      <c r="G57" s="817" t="n">
        <v>0.00043</v>
      </c>
      <c r="H57" s="812" t="n"/>
      <c r="I57" s="812" t="n"/>
      <c r="J57" s="813" t="n"/>
      <c r="K57" s="815" t="n">
        <v>149.466</v>
      </c>
      <c r="L57" s="812" t="n"/>
      <c r="M57" s="813" t="n"/>
      <c r="N57" s="815" t="n">
        <v>149.555</v>
      </c>
      <c r="O57" s="812" t="n"/>
      <c r="P57" s="813" t="n"/>
      <c r="Q57" s="815" t="n">
        <v>150.699</v>
      </c>
      <c r="R57" s="812" t="n"/>
      <c r="S57" s="813" t="n"/>
      <c r="T57" s="11" t="n"/>
      <c r="V57" s="815">
        <f>V66/1.050038</f>
        <v/>
      </c>
      <c r="W57" s="812" t="n"/>
      <c r="X57" s="813" t="n"/>
      <c r="Y57" s="815">
        <f>Y66/1.050038</f>
        <v/>
      </c>
      <c r="Z57" s="812" t="n"/>
      <c r="AA57" s="813" t="n"/>
      <c r="AB57" s="815">
        <f>AB66/1.050038</f>
        <v/>
      </c>
      <c r="AC57" s="812" t="n"/>
      <c r="AD57" s="813" t="n"/>
      <c r="AF57" s="815">
        <f>K57</f>
        <v/>
      </c>
      <c r="AG57" s="812" t="n"/>
      <c r="AH57" s="813" t="n"/>
      <c r="AI57" s="815">
        <f>N57</f>
        <v/>
      </c>
      <c r="AJ57" s="812" t="n"/>
      <c r="AK57" s="813" t="n"/>
      <c r="AL57" s="815">
        <f>Q57</f>
        <v/>
      </c>
      <c r="AM57" s="812" t="n"/>
      <c r="AN57" s="813" t="n"/>
    </row>
    <row r="58" ht="3" customHeight="1" s="718">
      <c r="A58" s="10" t="n"/>
      <c r="B58" s="85" t="n"/>
      <c r="C58" s="24" t="n"/>
      <c r="D58" s="24" t="n"/>
      <c r="E58" s="24" t="n"/>
      <c r="G58" s="32" t="n"/>
      <c r="H58" s="32" t="n"/>
      <c r="I58" s="32" t="n"/>
      <c r="J58" s="157" t="n"/>
      <c r="K58" s="47" t="n"/>
      <c r="L58" s="48" t="n"/>
      <c r="M58" s="102" t="n"/>
      <c r="N58" s="47" t="n"/>
      <c r="O58" s="48" t="n"/>
      <c r="P58" s="102" t="n"/>
      <c r="Q58" s="48" t="n"/>
      <c r="R58" s="48" t="n"/>
      <c r="S58" s="102" t="n"/>
      <c r="T58" s="11" t="n"/>
      <c r="V58" s="47" t="n"/>
      <c r="W58" s="48" t="n"/>
      <c r="X58" s="102" t="n"/>
      <c r="Y58" s="47" t="n"/>
      <c r="Z58" s="48" t="n"/>
      <c r="AA58" s="102" t="n"/>
      <c r="AB58" s="48" t="n"/>
      <c r="AC58" s="48" t="n"/>
      <c r="AD58" s="102" t="n"/>
      <c r="AF58" s="47" t="n"/>
      <c r="AG58" s="48" t="n"/>
      <c r="AH58" s="102" t="n"/>
      <c r="AI58" s="47" t="n"/>
      <c r="AJ58" s="48" t="n"/>
      <c r="AK58" s="102" t="n"/>
      <c r="AL58" s="48" t="n"/>
      <c r="AM58" s="48" t="n"/>
      <c r="AN58" s="102" t="n"/>
    </row>
    <row r="59" ht="17.4" customHeight="1" s="718">
      <c r="A59" s="10" t="n"/>
      <c r="B59" s="103" t="inlineStr">
        <is>
          <t>RBC  :</t>
        </is>
      </c>
      <c r="C59" s="816" t="n">
        <v>50.234567</v>
      </c>
      <c r="D59" s="812" t="n"/>
      <c r="E59" s="812" t="n"/>
      <c r="F59" s="104" t="inlineStr">
        <is>
          <t>Rcn  :</t>
        </is>
      </c>
      <c r="G59" s="817" t="n">
        <v>0.00044</v>
      </c>
      <c r="H59" s="812" t="n"/>
      <c r="I59" s="812" t="n"/>
      <c r="J59" s="813" t="n"/>
      <c r="K59" s="483" t="inlineStr">
        <is>
          <t xml:space="preserve">Kademe Bilgisi </t>
        </is>
      </c>
      <c r="L59" s="70" t="n"/>
      <c r="M59" s="70" t="n"/>
      <c r="N59" s="121" t="inlineStr">
        <is>
          <t>:</t>
        </is>
      </c>
      <c r="O59" s="434" t="n">
        <v>34500</v>
      </c>
      <c r="P59" s="121" t="n"/>
      <c r="Q59" s="190" t="inlineStr">
        <is>
          <t>/</t>
        </is>
      </c>
      <c r="R59" s="196" t="n">
        <v>230.9494</v>
      </c>
      <c r="S59" s="195" t="n"/>
      <c r="T59" s="95" t="n"/>
      <c r="V59" s="496" t="inlineStr">
        <is>
          <t xml:space="preserve">Kademe Bilgisi </t>
        </is>
      </c>
      <c r="W59" s="130" t="n"/>
      <c r="X59" s="130" t="n"/>
      <c r="Y59" s="130" t="inlineStr">
        <is>
          <t>:</t>
        </is>
      </c>
      <c r="Z59" s="489" t="inlineStr">
        <is>
          <t>30000 / 400</t>
        </is>
      </c>
      <c r="AA59" s="130" t="n"/>
      <c r="AB59" s="130" t="n"/>
      <c r="AC59" s="130" t="n"/>
      <c r="AD59" s="242" t="n"/>
      <c r="AF59" s="496" t="inlineStr">
        <is>
          <t xml:space="preserve">Kademe Bilgisi </t>
        </is>
      </c>
      <c r="AG59" s="130" t="n"/>
      <c r="AH59" s="130" t="n"/>
      <c r="AI59" s="130" t="inlineStr">
        <is>
          <t>:</t>
        </is>
      </c>
      <c r="AJ59" s="489" t="inlineStr">
        <is>
          <t>34500 / 400</t>
        </is>
      </c>
      <c r="AK59" s="130" t="n"/>
      <c r="AL59" s="130" t="n"/>
      <c r="AM59" s="130" t="n"/>
      <c r="AN59" s="242" t="n"/>
    </row>
    <row r="60" ht="3" customHeight="1" s="718">
      <c r="A60" s="10" t="n"/>
      <c r="B60" s="47" t="n"/>
      <c r="C60" s="48" t="n"/>
      <c r="D60" s="48" t="n"/>
      <c r="E60" s="48" t="n"/>
      <c r="F60" s="48" t="n"/>
      <c r="G60" s="48" t="n"/>
      <c r="H60" s="48" t="n"/>
      <c r="I60" s="48" t="n"/>
      <c r="J60" s="102" t="n"/>
      <c r="K60" s="818" t="n"/>
      <c r="L60" s="139" t="n"/>
      <c r="M60" s="139" t="n"/>
      <c r="N60" s="139" t="n"/>
      <c r="O60" s="139" t="n"/>
      <c r="P60" s="139" t="n"/>
      <c r="Q60" s="139" t="n"/>
      <c r="R60" s="139" t="n"/>
      <c r="S60" s="361" t="n"/>
      <c r="T60" s="11" t="n"/>
    </row>
    <row r="61" ht="3" customHeight="1" s="718">
      <c r="A61" s="10" t="n"/>
      <c r="B61" s="3" t="n"/>
      <c r="C61" s="272" t="n"/>
      <c r="D61" s="272" t="n"/>
      <c r="E61" s="272" t="n"/>
      <c r="F61" s="272" t="n"/>
      <c r="G61" s="272" t="n"/>
      <c r="H61" s="272" t="n"/>
      <c r="I61" s="272" t="n"/>
      <c r="J61" s="272" t="n"/>
      <c r="K61" s="272" t="n"/>
      <c r="L61" s="272" t="n"/>
      <c r="M61" s="272" t="n"/>
      <c r="N61" s="272" t="n"/>
      <c r="O61" s="272" t="n"/>
      <c r="P61" s="272" t="n"/>
      <c r="Q61" s="272" t="n"/>
      <c r="R61" s="272" t="n"/>
      <c r="S61" s="202" t="n"/>
      <c r="T61" s="11" t="n"/>
    </row>
    <row r="62" ht="15.75" customHeight="1" s="718">
      <c r="A62" s="10" t="n"/>
      <c r="B62" s="811" t="inlineStr">
        <is>
          <t>İZOLASYON (YALITIM) DİRENÇLERİ ( Ω )</t>
        </is>
      </c>
      <c r="C62" s="130" t="n"/>
      <c r="D62" s="130" t="n"/>
      <c r="E62" s="130" t="n"/>
      <c r="F62" s="130" t="n"/>
      <c r="G62" s="130" t="n"/>
      <c r="H62" s="130" t="n"/>
      <c r="I62" s="130" t="n"/>
      <c r="J62" s="130" t="n"/>
      <c r="K62" s="130" t="n"/>
      <c r="L62" s="130" t="n"/>
      <c r="M62" s="130" t="n"/>
      <c r="N62" s="130" t="n"/>
      <c r="O62" s="130" t="n"/>
      <c r="P62" s="130" t="n"/>
      <c r="Q62" s="130" t="n"/>
      <c r="R62" s="130" t="n"/>
      <c r="S62" s="242" t="n"/>
      <c r="T62" s="11" t="n"/>
      <c r="V62" s="811" t="inlineStr">
        <is>
          <t>ÇEVİRME ORANI  ( TTR )</t>
        </is>
      </c>
      <c r="W62" s="130" t="n"/>
      <c r="X62" s="130" t="n"/>
      <c r="Y62" s="130" t="n"/>
      <c r="Z62" s="130" t="n"/>
      <c r="AA62" s="130" t="n"/>
      <c r="AB62" s="130" t="n"/>
      <c r="AC62" s="130" t="n"/>
      <c r="AD62" s="242" t="n"/>
      <c r="AF62" s="811" t="inlineStr">
        <is>
          <t>ÇEVİRME ORANI  ( TTR )</t>
        </is>
      </c>
      <c r="AG62" s="130" t="n"/>
      <c r="AH62" s="130" t="n"/>
      <c r="AI62" s="130" t="n"/>
      <c r="AJ62" s="130" t="n"/>
      <c r="AK62" s="130" t="n"/>
      <c r="AL62" s="130" t="n"/>
      <c r="AM62" s="130" t="n"/>
      <c r="AN62" s="242" t="n"/>
    </row>
    <row r="63" ht="3" customHeight="1" s="718">
      <c r="A63" s="10" t="n"/>
      <c r="B63" s="3" t="n"/>
      <c r="C63" s="272" t="n"/>
      <c r="D63" s="272" t="n"/>
      <c r="E63" s="272" t="n"/>
      <c r="F63" s="272" t="n"/>
      <c r="G63" s="24" t="n"/>
      <c r="H63" s="272" t="n"/>
      <c r="I63" s="272" t="n"/>
      <c r="J63" s="272" t="n"/>
      <c r="K63" s="272" t="n"/>
      <c r="L63" s="272" t="n"/>
      <c r="M63" s="272" t="n"/>
      <c r="N63" s="272" t="n"/>
      <c r="O63" s="272" t="n"/>
      <c r="P63" s="272" t="n"/>
      <c r="Q63" s="272" t="n"/>
      <c r="R63" s="272" t="n"/>
      <c r="S63" s="202" t="n"/>
      <c r="T63" s="11" t="n"/>
      <c r="V63" s="3" t="n"/>
      <c r="W63" s="272" t="n"/>
      <c r="X63" s="272" t="n"/>
      <c r="Y63" s="44" t="n"/>
      <c r="Z63" s="272" t="n"/>
      <c r="AA63" s="272" t="n"/>
      <c r="AB63" s="44" t="n"/>
      <c r="AC63" s="272" t="n"/>
      <c r="AD63" s="202" t="n"/>
      <c r="AF63" s="3" t="n"/>
      <c r="AG63" s="272" t="n"/>
      <c r="AH63" s="272" t="n"/>
      <c r="AI63" s="44" t="n"/>
      <c r="AJ63" s="272" t="n"/>
      <c r="AK63" s="272" t="n"/>
      <c r="AL63" s="44" t="n"/>
      <c r="AM63" s="272" t="n"/>
      <c r="AN63" s="202" t="n"/>
    </row>
    <row r="64">
      <c r="A64" s="10" t="n"/>
      <c r="B64" s="3" t="n"/>
      <c r="C64" s="272" t="n"/>
      <c r="D64" s="272" t="n"/>
      <c r="E64" s="272" t="n"/>
      <c r="F64" s="493" t="inlineStr">
        <is>
          <t>30 sn</t>
        </is>
      </c>
      <c r="H64" s="272" t="n"/>
      <c r="I64" s="493" t="inlineStr">
        <is>
          <t>45 sn</t>
        </is>
      </c>
      <c r="K64" s="272" t="n"/>
      <c r="L64" s="493" t="inlineStr">
        <is>
          <t>60 sn</t>
        </is>
      </c>
      <c r="O64" s="775" t="inlineStr">
        <is>
          <t>Birim</t>
        </is>
      </c>
      <c r="Q64" s="495" t="inlineStr">
        <is>
          <t xml:space="preserve">       DAR</t>
        </is>
      </c>
      <c r="S64" s="360" t="n"/>
      <c r="T64" s="11" t="n"/>
      <c r="V64" s="814" t="inlineStr">
        <is>
          <t>AB / an</t>
        </is>
      </c>
      <c r="W64" s="139" t="n"/>
      <c r="X64" s="361" t="n"/>
      <c r="Y64" s="487" t="inlineStr">
        <is>
          <t>BC / bn</t>
        </is>
      </c>
      <c r="Z64" s="139" t="n"/>
      <c r="AA64" s="361" t="n"/>
      <c r="AB64" s="814" t="inlineStr">
        <is>
          <t>CA / cn</t>
        </is>
      </c>
      <c r="AC64" s="139" t="n"/>
      <c r="AD64" s="361" t="n"/>
      <c r="AF64" s="814" t="inlineStr">
        <is>
          <t>AB / an</t>
        </is>
      </c>
      <c r="AG64" s="139" t="n"/>
      <c r="AH64" s="361" t="n"/>
      <c r="AI64" s="487" t="inlineStr">
        <is>
          <t>BC / bn</t>
        </is>
      </c>
      <c r="AJ64" s="139" t="n"/>
      <c r="AK64" s="361" t="n"/>
      <c r="AL64" s="814" t="inlineStr">
        <is>
          <t>CA / cn</t>
        </is>
      </c>
      <c r="AM64" s="139" t="n"/>
      <c r="AN64" s="361" t="n"/>
    </row>
    <row r="65" ht="3" customHeight="1" s="718">
      <c r="A65" s="10" t="n"/>
      <c r="B65" s="75" t="n"/>
      <c r="C65" s="76" t="n"/>
      <c r="D65" s="76" t="n"/>
      <c r="E65" s="76" t="n"/>
      <c r="F65" s="76" t="n"/>
      <c r="G65" s="76" t="n"/>
      <c r="H65" s="76" t="n"/>
      <c r="I65" s="76" t="n"/>
      <c r="J65" s="76" t="n"/>
      <c r="K65" s="76" t="n"/>
      <c r="L65" s="76" t="n"/>
      <c r="M65" s="76" t="n"/>
      <c r="N65" s="76" t="n"/>
      <c r="O65" s="76" t="n"/>
      <c r="P65" s="76" t="n"/>
      <c r="Q65" s="76" t="n"/>
      <c r="R65" s="76" t="n"/>
      <c r="S65" s="77" t="n"/>
      <c r="T65" s="11" t="n"/>
      <c r="V65" s="3" t="n"/>
      <c r="W65" s="272" t="n"/>
      <c r="X65" s="202" t="n"/>
      <c r="Y65" s="272" t="n"/>
      <c r="Z65" s="272" t="n"/>
      <c r="AA65" s="202" t="n"/>
      <c r="AB65" s="272" t="n"/>
      <c r="AC65" s="272" t="n"/>
      <c r="AD65" s="202" t="n"/>
      <c r="AF65" s="3" t="n"/>
      <c r="AG65" s="272" t="n"/>
      <c r="AH65" s="202" t="n"/>
      <c r="AI65" s="272" t="n"/>
      <c r="AJ65" s="272" t="n"/>
      <c r="AK65" s="202" t="n"/>
      <c r="AL65" s="272" t="n"/>
      <c r="AM65" s="272" t="n"/>
      <c r="AN65" s="202" t="n"/>
    </row>
    <row r="66" ht="15" customHeight="1" s="718">
      <c r="A66" s="10" t="n"/>
      <c r="B66" s="440" t="inlineStr">
        <is>
          <t>Y.G - TANK</t>
        </is>
      </c>
      <c r="E66" s="655" t="n"/>
      <c r="F66" s="442" t="n">
        <v>10</v>
      </c>
      <c r="G66" s="812" t="n"/>
      <c r="H66" s="146" t="n"/>
      <c r="I66" s="442" t="n">
        <v>12</v>
      </c>
      <c r="J66" s="812" t="n"/>
      <c r="K66" s="146" t="n"/>
      <c r="L66" s="442" t="n">
        <v>15</v>
      </c>
      <c r="M66" s="812" t="n"/>
      <c r="N66" s="655" t="n"/>
      <c r="O66" s="704" t="inlineStr">
        <is>
          <t>G</t>
        </is>
      </c>
      <c r="P66" s="126" t="inlineStr">
        <is>
          <t>Ω</t>
        </is>
      </c>
      <c r="Q66" s="435">
        <f>L66/F66</f>
        <v/>
      </c>
      <c r="R66" s="812" t="n"/>
      <c r="S66" s="143" t="n"/>
      <c r="T66" s="11" t="n"/>
      <c r="V66" s="815">
        <f>AF48/1.04758</f>
        <v/>
      </c>
      <c r="W66" s="812" t="n"/>
      <c r="X66" s="813" t="n"/>
      <c r="Y66" s="815">
        <f>AI48/1.04758</f>
        <v/>
      </c>
      <c r="Z66" s="812" t="n"/>
      <c r="AA66" s="813" t="n"/>
      <c r="AB66" s="815">
        <f>AL48/1.04758</f>
        <v/>
      </c>
      <c r="AC66" s="812" t="n"/>
      <c r="AD66" s="813" t="n"/>
      <c r="AF66" s="815">
        <f>AF57*1.043443</f>
        <v/>
      </c>
      <c r="AG66" s="812" t="n"/>
      <c r="AH66" s="813" t="n"/>
      <c r="AI66" s="815">
        <f>AI57*1.043443</f>
        <v/>
      </c>
      <c r="AJ66" s="812" t="n"/>
      <c r="AK66" s="813" t="n"/>
      <c r="AL66" s="815">
        <f>AL57*1.043443</f>
        <v/>
      </c>
      <c r="AM66" s="812" t="n"/>
      <c r="AN66" s="813" t="n"/>
    </row>
    <row r="67" ht="3" customHeight="1" s="718">
      <c r="A67" s="10" t="n"/>
      <c r="B67" s="111" t="n"/>
      <c r="C67" s="112" t="n"/>
      <c r="D67" s="112" t="n"/>
      <c r="E67" s="272" t="n"/>
      <c r="F67" s="147" t="n"/>
      <c r="G67" s="147" t="n"/>
      <c r="H67" s="147" t="n"/>
      <c r="I67" s="147" t="n"/>
      <c r="J67" s="147" t="n"/>
      <c r="K67" s="147" t="n"/>
      <c r="L67" s="147" t="n"/>
      <c r="M67" s="147" t="n"/>
      <c r="N67" s="272" t="n"/>
      <c r="O67" s="704" t="n"/>
      <c r="P67" s="127" t="n"/>
      <c r="Q67" s="141" t="n"/>
      <c r="R67" s="141" t="n"/>
      <c r="S67" s="142" t="n"/>
      <c r="T67" s="11" t="n"/>
      <c r="V67" s="47" t="n"/>
      <c r="W67" s="48" t="n"/>
      <c r="X67" s="102" t="n"/>
      <c r="Y67" s="47" t="n"/>
      <c r="Z67" s="48" t="n"/>
      <c r="AA67" s="102" t="n"/>
      <c r="AB67" s="48" t="n"/>
      <c r="AC67" s="48" t="n"/>
      <c r="AD67" s="102" t="n"/>
      <c r="AF67" s="47" t="n"/>
      <c r="AG67" s="48" t="n"/>
      <c r="AH67" s="102" t="n"/>
      <c r="AI67" s="47" t="n"/>
      <c r="AJ67" s="48" t="n"/>
      <c r="AK67" s="102" t="n"/>
      <c r="AL67" s="48" t="n"/>
      <c r="AM67" s="48" t="n"/>
      <c r="AN67" s="102" t="n"/>
    </row>
    <row r="68" ht="15.6" customHeight="1" s="718">
      <c r="A68" s="10" t="n"/>
      <c r="B68" s="440" t="inlineStr">
        <is>
          <t>A.G - TANK</t>
        </is>
      </c>
      <c r="E68" s="272" t="n"/>
      <c r="F68" s="442" t="n">
        <v>8</v>
      </c>
      <c r="G68" s="812" t="n"/>
      <c r="H68" s="147" t="n"/>
      <c r="I68" s="442" t="n">
        <v>10</v>
      </c>
      <c r="J68" s="812" t="n"/>
      <c r="K68" s="147" t="n"/>
      <c r="L68" s="442" t="n">
        <v>13</v>
      </c>
      <c r="M68" s="812" t="n"/>
      <c r="N68" s="57" t="n"/>
      <c r="O68" s="704" t="inlineStr">
        <is>
          <t>G</t>
        </is>
      </c>
      <c r="P68" s="126" t="inlineStr">
        <is>
          <t>Ω</t>
        </is>
      </c>
      <c r="Q68" s="435">
        <f>L68/F68</f>
        <v/>
      </c>
      <c r="R68" s="812" t="n"/>
      <c r="S68" s="143" t="n"/>
      <c r="T68" s="11" t="n"/>
      <c r="V68" s="496" t="inlineStr">
        <is>
          <t xml:space="preserve">Kademe Bilgisi </t>
        </is>
      </c>
      <c r="W68" s="130" t="n"/>
      <c r="X68" s="130" t="n"/>
      <c r="Y68" s="130" t="inlineStr">
        <is>
          <t>:</t>
        </is>
      </c>
      <c r="Z68" s="489" t="inlineStr">
        <is>
          <t>31500 / 400</t>
        </is>
      </c>
      <c r="AA68" s="130" t="n"/>
      <c r="AB68" s="130" t="n"/>
      <c r="AC68" s="130" t="n"/>
      <c r="AD68" s="242" t="n"/>
      <c r="AF68" s="496" t="inlineStr">
        <is>
          <t xml:space="preserve">Kademe Bilgisi </t>
        </is>
      </c>
      <c r="AG68" s="130" t="n"/>
      <c r="AH68" s="130" t="n"/>
      <c r="AI68" s="130" t="inlineStr">
        <is>
          <t>:</t>
        </is>
      </c>
      <c r="AJ68" s="489" t="inlineStr">
        <is>
          <t>36000 / 400</t>
        </is>
      </c>
      <c r="AK68" s="130" t="n"/>
      <c r="AL68" s="130" t="n"/>
      <c r="AM68" s="130" t="n"/>
      <c r="AN68" s="242" t="n"/>
    </row>
    <row r="69" ht="3" customHeight="1" s="718">
      <c r="A69" s="10" t="n"/>
      <c r="B69" s="440" t="n"/>
      <c r="C69" s="112" t="n"/>
      <c r="D69" s="112" t="n"/>
      <c r="E69" s="272" t="n"/>
      <c r="F69" s="147" t="n"/>
      <c r="G69" s="147" t="n"/>
      <c r="H69" s="147" t="n"/>
      <c r="I69" s="147" t="n"/>
      <c r="J69" s="147" t="n"/>
      <c r="K69" s="147" t="n"/>
      <c r="L69" s="147" t="n"/>
      <c r="M69" s="147" t="n"/>
      <c r="N69" s="57" t="n"/>
      <c r="O69" s="704" t="n"/>
      <c r="P69" s="128" t="n"/>
      <c r="Q69" s="141" t="n"/>
      <c r="R69" s="141" t="n"/>
      <c r="S69" s="142" t="n"/>
      <c r="T69" s="11" t="n"/>
    </row>
    <row r="70" ht="15.6" customHeight="1" s="718">
      <c r="A70" s="10" t="n"/>
      <c r="B70" s="440" t="inlineStr">
        <is>
          <t>Y.G - A.G</t>
        </is>
      </c>
      <c r="E70" s="272" t="n"/>
      <c r="F70" s="442" t="n">
        <v>15</v>
      </c>
      <c r="G70" s="812" t="n"/>
      <c r="H70" s="147" t="n"/>
      <c r="I70" s="442" t="n">
        <v>16</v>
      </c>
      <c r="J70" s="812" t="n"/>
      <c r="K70" s="147" t="n"/>
      <c r="L70" s="442" t="n">
        <v>18</v>
      </c>
      <c r="M70" s="812" t="n"/>
      <c r="N70" s="272" t="n"/>
      <c r="O70" s="704" t="inlineStr">
        <is>
          <t>G</t>
        </is>
      </c>
      <c r="P70" s="126" t="inlineStr">
        <is>
          <t>Ω</t>
        </is>
      </c>
      <c r="Q70" s="435">
        <f>L70/F70</f>
        <v/>
      </c>
      <c r="R70" s="812" t="n"/>
      <c r="S70" s="143" t="n"/>
      <c r="T70" s="11" t="n"/>
    </row>
    <row r="71" ht="3" customHeight="1" s="718">
      <c r="A71" s="10" t="n"/>
      <c r="B71" s="114" t="n"/>
      <c r="C71" s="115" t="n"/>
      <c r="D71" s="115" t="n"/>
      <c r="E71" s="48" t="n"/>
      <c r="F71" s="48" t="n"/>
      <c r="G71" s="48" t="n"/>
      <c r="H71" s="48" t="n"/>
      <c r="I71" s="48" t="n"/>
      <c r="J71" s="48" t="n"/>
      <c r="K71" s="48" t="n"/>
      <c r="L71" s="48" t="n"/>
      <c r="M71" s="48" t="n"/>
      <c r="N71" s="48" t="n"/>
      <c r="O71" s="139" t="n"/>
      <c r="P71" s="105" t="n"/>
      <c r="Q71" s="486" t="n"/>
      <c r="R71" s="486" t="n"/>
      <c r="S71" s="487" t="n"/>
      <c r="T71" s="11" t="n"/>
    </row>
    <row r="72" ht="3" customHeight="1" s="718">
      <c r="A72" s="10" t="n"/>
      <c r="B72" s="149" t="n"/>
      <c r="C72" s="68" t="n"/>
      <c r="D72" s="68" t="n"/>
      <c r="E72" s="68" t="n"/>
      <c r="F72" s="68" t="n"/>
      <c r="G72" s="68" t="n"/>
      <c r="H72" s="68" t="n"/>
      <c r="I72" s="68" t="n"/>
      <c r="J72" s="68" t="n"/>
      <c r="K72" s="68" t="n"/>
      <c r="L72" s="68" t="n"/>
      <c r="M72" s="68" t="n"/>
      <c r="N72" s="68" t="n"/>
      <c r="O72" s="68" t="n"/>
      <c r="P72" s="68" t="n"/>
      <c r="Q72" s="68" t="n"/>
      <c r="R72" s="68" t="n"/>
      <c r="S72" s="724" t="n"/>
      <c r="T72" s="11" t="n"/>
    </row>
    <row r="73" ht="15.75" customHeight="1" s="718">
      <c r="A73" s="10" t="n"/>
      <c r="B73" s="819" t="inlineStr">
        <is>
          <t>NOTLAR : Trafonun rutin bakımları ve izolasyon testleri yapıldı. Herhangi bir olumsuzluğa rastlanmadı.</t>
        </is>
      </c>
      <c r="S73" s="360" t="n"/>
      <c r="T73" s="11" t="n"/>
    </row>
    <row r="74" ht="15" customHeight="1" s="718">
      <c r="A74" s="10" t="n"/>
      <c r="B74" s="85" t="n"/>
      <c r="S74" s="360" t="n"/>
      <c r="T74" s="11" t="n"/>
    </row>
    <row r="75" ht="15.75" customHeight="1" s="718">
      <c r="A75" s="10" t="n"/>
      <c r="B75" s="85" t="n"/>
      <c r="S75" s="360" t="n"/>
      <c r="T75" s="11" t="n"/>
    </row>
    <row r="76" ht="15.75" customHeight="1" s="718">
      <c r="A76" s="10" t="n"/>
      <c r="B76" s="85" t="n"/>
      <c r="S76" s="360" t="n"/>
      <c r="T76" s="11" t="n"/>
      <c r="U76" s="10" t="n"/>
    </row>
    <row r="77" ht="4.5" customHeight="1" s="718">
      <c r="A77" s="10" t="n"/>
      <c r="B77" s="311" t="n"/>
      <c r="C77" s="356" t="n"/>
      <c r="D77" s="356" t="n"/>
      <c r="E77" s="356" t="n"/>
      <c r="F77" s="356" t="n"/>
      <c r="G77" s="356" t="n"/>
      <c r="H77" s="356" t="n"/>
      <c r="I77" s="356" t="n"/>
      <c r="J77" s="356" t="n"/>
      <c r="K77" s="356" t="n"/>
      <c r="L77" s="356" t="n"/>
      <c r="M77" s="356" t="n"/>
      <c r="N77" s="356" t="n"/>
      <c r="O77" s="356" t="n"/>
      <c r="P77" s="356" t="n"/>
      <c r="Q77" s="356" t="n"/>
      <c r="R77" s="356" t="n"/>
      <c r="S77" s="313" t="n"/>
      <c r="T77" s="11" t="n"/>
    </row>
    <row r="78" ht="16.5" customHeight="1" s="718">
      <c r="A78" s="10" t="n"/>
      <c r="B78" s="498" t="inlineStr">
        <is>
          <t>Rapor Tarihi</t>
        </is>
      </c>
      <c r="C78" s="70" t="n"/>
      <c r="D78" s="70" t="n"/>
      <c r="E78" s="331" t="inlineStr">
        <is>
          <t>:</t>
        </is>
      </c>
      <c r="F78" s="501">
        <f>'KAPAK SAYFASI'!D55</f>
        <v/>
      </c>
      <c r="G78" s="70" t="n"/>
      <c r="H78" s="70" t="n"/>
      <c r="I78" s="70" t="n"/>
      <c r="J78" s="359" t="n"/>
      <c r="K78" s="596" t="inlineStr">
        <is>
          <t>ONAYLAYAN</t>
        </is>
      </c>
      <c r="L78" s="130" t="n"/>
      <c r="M78" s="130" t="n"/>
      <c r="N78" s="130" t="n"/>
      <c r="O78" s="130" t="n"/>
      <c r="P78" s="130" t="n"/>
      <c r="Q78" s="130" t="n"/>
      <c r="R78" s="130" t="n"/>
      <c r="S78" s="242" t="n"/>
      <c r="T78" s="11" t="n"/>
    </row>
    <row r="79" ht="16.5" customHeight="1" s="718">
      <c r="A79" s="10" t="n"/>
      <c r="B79" s="429" t="inlineStr">
        <is>
          <t>Test Tarihi</t>
        </is>
      </c>
      <c r="E79" s="286" t="inlineStr">
        <is>
          <t>:</t>
        </is>
      </c>
      <c r="F79" s="820">
        <f>'KAPAK SAYFASI'!D54</f>
        <v/>
      </c>
      <c r="J79" s="360" t="n"/>
      <c r="K79" s="287" t="inlineStr">
        <is>
          <t>Ahmet YILMAZ</t>
        </is>
      </c>
      <c r="L79" s="288" t="n"/>
      <c r="M79" s="286" t="n"/>
      <c r="N79" s="821" t="n"/>
      <c r="O79" s="821" t="n"/>
      <c r="P79" s="821" t="n"/>
      <c r="Q79" s="821" t="n"/>
      <c r="R79" s="821" t="n"/>
      <c r="S79" s="822" t="n"/>
      <c r="T79" s="11" t="n"/>
    </row>
    <row r="80" ht="16.5" customHeight="1" s="718">
      <c r="A80" s="10" t="n"/>
      <c r="B80" s="429" t="inlineStr">
        <is>
          <t>Unvan</t>
        </is>
      </c>
      <c r="E80" s="286" t="inlineStr">
        <is>
          <t>:</t>
        </is>
      </c>
      <c r="F80" s="693" t="inlineStr">
        <is>
          <t>Elektrik Mühendisi</t>
        </is>
      </c>
      <c r="J80" s="360" t="n"/>
      <c r="K80" s="287" t="n"/>
      <c r="L80" s="288" t="n"/>
      <c r="M80" s="286" t="n"/>
      <c r="N80" s="286" t="n"/>
      <c r="O80" s="286" t="n"/>
      <c r="P80" s="286" t="n"/>
      <c r="Q80" s="286" t="n"/>
      <c r="R80" s="286" t="n"/>
      <c r="S80" s="296" t="n"/>
      <c r="T80" s="11" t="n"/>
    </row>
    <row r="81" ht="16.5" customHeight="1" s="718">
      <c r="A81" s="10" t="n"/>
      <c r="B81" s="429" t="inlineStr">
        <is>
          <t>Sicil No</t>
        </is>
      </c>
      <c r="E81" s="286" t="inlineStr">
        <is>
          <t>:</t>
        </is>
      </c>
      <c r="F81" s="437" t="n">
        <v>12345</v>
      </c>
      <c r="J81" s="360" t="n"/>
      <c r="K81" s="429" t="n"/>
      <c r="L81" s="430" t="n"/>
      <c r="M81" s="286" t="n"/>
      <c r="N81" s="436" t="n"/>
      <c r="O81" s="436" t="n"/>
      <c r="P81" s="436" t="n"/>
      <c r="Q81" s="436" t="n"/>
      <c r="R81" s="436" t="n"/>
      <c r="S81" s="437" t="n"/>
      <c r="T81" s="11" t="n"/>
    </row>
    <row r="82" ht="16.5" customHeight="1" s="718">
      <c r="A82" s="10" t="n"/>
      <c r="B82" s="438" t="inlineStr">
        <is>
          <t>Ekipnet No</t>
        </is>
      </c>
      <c r="C82" s="139" t="n"/>
      <c r="D82" s="139" t="n"/>
      <c r="E82" s="291" t="inlineStr">
        <is>
          <t>:</t>
        </is>
      </c>
      <c r="F82" s="691" t="inlineStr">
        <is>
          <t>K202439698</t>
        </is>
      </c>
      <c r="G82" s="139" t="n"/>
      <c r="H82" s="139" t="n"/>
      <c r="I82" s="139" t="n"/>
      <c r="J82" s="361" t="n"/>
      <c r="K82" s="438" t="n"/>
      <c r="L82" s="439" t="n"/>
      <c r="M82" s="291" t="n"/>
      <c r="N82" s="427" t="n"/>
      <c r="O82" s="427" t="n"/>
      <c r="P82" s="427" t="n"/>
      <c r="Q82" s="427" t="n"/>
      <c r="R82" s="427" t="n"/>
      <c r="S82" s="428" t="n"/>
      <c r="T82" s="11" t="n"/>
    </row>
    <row r="83" ht="6" customHeight="1" s="718"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75">
    <mergeCell ref="G55:J55"/>
    <mergeCell ref="F68:G68"/>
    <mergeCell ref="AL57:AN57"/>
    <mergeCell ref="V44:AD44"/>
    <mergeCell ref="AL66:AN66"/>
    <mergeCell ref="L66:M66"/>
    <mergeCell ref="AF62:AN62"/>
    <mergeCell ref="L68:M68"/>
    <mergeCell ref="K5:S6"/>
    <mergeCell ref="V66:X66"/>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F78:J78"/>
    <mergeCell ref="P35:Q35"/>
    <mergeCell ref="K39:N39"/>
    <mergeCell ref="Q68:R68"/>
    <mergeCell ref="O19:S19"/>
    <mergeCell ref="B33:E33"/>
    <mergeCell ref="B82:D82"/>
    <mergeCell ref="H50:I50"/>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K46:O46"/>
    <mergeCell ref="F66:G66"/>
    <mergeCell ref="Y57:AA57"/>
    <mergeCell ref="V57:X57"/>
    <mergeCell ref="B27:E27"/>
    <mergeCell ref="H2:J3"/>
    <mergeCell ref="B24:S24"/>
    <mergeCell ref="G33:H33"/>
    <mergeCell ref="B11:E11"/>
    <mergeCell ref="AI64:AK64"/>
    <mergeCell ref="V55:X55"/>
    <mergeCell ref="P37:Q37"/>
    <mergeCell ref="V68:X68"/>
    <mergeCell ref="K41:N41"/>
    <mergeCell ref="G35:H35"/>
    <mergeCell ref="H48:I48"/>
    <mergeCell ref="B29:E29"/>
    <mergeCell ref="B37:E37"/>
    <mergeCell ref="K60:S60"/>
    <mergeCell ref="O13:S13"/>
    <mergeCell ref="K27:N27"/>
    <mergeCell ref="F64:G64"/>
    <mergeCell ref="L70:M70"/>
    <mergeCell ref="AB46:AD46"/>
    <mergeCell ref="AJ50:AN50"/>
    <mergeCell ref="V59:X59"/>
    <mergeCell ref="C55:E55"/>
    <mergeCell ref="AJ59:AN59"/>
    <mergeCell ref="O15:S15"/>
    <mergeCell ref="B15:E15"/>
    <mergeCell ref="B46:F46"/>
    <mergeCell ref="P41:Q41"/>
    <mergeCell ref="B78:D78"/>
    <mergeCell ref="AF55:AH55"/>
    <mergeCell ref="AB48:AD48"/>
    <mergeCell ref="K59:M59"/>
    <mergeCell ref="G39:H39"/>
    <mergeCell ref="AF64:AH64"/>
    <mergeCell ref="B44:S44"/>
    <mergeCell ref="B48:F48"/>
    <mergeCell ref="G37:H37"/>
    <mergeCell ref="G59:J59"/>
    <mergeCell ref="P27:Q27"/>
    <mergeCell ref="B9:S9"/>
    <mergeCell ref="G11:J11"/>
    <mergeCell ref="F79:J79"/>
    <mergeCell ref="AL64:AN64"/>
    <mergeCell ref="AL48:AN48"/>
    <mergeCell ref="O59:P59"/>
    <mergeCell ref="K13:M13"/>
    <mergeCell ref="F81:J81"/>
    <mergeCell ref="K29:N29"/>
    <mergeCell ref="Q46:R46"/>
    <mergeCell ref="AI48:AK48"/>
    <mergeCell ref="I64:J64"/>
    <mergeCell ref="K15:M15"/>
    <mergeCell ref="K48:O48"/>
    <mergeCell ref="K31:N31"/>
    <mergeCell ref="B62:S62"/>
    <mergeCell ref="G13:J13"/>
    <mergeCell ref="B66:D66"/>
    <mergeCell ref="Q48:R48"/>
    <mergeCell ref="B17:E17"/>
    <mergeCell ref="K2:S3"/>
    <mergeCell ref="Q70:R70"/>
    <mergeCell ref="G41:H41"/>
    <mergeCell ref="F82:J82"/>
    <mergeCell ref="AF66:AH66"/>
    <mergeCell ref="K21:M21"/>
    <mergeCell ref="B19:E19"/>
    <mergeCell ref="G15:J15"/>
    <mergeCell ref="B50:F50"/>
    <mergeCell ref="Q55:S55"/>
    <mergeCell ref="Y64:AA64"/>
    <mergeCell ref="Q64:S64"/>
    <mergeCell ref="AF68:AH68"/>
    <mergeCell ref="P29:Q29"/>
    <mergeCell ref="AF44:AN44"/>
    <mergeCell ref="H5:J6"/>
    <mergeCell ref="P31:Q31"/>
    <mergeCell ref="AF59:AH59"/>
    <mergeCell ref="H46:I46"/>
    <mergeCell ref="Z50:AD50"/>
    <mergeCell ref="AI66:AK66"/>
    <mergeCell ref="F80:J80"/>
    <mergeCell ref="K50:O50"/>
    <mergeCell ref="Q50:R50"/>
    <mergeCell ref="AL55:AN55"/>
    <mergeCell ref="B6:G6"/>
    <mergeCell ref="L64:M64"/>
    <mergeCell ref="I68:J68"/>
    <mergeCell ref="V46:X46"/>
    <mergeCell ref="K19:M19"/>
    <mergeCell ref="G17:J17"/>
    <mergeCell ref="B79:D79"/>
    <mergeCell ref="Q57:S57"/>
    <mergeCell ref="G19:J19"/>
    <mergeCell ref="AB64:AD64"/>
    <mergeCell ref="B81:D81"/>
    <mergeCell ref="O64:P64"/>
    <mergeCell ref="G29:H29"/>
    <mergeCell ref="Y55:AA55"/>
    <mergeCell ref="O17:S17"/>
    <mergeCell ref="V48:X48"/>
    <mergeCell ref="K55:M55"/>
    <mergeCell ref="AF57:AH57"/>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5" zoomScaleNormal="100" workbookViewId="0">
      <selection activeCell="U23" sqref="U23"/>
    </sheetView>
  </sheetViews>
  <sheetFormatPr baseColWidth="8" defaultRowHeight="14.4"/>
  <cols>
    <col width="3.5546875" customWidth="1" style="718" min="1" max="1"/>
    <col width="5.5546875" customWidth="1" style="718" min="2" max="17"/>
    <col width="15" customWidth="1" style="718" min="7" max="7"/>
    <col width="3.5546875" customWidth="1" style="718" min="18" max="18"/>
    <col width="9.109375" customWidth="1" style="718"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11" t="inlineStr">
        <is>
          <t>PRİMER SARGI DİRENCİ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573">
        <f>'ANA SAYFA'!G11</f>
        <v/>
      </c>
      <c r="E7" s="130" t="n"/>
      <c r="F7" s="242" t="n"/>
      <c r="G7" s="573" t="inlineStr">
        <is>
          <t>Model :</t>
        </is>
      </c>
      <c r="H7" s="242" t="n"/>
      <c r="I7" s="743">
        <f>'ANA SAYFA'!O13</f>
        <v/>
      </c>
      <c r="J7" s="130" t="n"/>
      <c r="K7" s="242" t="n"/>
      <c r="L7" s="743" t="inlineStr">
        <is>
          <t>Seri Numarası :</t>
        </is>
      </c>
      <c r="M7" s="130" t="n"/>
      <c r="N7" s="242" t="n"/>
      <c r="O7" s="743">
        <f>'ANA SAYFA'!O15</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row>
    <row r="9" ht="18" customHeight="1" s="718">
      <c r="A9" s="10" t="n"/>
      <c r="B9" s="555" t="inlineStr">
        <is>
          <t>OTURUM TARİHİ :</t>
        </is>
      </c>
      <c r="C9" s="130" t="n"/>
      <c r="D9" s="130" t="n"/>
      <c r="E9" s="130" t="n"/>
      <c r="F9" s="130" t="n"/>
      <c r="G9" s="130" t="n"/>
      <c r="H9" s="130" t="n"/>
      <c r="I9" s="130" t="n"/>
      <c r="J9" s="823">
        <f>'ANA SAYFA'!F78</f>
        <v/>
      </c>
      <c r="K9" s="130" t="n"/>
      <c r="L9" s="130" t="n"/>
      <c r="M9" s="130" t="n"/>
      <c r="N9" s="130" t="n"/>
      <c r="O9" s="130" t="n"/>
      <c r="P9" s="130" t="n"/>
      <c r="Q9" s="242" t="n"/>
      <c r="R9" s="11" t="n"/>
    </row>
    <row r="10">
      <c r="A10" s="10" t="n"/>
      <c r="B10" s="3" t="n"/>
      <c r="C10" s="272" t="n"/>
      <c r="D10" s="272" t="n"/>
      <c r="E10" s="272" t="n"/>
      <c r="F10" s="272" t="n"/>
      <c r="G10" s="272" t="n"/>
      <c r="H10" s="272" t="n"/>
      <c r="I10" s="272" t="n"/>
      <c r="J10" s="272" t="n"/>
      <c r="K10" s="272" t="n"/>
      <c r="L10" s="272" t="n"/>
      <c r="M10" s="272" t="n"/>
      <c r="N10" s="272" t="n"/>
      <c r="O10" s="272" t="n"/>
      <c r="P10" s="272" t="n"/>
      <c r="Q10" s="202" t="n"/>
      <c r="R10" s="11" t="n"/>
    </row>
    <row r="11">
      <c r="A11" s="10" t="n"/>
      <c r="B11" s="576" t="inlineStr">
        <is>
          <t>Operatör :</t>
        </is>
      </c>
      <c r="C11" s="242" t="n"/>
      <c r="D11" s="577" t="inlineStr">
        <is>
          <t>Ahmet YILMAZ</t>
        </is>
      </c>
      <c r="E11" s="130" t="n"/>
      <c r="F11" s="130" t="n"/>
      <c r="G11" s="242" t="n"/>
      <c r="H11" s="576" t="inlineStr">
        <is>
          <t>Cihaz :</t>
        </is>
      </c>
      <c r="I11" s="242" t="n"/>
      <c r="J11" s="743" t="inlineStr">
        <is>
          <t>STS 5000</t>
        </is>
      </c>
      <c r="K11" s="130" t="n"/>
      <c r="L11" s="242" t="n"/>
      <c r="M11" s="743" t="inlineStr">
        <is>
          <t>Cihaz S/N :</t>
        </is>
      </c>
      <c r="N11" s="242" t="n"/>
      <c r="O11" s="743" t="inlineStr">
        <is>
          <t>SN-19B20</t>
        </is>
      </c>
      <c r="P11" s="130" t="n"/>
      <c r="Q11" s="242" t="n"/>
      <c r="R11" s="11" t="n"/>
      <c r="U11" s="129" t="n"/>
    </row>
    <row r="12">
      <c r="A12" s="10" t="n"/>
      <c r="B12" s="3" t="n"/>
      <c r="C12" s="272" t="n"/>
      <c r="D12" s="272" t="n"/>
      <c r="E12" s="272" t="n"/>
      <c r="F12" s="272" t="n"/>
      <c r="G12" s="272" t="n"/>
      <c r="H12" s="272" t="n"/>
      <c r="I12" s="272" t="n"/>
      <c r="J12" s="272" t="n"/>
      <c r="K12" s="272" t="n"/>
      <c r="L12" s="272" t="n"/>
      <c r="M12" s="272" t="n"/>
      <c r="N12" s="272" t="n"/>
      <c r="O12" s="272" t="n"/>
      <c r="P12" s="272" t="n"/>
      <c r="Q12" s="202" t="n"/>
      <c r="R12" s="11" t="n"/>
      <c r="S12" s="129" t="n"/>
      <c r="U12" s="129" t="n"/>
    </row>
    <row r="13" ht="18" customHeight="1" s="718">
      <c r="A13" s="10" t="n"/>
      <c r="B13" s="575" t="inlineStr">
        <is>
          <t>Sonuçlar</t>
        </is>
      </c>
      <c r="C13" s="130" t="n"/>
      <c r="D13" s="130" t="n"/>
      <c r="E13" s="130" t="n"/>
      <c r="F13" s="130" t="n"/>
      <c r="G13" s="130" t="n"/>
      <c r="H13" s="130" t="n"/>
      <c r="I13" s="130" t="n"/>
      <c r="J13" s="130" t="n"/>
      <c r="K13" s="130" t="n"/>
      <c r="L13" s="130" t="n"/>
      <c r="M13" s="130" t="n"/>
      <c r="N13" s="130" t="n"/>
      <c r="O13" s="130" t="n"/>
      <c r="P13" s="130" t="n"/>
      <c r="Q13" s="242" t="n"/>
      <c r="R13" s="11" t="n"/>
      <c r="V13">
        <f>'ANA SAYFA'!G13</f>
        <v/>
      </c>
    </row>
    <row r="14">
      <c r="A14" s="10" t="n"/>
      <c r="B14" s="3" t="n"/>
      <c r="C14" s="272" t="n"/>
      <c r="D14" s="272" t="n"/>
      <c r="E14" s="272" t="n"/>
      <c r="F14" s="272" t="n"/>
      <c r="G14" s="272" t="n"/>
      <c r="H14" s="272" t="n"/>
      <c r="I14" s="272" t="n"/>
      <c r="J14" s="272" t="n"/>
      <c r="K14" s="272" t="n"/>
      <c r="L14" s="272" t="n"/>
      <c r="M14" s="272" t="n"/>
      <c r="N14" s="272" t="n"/>
      <c r="O14" s="272" t="n"/>
      <c r="P14" s="272" t="n"/>
      <c r="Q14" s="202" t="n"/>
      <c r="R14" s="11" t="n"/>
      <c r="V14">
        <f>V13/59.75575286</f>
        <v/>
      </c>
    </row>
    <row r="15" ht="18" customHeight="1" s="718">
      <c r="A15" s="10" t="n"/>
      <c r="B15" s="574" t="inlineStr">
        <is>
          <t>PT Sargı Otomatik</t>
        </is>
      </c>
      <c r="C15" s="130" t="n"/>
      <c r="D15" s="130" t="n"/>
      <c r="E15" s="130" t="n"/>
      <c r="F15" s="130" t="n"/>
      <c r="G15" s="130" t="n"/>
      <c r="H15" s="130" t="n"/>
      <c r="I15" s="242" t="n"/>
      <c r="J15" s="539" t="inlineStr">
        <is>
          <t>HV Mevcut Kademe Tap</t>
        </is>
      </c>
      <c r="K15" s="130" t="n"/>
      <c r="L15" s="130" t="n"/>
      <c r="M15" s="130" t="n"/>
      <c r="N15" s="130" t="n"/>
      <c r="O15" s="106">
        <f>'ANA SAYFA'!S11</f>
        <v/>
      </c>
      <c r="P15" s="106" t="n"/>
      <c r="Q15" s="40" t="n"/>
      <c r="R15" s="11" t="n"/>
    </row>
    <row r="16">
      <c r="A16" s="10" t="n"/>
      <c r="B16" s="3" t="n"/>
      <c r="C16" s="272" t="n"/>
      <c r="D16" s="272" t="n"/>
      <c r="E16" s="272" t="n"/>
      <c r="F16" s="272" t="n"/>
      <c r="G16" s="272" t="n"/>
      <c r="H16" s="272" t="n"/>
      <c r="I16" s="272" t="n"/>
      <c r="J16" s="272" t="n"/>
      <c r="K16" s="272" t="n"/>
      <c r="L16" s="272" t="n"/>
      <c r="M16" s="272" t="n"/>
      <c r="N16" s="272" t="n"/>
      <c r="O16" s="272" t="n"/>
      <c r="P16" s="272" t="n"/>
      <c r="Q16" s="202" t="n"/>
      <c r="R16" s="11" t="n"/>
    </row>
    <row r="17">
      <c r="A17" s="10" t="n"/>
      <c r="B17" s="537" t="inlineStr">
        <is>
          <t>Nominal Direnç</t>
        </is>
      </c>
      <c r="F17" s="612" t="n"/>
      <c r="J17" s="612" t="inlineStr">
        <is>
          <t>Sıcaklık Kompan.</t>
        </is>
      </c>
      <c r="N17" s="495" t="inlineStr">
        <is>
          <t>Hayır</t>
        </is>
      </c>
      <c r="Q17" s="360" t="n"/>
      <c r="R17" s="11" t="n"/>
    </row>
    <row r="18">
      <c r="A18" s="10" t="n"/>
      <c r="B18" s="481" t="inlineStr">
        <is>
          <t>Vektör Grubu</t>
        </is>
      </c>
      <c r="F18" s="612">
        <f>'ANA SAYFA'!G19</f>
        <v/>
      </c>
      <c r="J18" s="612" t="inlineStr">
        <is>
          <t>Malzeme</t>
        </is>
      </c>
      <c r="N18" s="495" t="inlineStr">
        <is>
          <t>Cu</t>
        </is>
      </c>
      <c r="Q18" s="360" t="n"/>
      <c r="R18" s="11" t="n"/>
    </row>
    <row r="19">
      <c r="A19" s="10" t="n"/>
      <c r="B19" s="481" t="inlineStr">
        <is>
          <t>3-faz</t>
        </is>
      </c>
      <c r="F19" s="612" t="n"/>
      <c r="J19" s="612" t="n"/>
      <c r="N19" s="495" t="n"/>
      <c r="Q19" s="360" t="n"/>
      <c r="R19" s="11" t="n"/>
    </row>
    <row r="20">
      <c r="A20" s="10" t="n"/>
      <c r="B20" s="481" t="inlineStr">
        <is>
          <t>Nominal Değerler</t>
        </is>
      </c>
      <c r="F20" s="824">
        <f>(K24+K25+K26)/3</f>
        <v/>
      </c>
      <c r="H20" s="272" t="inlineStr">
        <is>
          <t>Ω</t>
        </is>
      </c>
      <c r="I20" s="272" t="n"/>
      <c r="J20" s="612" t="n"/>
      <c r="N20" s="495" t="n"/>
      <c r="Q20" s="360" t="n"/>
      <c r="R20" s="11" t="n"/>
    </row>
    <row r="21">
      <c r="A21" s="10" t="n"/>
      <c r="B21" s="481" t="inlineStr">
        <is>
          <t>Çıkış Kademesi</t>
        </is>
      </c>
      <c r="F21" s="612" t="inlineStr">
        <is>
          <t>DC 6A</t>
        </is>
      </c>
      <c r="J21" s="612" t="n"/>
      <c r="N21" s="495" t="n"/>
      <c r="Q21" s="360" t="n"/>
      <c r="R21" s="11" t="n"/>
      <c r="T21" t="inlineStr">
        <is>
          <t>A</t>
        </is>
      </c>
      <c r="U21" s="825">
        <f>MAX(T32:T33)</f>
        <v/>
      </c>
    </row>
    <row r="22">
      <c r="A22" s="10" t="n"/>
      <c r="B22" s="3" t="n"/>
      <c r="C22" s="272" t="n"/>
      <c r="D22" s="272" t="n"/>
      <c r="E22" s="272" t="n"/>
      <c r="F22" s="272" t="n"/>
      <c r="G22" s="272" t="n"/>
      <c r="H22" s="272" t="n"/>
      <c r="I22" s="272" t="n"/>
      <c r="J22" s="272" t="n"/>
      <c r="K22" s="272" t="n"/>
      <c r="L22" s="272" t="n"/>
      <c r="M22" s="272" t="n"/>
      <c r="N22" s="272" t="n"/>
      <c r="O22" s="272" t="n"/>
      <c r="P22" s="272" t="n"/>
      <c r="Q22" s="202" t="n"/>
      <c r="R22" s="11" t="n"/>
      <c r="T22" t="inlineStr">
        <is>
          <t>B</t>
        </is>
      </c>
      <c r="U22" s="826">
        <f>MAX(U32:U33)</f>
        <v/>
      </c>
    </row>
    <row r="23">
      <c r="A23" s="10" t="n"/>
      <c r="B23" s="743" t="n"/>
      <c r="C23" s="531" t="inlineStr">
        <is>
          <t>I Testi [A]</t>
        </is>
      </c>
      <c r="D23" s="242" t="n"/>
      <c r="E23" s="743" t="inlineStr">
        <is>
          <t>I DC [A]</t>
        </is>
      </c>
      <c r="F23" s="242" t="n"/>
      <c r="G23" s="743" t="inlineStr">
        <is>
          <t>V DC [V]</t>
        </is>
      </c>
      <c r="H23" s="242" t="n"/>
      <c r="I23" s="743" t="inlineStr">
        <is>
          <t>Zaman [S]</t>
        </is>
      </c>
      <c r="J23" s="242" t="n"/>
      <c r="K23" s="743" t="inlineStr">
        <is>
          <t>R.ölç[Ω]</t>
        </is>
      </c>
      <c r="L23" s="242" t="n"/>
      <c r="M23" s="743" t="inlineStr">
        <is>
          <t>R. Nom</t>
        </is>
      </c>
      <c r="N23" s="242" t="n"/>
      <c r="O23" s="743" t="inlineStr">
        <is>
          <t>Hata[%]</t>
        </is>
      </c>
      <c r="P23" s="242" t="n"/>
      <c r="Q23" s="743" t="n"/>
      <c r="R23" s="11" t="n"/>
      <c r="T23" t="inlineStr">
        <is>
          <t>C</t>
        </is>
      </c>
      <c r="U23" s="826">
        <f>MAX(V32:V33)</f>
        <v/>
      </c>
    </row>
    <row r="24">
      <c r="A24" s="10" t="n"/>
      <c r="B24" s="743" t="inlineStr">
        <is>
          <t>A</t>
        </is>
      </c>
      <c r="C24" s="524">
        <f>'ANA SAYFA'!B53</f>
        <v/>
      </c>
      <c r="D24" s="242" t="n"/>
      <c r="E24" s="827">
        <f>C24</f>
        <v/>
      </c>
      <c r="F24" s="242" t="n"/>
      <c r="G24" s="527">
        <f>(E24*K24)*0.98</f>
        <v/>
      </c>
      <c r="H24" s="242" t="n"/>
      <c r="I24" s="524" t="n">
        <v>40</v>
      </c>
      <c r="J24" s="242" t="n"/>
      <c r="K24" s="827">
        <f>'ANA SAYFA'!C55</f>
        <v/>
      </c>
      <c r="L24" s="242" t="n"/>
      <c r="M24" s="524">
        <f>F20</f>
        <v/>
      </c>
      <c r="N24" s="242" t="n"/>
      <c r="O24" s="828">
        <f>U21</f>
        <v/>
      </c>
      <c r="P24" s="242" t="n"/>
      <c r="Q24" s="743">
        <f>IF(O24&gt;0.05,1,0)</f>
        <v/>
      </c>
      <c r="R24" s="11" t="n"/>
      <c r="T24" t="inlineStr">
        <is>
          <t>SINIR DEĞER</t>
        </is>
      </c>
      <c r="U24" s="826" t="n">
        <v>0.05</v>
      </c>
    </row>
    <row r="25">
      <c r="A25" s="10" t="n"/>
      <c r="B25" s="743" t="inlineStr">
        <is>
          <t>B</t>
        </is>
      </c>
      <c r="C25" s="524">
        <f>'ANA SAYFA'!B53</f>
        <v/>
      </c>
      <c r="D25" s="242" t="n"/>
      <c r="E25" s="827">
        <f>C25</f>
        <v/>
      </c>
      <c r="F25" s="242" t="n"/>
      <c r="G25" s="527">
        <f>(E25*K25)*0.98</f>
        <v/>
      </c>
      <c r="H25" s="242" t="n"/>
      <c r="I25" s="524" t="n">
        <v>40</v>
      </c>
      <c r="J25" s="242" t="n"/>
      <c r="K25" s="827">
        <f>'ANA SAYFA'!C59</f>
        <v/>
      </c>
      <c r="L25" s="242" t="n"/>
      <c r="M25" s="524">
        <f>M24</f>
        <v/>
      </c>
      <c r="N25" s="242" t="n"/>
      <c r="O25" s="828">
        <f>U22</f>
        <v/>
      </c>
      <c r="P25" s="242" t="n"/>
      <c r="Q25" s="743">
        <f>IF(O25&gt;0.05,1,0)</f>
        <v/>
      </c>
      <c r="R25" s="11" t="n"/>
    </row>
    <row r="26">
      <c r="A26" s="10" t="n"/>
      <c r="B26" s="743" t="inlineStr">
        <is>
          <t>C</t>
        </is>
      </c>
      <c r="C26" s="524">
        <f>'ANA SAYFA'!B53</f>
        <v/>
      </c>
      <c r="D26" s="242" t="n"/>
      <c r="E26" s="827">
        <f>C26</f>
        <v/>
      </c>
      <c r="F26" s="242" t="n"/>
      <c r="G26" s="527">
        <f>(E26*K26)*0.98</f>
        <v/>
      </c>
      <c r="H26" s="242" t="n"/>
      <c r="I26" s="524" t="n">
        <v>40</v>
      </c>
      <c r="J26" s="242" t="n"/>
      <c r="K26" s="827">
        <f>'ANA SAYFA'!C57</f>
        <v/>
      </c>
      <c r="L26" s="242" t="n"/>
      <c r="M26" s="524">
        <f>M24</f>
        <v/>
      </c>
      <c r="N26" s="242" t="n"/>
      <c r="O26" s="828">
        <f>U23</f>
        <v/>
      </c>
      <c r="P26" s="242" t="n"/>
      <c r="Q26" s="743">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24" t="n"/>
      <c r="R27" s="11" t="n"/>
    </row>
    <row r="28" ht="18" customHeight="1" s="718">
      <c r="A28" s="10" t="n"/>
      <c r="B28" s="192" t="n"/>
      <c r="C28" s="191" t="n"/>
      <c r="D28" s="191" t="n"/>
      <c r="E28" s="191" t="n"/>
      <c r="F28" s="191" t="n"/>
      <c r="G28" s="191" t="n"/>
      <c r="H28" s="191" t="n"/>
      <c r="I28" s="191" t="n"/>
      <c r="J28" s="191" t="n"/>
      <c r="K28" s="191" t="n"/>
      <c r="L28" s="191" t="n"/>
      <c r="M28" s="191" t="n"/>
      <c r="N28" s="191" t="n"/>
      <c r="O28" s="191" t="n"/>
      <c r="P28" s="191" t="n"/>
      <c r="Q28" s="193" t="n"/>
      <c r="R28" s="11" t="n"/>
    </row>
    <row r="29">
      <c r="A29" s="10" t="n"/>
      <c r="B29" s="3" t="n"/>
      <c r="C29" s="272" t="n"/>
      <c r="D29" s="272" t="n"/>
      <c r="E29" s="272" t="n"/>
      <c r="F29" s="272" t="n"/>
      <c r="G29" s="272" t="n"/>
      <c r="H29" s="272" t="n"/>
      <c r="I29" s="272" t="n"/>
      <c r="J29" s="272" t="n"/>
      <c r="K29" s="272" t="n"/>
      <c r="L29" s="272" t="n"/>
      <c r="M29" s="272" t="n"/>
      <c r="N29" s="272" t="n"/>
      <c r="O29" s="272" t="n"/>
      <c r="P29" s="272" t="n"/>
      <c r="Q29" s="202" t="n"/>
      <c r="R29" s="11" t="n"/>
    </row>
    <row r="30">
      <c r="A30" s="10" t="n"/>
      <c r="B30" s="25" t="n"/>
      <c r="C30" s="26" t="n"/>
      <c r="D30" s="26" t="n"/>
      <c r="E30" s="26" t="n"/>
      <c r="F30" s="272" t="n"/>
      <c r="G30" s="272" t="n"/>
      <c r="H30" s="272" t="n"/>
      <c r="I30" s="272" t="n"/>
      <c r="J30" s="272" t="n"/>
      <c r="K30" s="272" t="n"/>
      <c r="L30" s="272" t="n"/>
      <c r="M30" s="272" t="n"/>
      <c r="N30" s="272" t="n"/>
      <c r="O30" s="272" t="n"/>
      <c r="P30" s="272" t="n"/>
      <c r="Q30" s="202" t="n"/>
      <c r="R30" s="11" t="n"/>
    </row>
    <row r="31">
      <c r="A31" s="10" t="n"/>
      <c r="B31" s="3" t="n"/>
      <c r="C31" s="272" t="n"/>
      <c r="D31" s="272" t="n"/>
      <c r="E31" s="272" t="n"/>
      <c r="F31" s="272" t="n"/>
      <c r="G31" s="272" t="n"/>
      <c r="H31" s="272" t="n"/>
      <c r="I31" s="272" t="n"/>
      <c r="J31" s="272" t="n"/>
      <c r="K31" s="272" t="n"/>
      <c r="L31" s="272" t="n"/>
      <c r="M31" s="272" t="n"/>
      <c r="N31" s="272" t="n"/>
      <c r="O31" s="272" t="n"/>
      <c r="P31" s="272" t="n"/>
      <c r="Q31" s="202" t="n"/>
      <c r="R31" s="11" t="n"/>
    </row>
    <row r="32">
      <c r="A32" s="10" t="n"/>
      <c r="B32" s="3" t="n"/>
      <c r="C32" s="272" t="n"/>
      <c r="D32" s="272" t="n"/>
      <c r="E32" s="272" t="n"/>
      <c r="F32" s="272" t="n"/>
      <c r="G32" s="272" t="n"/>
      <c r="H32" s="272" t="n"/>
      <c r="I32" s="272" t="n"/>
      <c r="J32" s="272" t="n"/>
      <c r="K32" s="272" t="n"/>
      <c r="L32" s="272" t="n"/>
      <c r="M32" s="272" t="n"/>
      <c r="N32" s="272" t="n"/>
      <c r="O32" s="272" t="n"/>
      <c r="P32" s="272" t="n"/>
      <c r="Q32" s="202" t="n"/>
      <c r="R32" s="11" t="n"/>
      <c r="T32">
        <f>SQRT((K24-K25)^2)/K25</f>
        <v/>
      </c>
      <c r="U32">
        <f>SQRT((K24-K25)^2)/K24</f>
        <v/>
      </c>
      <c r="V32">
        <f>SQRT((K26-K24)^2)/K24</f>
        <v/>
      </c>
    </row>
    <row r="33">
      <c r="A33" s="10" t="n"/>
      <c r="B33" s="3" t="n"/>
      <c r="C33" s="272" t="n"/>
      <c r="D33" s="272" t="n"/>
      <c r="E33" s="272" t="n"/>
      <c r="F33" s="24" t="n"/>
      <c r="G33" s="272" t="n"/>
      <c r="H33" s="272" t="n"/>
      <c r="I33" s="272" t="n"/>
      <c r="J33" s="272" t="n"/>
      <c r="K33" s="272" t="n"/>
      <c r="L33" s="272" t="n"/>
      <c r="M33" s="272" t="n"/>
      <c r="N33" s="272" t="n"/>
      <c r="O33" s="272" t="n"/>
      <c r="P33" s="272" t="n"/>
      <c r="Q33" s="202" t="n"/>
      <c r="R33" s="11" t="n"/>
      <c r="T33">
        <f>SQRT((K26-K24)^2)/K26</f>
        <v/>
      </c>
      <c r="U33">
        <f>SQRT((K25-K26)^2)/K26</f>
        <v/>
      </c>
      <c r="V33">
        <f>SQRT((K26-K25)^2)/K25</f>
        <v/>
      </c>
    </row>
    <row r="34">
      <c r="A34" s="10" t="n"/>
      <c r="B34" s="3" t="n"/>
      <c r="C34" s="272" t="n"/>
      <c r="D34" s="272" t="n"/>
      <c r="E34" s="272" t="n"/>
      <c r="F34" s="272" t="n"/>
      <c r="G34" s="272" t="n"/>
      <c r="H34" s="272" t="n"/>
      <c r="I34" s="272" t="n"/>
      <c r="J34" s="272" t="n"/>
      <c r="K34" s="272" t="n"/>
      <c r="L34" s="272" t="n"/>
      <c r="M34" s="272" t="n"/>
      <c r="N34" s="272" t="n"/>
      <c r="O34" s="272" t="n"/>
      <c r="P34" s="272" t="n"/>
      <c r="Q34" s="202" t="n"/>
      <c r="R34" s="11" t="n"/>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row>
    <row r="37">
      <c r="A37" s="10" t="n"/>
      <c r="B37" s="173" t="n"/>
      <c r="C37" s="29" t="n"/>
      <c r="D37" s="29" t="n"/>
      <c r="E37" s="272" t="n"/>
      <c r="F37" s="272" t="n"/>
      <c r="G37" s="272" t="n"/>
      <c r="H37" s="272" t="n"/>
      <c r="I37" s="272" t="n"/>
      <c r="J37" s="272" t="n"/>
      <c r="K37" s="272" t="n"/>
      <c r="L37" s="272" t="n"/>
      <c r="M37" s="272" t="n"/>
      <c r="N37" s="272" t="n"/>
      <c r="O37" s="272" t="n"/>
      <c r="P37" s="272" t="n"/>
      <c r="Q37" s="310" t="n"/>
      <c r="R37" s="11" t="n"/>
    </row>
    <row r="38">
      <c r="A38" s="10" t="n"/>
      <c r="B38" s="173" t="n"/>
      <c r="C38" s="24" t="n"/>
      <c r="D38" s="24" t="n"/>
      <c r="E38" s="24" t="n"/>
      <c r="F38" s="24" t="n"/>
      <c r="G38" s="24" t="n"/>
      <c r="H38" s="24" t="n"/>
      <c r="I38" s="24" t="n"/>
      <c r="J38" s="24" t="n"/>
      <c r="K38" s="24" t="n"/>
      <c r="L38" s="24" t="n"/>
      <c r="M38" s="24" t="n"/>
      <c r="N38" s="24" t="n"/>
      <c r="O38" s="24" t="n"/>
      <c r="P38" s="24" t="n"/>
      <c r="Q38" s="310" t="n"/>
      <c r="R38" s="11" t="n"/>
    </row>
    <row r="39" ht="15.6" customHeight="1" s="718">
      <c r="A39" s="10" t="n"/>
      <c r="B39" s="514" t="inlineStr">
        <is>
          <t>Sonuç :</t>
        </is>
      </c>
      <c r="C39" s="70" t="n"/>
      <c r="D39" s="517"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59" t="n"/>
      <c r="R39" s="11" t="n"/>
    </row>
    <row r="40">
      <c r="A40" s="10" t="n"/>
      <c r="B40" s="173" t="n"/>
      <c r="C40" s="24" t="n"/>
      <c r="Q40" s="360" t="n"/>
      <c r="R40" s="11" t="n"/>
    </row>
    <row r="41">
      <c r="A41" s="10" t="n"/>
      <c r="B41" s="3" t="n"/>
      <c r="C41" s="272" t="n"/>
      <c r="Q41" s="360" t="n"/>
      <c r="R41" s="11" t="n"/>
    </row>
    <row r="42">
      <c r="A42" s="10" t="n"/>
      <c r="B42" s="3" t="n"/>
      <c r="C42" s="272" t="n"/>
      <c r="Q42" s="360" t="n"/>
      <c r="R42" s="11" t="n"/>
    </row>
    <row r="43">
      <c r="A43" s="10" t="n"/>
      <c r="B43" s="85" t="n"/>
      <c r="Q43" s="360" t="n"/>
      <c r="R43" s="11" t="n"/>
    </row>
    <row r="44">
      <c r="A44" s="10" t="n"/>
      <c r="B44" s="62" t="n"/>
      <c r="C44" s="139" t="n"/>
      <c r="D44" s="139" t="n"/>
      <c r="E44" s="139" t="n"/>
      <c r="F44" s="139" t="n"/>
      <c r="G44" s="139" t="n"/>
      <c r="H44" s="139" t="n"/>
      <c r="I44" s="139" t="n"/>
      <c r="J44" s="139" t="n"/>
      <c r="K44" s="139" t="n"/>
      <c r="L44" s="139" t="n"/>
      <c r="M44" s="139" t="n"/>
      <c r="N44" s="139" t="n"/>
      <c r="O44" s="139" t="n"/>
      <c r="P44" s="139" t="n"/>
      <c r="Q44" s="361" t="n"/>
      <c r="R44" s="11" t="n"/>
    </row>
    <row r="45" ht="22.5" customHeight="1" s="718">
      <c r="A45" s="10" t="n"/>
      <c r="B45" s="511" t="inlineStr">
        <is>
          <t>UNVAN</t>
        </is>
      </c>
      <c r="C45" s="70" t="n"/>
      <c r="D45" s="70" t="n"/>
      <c r="E45" s="328" t="inlineStr">
        <is>
          <t>:</t>
        </is>
      </c>
      <c r="F45" s="521" t="inlineStr">
        <is>
          <t>Elektrik Mühendisi</t>
        </is>
      </c>
      <c r="G45" s="70" t="n"/>
      <c r="H45" s="70" t="n"/>
      <c r="I45" s="359" t="n"/>
      <c r="J45" s="811" t="inlineStr">
        <is>
          <t>ONAYLAYAN</t>
        </is>
      </c>
      <c r="K45" s="130" t="n"/>
      <c r="L45" s="130" t="n"/>
      <c r="M45" s="130" t="n"/>
      <c r="N45" s="130" t="n"/>
      <c r="O45" s="130" t="n"/>
      <c r="P45" s="130" t="n"/>
      <c r="Q45" s="242" t="n"/>
      <c r="R45" s="11" t="n"/>
    </row>
    <row r="46" ht="22.5" customHeight="1" s="718">
      <c r="A46" s="10" t="n"/>
      <c r="B46" s="511" t="inlineStr">
        <is>
          <t>TEST TARİHİ</t>
        </is>
      </c>
      <c r="C46" s="70" t="n"/>
      <c r="D46" s="70" t="n"/>
      <c r="E46" s="328" t="inlineStr">
        <is>
          <t>:</t>
        </is>
      </c>
      <c r="F46" s="829">
        <f>'ANA SAYFA'!F79:J79</f>
        <v/>
      </c>
      <c r="G46" s="70" t="n"/>
      <c r="H46" s="70" t="n"/>
      <c r="I46" s="359" t="n"/>
      <c r="J46" s="75" t="n"/>
      <c r="K46" s="76" t="n"/>
      <c r="L46" s="191" t="n"/>
      <c r="M46" s="191" t="n"/>
      <c r="N46" s="191" t="n"/>
      <c r="O46" s="191" t="n"/>
      <c r="P46" s="191" t="n"/>
      <c r="Q46" s="193" t="n"/>
      <c r="R46" s="11" t="n"/>
    </row>
    <row r="47" ht="22.5" customHeight="1" s="718">
      <c r="A47" s="10" t="n"/>
      <c r="B47" s="508" t="inlineStr">
        <is>
          <t>ODA SİCİL NO</t>
        </is>
      </c>
      <c r="C47" s="130" t="n"/>
      <c r="D47" s="130" t="n"/>
      <c r="E47" s="564" t="inlineStr">
        <is>
          <t>:</t>
        </is>
      </c>
      <c r="F47" s="565">
        <f>'ANA SAYFA'!F81</f>
        <v/>
      </c>
      <c r="G47" s="70" t="n"/>
      <c r="H47" s="70" t="n"/>
      <c r="I47" s="359" t="n"/>
      <c r="J47" s="75" t="n"/>
      <c r="K47" s="76" t="n"/>
      <c r="L47" s="191" t="n"/>
      <c r="M47" s="191" t="n"/>
      <c r="N47" s="191" t="n"/>
      <c r="O47" s="191" t="n"/>
      <c r="P47" s="191" t="n"/>
      <c r="Q47" s="193" t="n"/>
      <c r="R47" s="11" t="n"/>
    </row>
    <row r="48" ht="22.5" customHeight="1" s="718">
      <c r="A48" s="10" t="n"/>
      <c r="B48" s="508" t="inlineStr">
        <is>
          <t>EKİPNET NO</t>
        </is>
      </c>
      <c r="C48" s="130" t="n"/>
      <c r="D48" s="130" t="n"/>
      <c r="E48" s="509" t="inlineStr">
        <is>
          <t>:</t>
        </is>
      </c>
      <c r="F48" s="510">
        <f>'ANA SAYFA'!F82</f>
        <v/>
      </c>
      <c r="G48" s="130" t="n"/>
      <c r="H48" s="130" t="n"/>
      <c r="I48" s="242" t="n"/>
      <c r="J48" s="352" t="n"/>
      <c r="K48" s="197" t="n"/>
      <c r="L48" s="197" t="n"/>
      <c r="M48" s="197" t="n"/>
      <c r="N48" s="197" t="n"/>
      <c r="O48" s="197" t="n"/>
      <c r="P48" s="197" t="n"/>
      <c r="Q48" s="194" t="n"/>
      <c r="R48" s="11" t="n"/>
    </row>
    <row r="49" ht="15" customHeight="1" s="718"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F45:I45"/>
    <mergeCell ref="B47:D47"/>
    <mergeCell ref="M24:N24"/>
    <mergeCell ref="F17:I17"/>
    <mergeCell ref="B46:D46"/>
    <mergeCell ref="E25:F25"/>
    <mergeCell ref="G25:H25"/>
    <mergeCell ref="J20:M20"/>
    <mergeCell ref="F47:I47"/>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13" zoomScale="89" zoomScaleNormal="89" workbookViewId="0">
      <selection activeCell="Z25" sqref="Z25"/>
    </sheetView>
  </sheetViews>
  <sheetFormatPr baseColWidth="8" defaultRowHeight="14.4"/>
  <cols>
    <col width="3.5546875" customWidth="1" style="718" min="1" max="1"/>
    <col width="5.5546875" customWidth="1" style="718" min="2" max="17"/>
    <col width="15" customWidth="1" style="718" min="7" max="7"/>
    <col width="3.5546875" customWidth="1" style="718"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11" t="inlineStr">
        <is>
          <t>SEKONDER SARGI DİRENCİ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743">
        <f>'OG SARGI MEVCUT KADEME'!D7:F7</f>
        <v/>
      </c>
      <c r="E7" s="130" t="n"/>
      <c r="F7" s="242" t="n"/>
      <c r="G7" s="573" t="inlineStr">
        <is>
          <t>Model :</t>
        </is>
      </c>
      <c r="H7" s="242" t="n"/>
      <c r="I7" s="573">
        <f>'OG SARGI MEVCUT KADEME'!I7:K7</f>
        <v/>
      </c>
      <c r="J7" s="130" t="n"/>
      <c r="K7" s="242" t="n"/>
      <c r="L7" s="743" t="inlineStr">
        <is>
          <t>Seri Numarası :</t>
        </is>
      </c>
      <c r="M7" s="130" t="n"/>
      <c r="N7" s="242" t="n"/>
      <c r="O7" s="573">
        <f>'OG SARGI MEVCUT KADEME'!O7:Q7</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row>
    <row r="9" ht="18" customHeight="1" s="718">
      <c r="A9" s="10" t="n"/>
      <c r="B9" s="555" t="inlineStr">
        <is>
          <t>OTURUM TARİHİ :</t>
        </is>
      </c>
      <c r="C9" s="130" t="n"/>
      <c r="D9" s="130" t="n"/>
      <c r="E9" s="130" t="n"/>
      <c r="F9" s="130" t="n"/>
      <c r="G9" s="130" t="n"/>
      <c r="H9" s="130" t="n"/>
      <c r="I9" s="130" t="n"/>
      <c r="J9" s="823">
        <f>'ANA SAYFA'!F78</f>
        <v/>
      </c>
      <c r="K9" s="130" t="n"/>
      <c r="L9" s="130" t="n"/>
      <c r="M9" s="130" t="n"/>
      <c r="N9" s="130" t="n"/>
      <c r="O9" s="130" t="n"/>
      <c r="P9" s="130" t="n"/>
      <c r="Q9" s="242" t="n"/>
      <c r="R9" s="11" t="n"/>
    </row>
    <row r="10">
      <c r="A10" s="10" t="n"/>
      <c r="B10" s="3" t="n"/>
      <c r="C10" s="272" t="n"/>
      <c r="D10" s="272" t="n"/>
      <c r="E10" s="272" t="n"/>
      <c r="F10" s="272" t="n"/>
      <c r="G10" s="272" t="n"/>
      <c r="H10" s="272" t="n"/>
      <c r="I10" s="272" t="n"/>
      <c r="J10" s="272" t="n"/>
      <c r="K10" s="272" t="n"/>
      <c r="L10" s="272" t="n"/>
      <c r="M10" s="272" t="n"/>
      <c r="N10" s="272" t="n"/>
      <c r="O10" s="272" t="n"/>
      <c r="P10" s="272" t="n"/>
      <c r="Q10" s="202" t="n"/>
      <c r="R10" s="11" t="n"/>
    </row>
    <row r="11">
      <c r="A11" s="10" t="n"/>
      <c r="B11" s="576" t="inlineStr">
        <is>
          <t>Operatör :</t>
        </is>
      </c>
      <c r="C11" s="242" t="n"/>
      <c r="D11" s="577" t="inlineStr">
        <is>
          <t>Ahmet YILMAZ</t>
        </is>
      </c>
      <c r="E11" s="130" t="n"/>
      <c r="F11" s="130" t="n"/>
      <c r="G11" s="242" t="n"/>
      <c r="H11" s="576" t="inlineStr">
        <is>
          <t>Cihaz :</t>
        </is>
      </c>
      <c r="I11" s="242" t="n"/>
      <c r="J11" s="743" t="inlineStr">
        <is>
          <t>STS 5000</t>
        </is>
      </c>
      <c r="K11" s="130" t="n"/>
      <c r="L11" s="242" t="n"/>
      <c r="M11" s="743" t="inlineStr">
        <is>
          <t>Cihaz S/N :</t>
        </is>
      </c>
      <c r="N11" s="242" t="n"/>
      <c r="O11" s="743" t="inlineStr">
        <is>
          <t>SN-19B20</t>
        </is>
      </c>
      <c r="P11" s="130" t="n"/>
      <c r="Q11" s="242" t="n"/>
      <c r="R11" s="11" t="n"/>
    </row>
    <row r="12">
      <c r="A12" s="10" t="n"/>
      <c r="B12" s="3" t="n"/>
      <c r="C12" s="272" t="n"/>
      <c r="D12" s="272" t="n"/>
      <c r="E12" s="272" t="n"/>
      <c r="F12" s="272" t="n"/>
      <c r="G12" s="272" t="n"/>
      <c r="H12" s="272" t="n"/>
      <c r="I12" s="272" t="n"/>
      <c r="J12" s="272" t="n"/>
      <c r="K12" s="272" t="n"/>
      <c r="L12" s="272" t="n"/>
      <c r="M12" s="272" t="n"/>
      <c r="N12" s="272" t="n"/>
      <c r="O12" s="272" t="n"/>
      <c r="P12" s="272" t="n"/>
      <c r="Q12" s="202" t="n"/>
      <c r="R12" s="11" t="n"/>
    </row>
    <row r="13" ht="18" customHeight="1" s="718">
      <c r="A13" s="10" t="n"/>
      <c r="B13" s="575" t="inlineStr">
        <is>
          <t>Sonuçlar</t>
        </is>
      </c>
      <c r="C13" s="130" t="n"/>
      <c r="D13" s="130" t="n"/>
      <c r="E13" s="130" t="n"/>
      <c r="F13" s="130" t="n"/>
      <c r="G13" s="130" t="n"/>
      <c r="H13" s="130" t="n"/>
      <c r="I13" s="130" t="n"/>
      <c r="J13" s="130" t="n"/>
      <c r="K13" s="130" t="n"/>
      <c r="L13" s="130" t="n"/>
      <c r="M13" s="130" t="n"/>
      <c r="N13" s="130" t="n"/>
      <c r="O13" s="130" t="n"/>
      <c r="P13" s="130" t="n"/>
      <c r="Q13" s="242" t="n"/>
      <c r="R13" s="11" t="n"/>
      <c r="V13">
        <f>'ANA SAYFA'!G13</f>
        <v/>
      </c>
    </row>
    <row r="14">
      <c r="A14" s="10" t="n"/>
      <c r="B14" s="3" t="n"/>
      <c r="C14" s="272" t="n"/>
      <c r="D14" s="272" t="n"/>
      <c r="E14" s="272" t="n"/>
      <c r="F14" s="272" t="n"/>
      <c r="G14" s="272" t="n"/>
      <c r="H14" s="272" t="n"/>
      <c r="I14" s="272" t="n"/>
      <c r="J14" s="272" t="n"/>
      <c r="K14" s="272" t="n"/>
      <c r="L14" s="272" t="n"/>
      <c r="M14" s="272" t="n"/>
      <c r="N14" s="272" t="n"/>
      <c r="O14" s="272" t="n"/>
      <c r="P14" s="272" t="n"/>
      <c r="Q14" s="202" t="n"/>
      <c r="R14" s="11" t="n"/>
      <c r="V14">
        <f>V13/0.69282</f>
        <v/>
      </c>
    </row>
    <row r="15" ht="18" customHeight="1" s="718">
      <c r="A15" s="10" t="n"/>
      <c r="B15" s="574" t="inlineStr">
        <is>
          <t>PT Sargı Otomatik</t>
        </is>
      </c>
      <c r="C15" s="130" t="n"/>
      <c r="D15" s="130" t="n"/>
      <c r="E15" s="130" t="n"/>
      <c r="F15" s="130" t="n"/>
      <c r="G15" s="130" t="n"/>
      <c r="H15" s="130" t="n"/>
      <c r="I15" s="242" t="n"/>
      <c r="J15" s="539" t="inlineStr">
        <is>
          <t xml:space="preserve">LV Kademe Tap </t>
        </is>
      </c>
      <c r="K15" s="130" t="n"/>
      <c r="L15" s="130" t="n"/>
      <c r="M15" s="130" t="n"/>
      <c r="N15" s="106" t="n">
        <v>1</v>
      </c>
      <c r="O15" s="106" t="n"/>
      <c r="P15" s="106" t="n"/>
      <c r="Q15" s="40" t="n"/>
      <c r="R15" s="11" t="n"/>
    </row>
    <row r="16">
      <c r="A16" s="10" t="n"/>
      <c r="B16" s="3" t="n"/>
      <c r="C16" s="272" t="n"/>
      <c r="D16" s="272" t="n"/>
      <c r="E16" s="272" t="n"/>
      <c r="F16" s="272" t="n"/>
      <c r="G16" s="272" t="n"/>
      <c r="H16" s="272" t="n"/>
      <c r="I16" s="272" t="n"/>
      <c r="J16" s="272" t="n"/>
      <c r="K16" s="272" t="n"/>
      <c r="L16" s="272" t="n"/>
      <c r="M16" s="272" t="n"/>
      <c r="N16" s="272" t="n"/>
      <c r="O16" s="272" t="n"/>
      <c r="P16" s="272" t="n"/>
      <c r="Q16" s="202" t="n"/>
      <c r="R16" s="11" t="n"/>
    </row>
    <row r="17">
      <c r="A17" s="10" t="n"/>
      <c r="B17" s="537" t="inlineStr">
        <is>
          <t>Nominal Direnç</t>
        </is>
      </c>
      <c r="F17" s="612" t="n"/>
      <c r="J17" s="612" t="inlineStr">
        <is>
          <t>Sıcaklık Kompan.</t>
        </is>
      </c>
      <c r="N17" s="495" t="inlineStr">
        <is>
          <t>Hayır</t>
        </is>
      </c>
      <c r="Q17" s="360" t="n"/>
      <c r="R17" s="11" t="n"/>
    </row>
    <row r="18">
      <c r="A18" s="10" t="n"/>
      <c r="B18" s="481" t="inlineStr">
        <is>
          <t>Vektör Grubu</t>
        </is>
      </c>
      <c r="F18" s="612">
        <f>'ANA SAYFA'!G19</f>
        <v/>
      </c>
      <c r="J18" s="612" t="inlineStr">
        <is>
          <t>Malzeme</t>
        </is>
      </c>
      <c r="N18" s="495" t="inlineStr">
        <is>
          <t>Cu</t>
        </is>
      </c>
      <c r="Q18" s="360" t="n"/>
      <c r="R18" s="11" t="n"/>
    </row>
    <row r="19">
      <c r="A19" s="10" t="n"/>
      <c r="B19" s="481" t="inlineStr">
        <is>
          <t>3-faz</t>
        </is>
      </c>
      <c r="F19" s="612" t="n"/>
      <c r="J19" s="612" t="n"/>
      <c r="N19" s="495" t="n"/>
      <c r="Q19" s="360" t="n"/>
      <c r="R19" s="11" t="n"/>
    </row>
    <row r="20">
      <c r="A20" s="10" t="n"/>
      <c r="B20" s="481" t="inlineStr">
        <is>
          <t>Nominal Değerler</t>
        </is>
      </c>
      <c r="F20" s="572">
        <f>(K24+K25+K26)/3</f>
        <v/>
      </c>
      <c r="H20" s="272" t="inlineStr">
        <is>
          <t>Ω</t>
        </is>
      </c>
      <c r="I20" s="272" t="n"/>
      <c r="J20" s="612" t="n"/>
      <c r="N20" s="495" t="n"/>
      <c r="Q20" s="360" t="n"/>
      <c r="R20" s="11" t="n"/>
    </row>
    <row r="21">
      <c r="A21" s="10" t="n"/>
      <c r="B21" s="481" t="inlineStr">
        <is>
          <t>Çıkış Kademesi</t>
        </is>
      </c>
      <c r="F21" s="612" t="inlineStr">
        <is>
          <t>DC 400A</t>
        </is>
      </c>
      <c r="J21" s="612" t="n"/>
      <c r="N21" s="495" t="n"/>
      <c r="Q21" s="360" t="n"/>
      <c r="R21" s="11" t="n"/>
      <c r="T21" t="inlineStr">
        <is>
          <t>A</t>
        </is>
      </c>
      <c r="U21" s="826">
        <f>MIN(T32:T33)</f>
        <v/>
      </c>
    </row>
    <row r="22">
      <c r="A22" s="10" t="n"/>
      <c r="B22" s="3" t="n"/>
      <c r="C22" s="272" t="n"/>
      <c r="D22" s="272" t="n"/>
      <c r="E22" s="272" t="n"/>
      <c r="F22" s="272" t="n"/>
      <c r="G22" s="272" t="n"/>
      <c r="H22" s="272" t="n"/>
      <c r="I22" s="272" t="n"/>
      <c r="J22" s="272" t="n"/>
      <c r="K22" s="272" t="n"/>
      <c r="L22" s="272" t="n"/>
      <c r="M22" s="272" t="n"/>
      <c r="N22" s="272" t="n"/>
      <c r="O22" s="272" t="n"/>
      <c r="P22" s="272" t="n"/>
      <c r="Q22" s="202" t="n"/>
      <c r="R22" s="11" t="n"/>
      <c r="T22" t="inlineStr">
        <is>
          <t>B</t>
        </is>
      </c>
      <c r="U22" s="826">
        <f>MIN(U32:U33)</f>
        <v/>
      </c>
    </row>
    <row r="23">
      <c r="A23" s="10" t="n"/>
      <c r="B23" s="743" t="n"/>
      <c r="C23" s="531" t="inlineStr">
        <is>
          <t>I Testi [A]</t>
        </is>
      </c>
      <c r="D23" s="242" t="n"/>
      <c r="E23" s="743" t="inlineStr">
        <is>
          <t>I DC [A]</t>
        </is>
      </c>
      <c r="F23" s="242" t="n"/>
      <c r="G23" s="743" t="inlineStr">
        <is>
          <t>V DC [V]</t>
        </is>
      </c>
      <c r="H23" s="242" t="n"/>
      <c r="I23" s="743" t="inlineStr">
        <is>
          <t>Zaman [S]</t>
        </is>
      </c>
      <c r="J23" s="242" t="n"/>
      <c r="K23" s="743" t="inlineStr">
        <is>
          <t>R.ölç[Ω]</t>
        </is>
      </c>
      <c r="L23" s="242" t="n"/>
      <c r="M23" s="743" t="inlineStr">
        <is>
          <t>R. Nom</t>
        </is>
      </c>
      <c r="N23" s="242" t="n"/>
      <c r="O23" s="743" t="inlineStr">
        <is>
          <t>Hata[%]</t>
        </is>
      </c>
      <c r="P23" s="242" t="n"/>
      <c r="Q23" s="743" t="n"/>
      <c r="R23" s="11" t="n"/>
      <c r="T23" t="inlineStr">
        <is>
          <t>C</t>
        </is>
      </c>
      <c r="U23" s="826">
        <f>MIN(V32:V33)</f>
        <v/>
      </c>
    </row>
    <row r="24">
      <c r="A24" s="10" t="n"/>
      <c r="B24" s="743" t="inlineStr">
        <is>
          <t>A</t>
        </is>
      </c>
      <c r="C24" s="524">
        <f>'ANA SAYFA'!I53</f>
        <v/>
      </c>
      <c r="D24" s="242" t="n"/>
      <c r="E24" s="524">
        <f>C24</f>
        <v/>
      </c>
      <c r="F24" s="242" t="n"/>
      <c r="G24" s="751">
        <f>(K24*E24)*0.98</f>
        <v/>
      </c>
      <c r="H24" s="242" t="n"/>
      <c r="I24" s="524" t="n">
        <v>35</v>
      </c>
      <c r="J24" s="242" t="n"/>
      <c r="K24" s="830">
        <f>'ANA SAYFA'!G55</f>
        <v/>
      </c>
      <c r="L24" s="242" t="n"/>
      <c r="M24" s="570">
        <f>F20</f>
        <v/>
      </c>
      <c r="N24" s="242" t="n"/>
      <c r="O24" s="828">
        <f>MIN(T32:T33)</f>
        <v/>
      </c>
      <c r="P24" s="242" t="n"/>
      <c r="Q24" s="743">
        <f>IF(O24&gt;0.05,1,0)</f>
        <v/>
      </c>
      <c r="R24" s="11" t="n"/>
      <c r="T24" t="inlineStr">
        <is>
          <t>SINIR DEĞER</t>
        </is>
      </c>
      <c r="U24" s="826" t="n">
        <v>0.05</v>
      </c>
    </row>
    <row r="25">
      <c r="A25" s="10" t="n"/>
      <c r="B25" s="743" t="inlineStr">
        <is>
          <t>B</t>
        </is>
      </c>
      <c r="C25" s="524">
        <f>'ANA SAYFA'!I53</f>
        <v/>
      </c>
      <c r="D25" s="242" t="n"/>
      <c r="E25" s="524">
        <f>C25</f>
        <v/>
      </c>
      <c r="F25" s="242" t="n"/>
      <c r="G25" s="751">
        <f>(K25*E25)*0.98</f>
        <v/>
      </c>
      <c r="H25" s="242" t="n"/>
      <c r="I25" s="524" t="n">
        <v>35</v>
      </c>
      <c r="J25" s="242" t="n"/>
      <c r="K25" s="830">
        <f>'ANA SAYFA'!G57</f>
        <v/>
      </c>
      <c r="L25" s="242" t="n"/>
      <c r="M25" s="570">
        <f>M24</f>
        <v/>
      </c>
      <c r="N25" s="242" t="n"/>
      <c r="O25" s="828">
        <f>MIN(U32:U33)</f>
        <v/>
      </c>
      <c r="P25" s="242" t="n"/>
      <c r="Q25" s="743">
        <f>IF(O25&gt;0.05,1,0)</f>
        <v/>
      </c>
      <c r="R25" s="11" t="n"/>
    </row>
    <row r="26">
      <c r="A26" s="10" t="n"/>
      <c r="B26" s="743" t="inlineStr">
        <is>
          <t>C</t>
        </is>
      </c>
      <c r="C26" s="524">
        <f>'ANA SAYFA'!I53</f>
        <v/>
      </c>
      <c r="D26" s="242" t="n"/>
      <c r="E26" s="524">
        <f>C26</f>
        <v/>
      </c>
      <c r="F26" s="242" t="n"/>
      <c r="G26" s="751">
        <f>(K26*E26)*0.98</f>
        <v/>
      </c>
      <c r="H26" s="242" t="n"/>
      <c r="I26" s="524" t="n">
        <v>35</v>
      </c>
      <c r="J26" s="242" t="n"/>
      <c r="K26" s="830">
        <f>'ANA SAYFA'!G59</f>
        <v/>
      </c>
      <c r="L26" s="242" t="n"/>
      <c r="M26" s="570">
        <f>M24</f>
        <v/>
      </c>
      <c r="N26" s="242" t="n"/>
      <c r="O26" s="828">
        <f>MIN(V32:V33)</f>
        <v/>
      </c>
      <c r="P26" s="242" t="n"/>
      <c r="Q26" s="743">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24" t="n"/>
      <c r="R27" s="11" t="n"/>
    </row>
    <row r="28" ht="18" customHeight="1" s="718">
      <c r="A28" s="10" t="n"/>
      <c r="B28" s="192" t="n"/>
      <c r="C28" s="191" t="n"/>
      <c r="D28" s="191" t="n"/>
      <c r="E28" s="191" t="n"/>
      <c r="F28" s="191" t="n"/>
      <c r="G28" s="191" t="n"/>
      <c r="H28" s="191" t="n"/>
      <c r="I28" s="191" t="n"/>
      <c r="J28" s="191" t="n"/>
      <c r="K28" s="191" t="n"/>
      <c r="L28" s="191" t="n"/>
      <c r="M28" s="191" t="n"/>
      <c r="N28" s="191" t="n"/>
      <c r="O28" s="191" t="n"/>
      <c r="P28" s="191" t="n"/>
      <c r="Q28" s="193" t="n"/>
      <c r="R28" s="11" t="n"/>
    </row>
    <row r="29">
      <c r="A29" s="10" t="n"/>
      <c r="B29" s="3" t="n"/>
      <c r="C29" s="272" t="n"/>
      <c r="D29" s="272" t="n"/>
      <c r="E29" s="272" t="n"/>
      <c r="F29" s="272" t="n"/>
      <c r="G29" s="272" t="n"/>
      <c r="H29" s="272" t="n"/>
      <c r="I29" s="272" t="n"/>
      <c r="J29" s="272" t="n"/>
      <c r="K29" s="272" t="n"/>
      <c r="L29" s="272" t="n"/>
      <c r="M29" s="272" t="n"/>
      <c r="N29" s="272" t="n"/>
      <c r="O29" s="272" t="n"/>
      <c r="P29" s="272" t="n"/>
      <c r="Q29" s="202" t="n"/>
      <c r="R29" s="11" t="n"/>
    </row>
    <row r="30">
      <c r="A30" s="10" t="n"/>
      <c r="B30" s="25" t="n"/>
      <c r="C30" s="26" t="n"/>
      <c r="D30" s="26" t="n"/>
      <c r="E30" s="26" t="n"/>
      <c r="F30" s="272" t="n"/>
      <c r="G30" s="272" t="n"/>
      <c r="H30" s="272" t="n"/>
      <c r="I30" s="272" t="n"/>
      <c r="J30" s="272" t="n"/>
      <c r="K30" s="272" t="n"/>
      <c r="L30" s="272" t="n"/>
      <c r="M30" s="272" t="n"/>
      <c r="N30" s="272" t="n"/>
      <c r="O30" s="272" t="n"/>
      <c r="P30" s="272" t="n"/>
      <c r="Q30" s="202" t="n"/>
      <c r="R30" s="11" t="n"/>
    </row>
    <row r="31">
      <c r="A31" s="10" t="n"/>
      <c r="B31" s="3" t="n"/>
      <c r="C31" s="272" t="n"/>
      <c r="D31" s="272" t="n"/>
      <c r="E31" s="272" t="n"/>
      <c r="F31" s="272" t="n"/>
      <c r="G31" s="272" t="n"/>
      <c r="H31" s="272" t="n"/>
      <c r="I31" s="272" t="n"/>
      <c r="J31" s="272" t="n"/>
      <c r="K31" s="272" t="n"/>
      <c r="L31" s="272" t="n"/>
      <c r="M31" s="272" t="n"/>
      <c r="N31" s="272" t="n"/>
      <c r="O31" s="272" t="n"/>
      <c r="P31" s="272" t="n"/>
      <c r="Q31" s="202" t="n"/>
      <c r="R31" s="11" t="n"/>
    </row>
    <row r="32">
      <c r="A32" s="10" t="n"/>
      <c r="B32" s="3" t="n"/>
      <c r="C32" s="272" t="n"/>
      <c r="D32" s="272" t="n"/>
      <c r="E32" s="272" t="n"/>
      <c r="F32" s="272" t="n"/>
      <c r="G32" s="272" t="n"/>
      <c r="H32" s="272" t="n"/>
      <c r="I32" s="272" t="n"/>
      <c r="J32" s="272" t="n"/>
      <c r="K32" s="272" t="n"/>
      <c r="L32" s="272" t="n"/>
      <c r="M32" s="272" t="n"/>
      <c r="N32" s="272" t="n"/>
      <c r="O32" s="272" t="n"/>
      <c r="P32" s="272" t="n"/>
      <c r="Q32" s="202" t="n"/>
      <c r="R32" s="11" t="n"/>
      <c r="T32">
        <f>SQRT((K24-K25)^2)/K25</f>
        <v/>
      </c>
      <c r="U32">
        <f>SQRT((K24-K25)^2)/K24</f>
        <v/>
      </c>
      <c r="V32">
        <f>SQRT((K26-K24)^2)/K24</f>
        <v/>
      </c>
    </row>
    <row r="33">
      <c r="A33" s="10" t="n"/>
      <c r="B33" s="3" t="n"/>
      <c r="C33" s="272" t="n"/>
      <c r="D33" s="272" t="n"/>
      <c r="E33" s="272" t="n"/>
      <c r="F33" s="272" t="n"/>
      <c r="G33" s="272" t="n"/>
      <c r="H33" s="272" t="n"/>
      <c r="I33" s="272" t="n"/>
      <c r="J33" s="272" t="n"/>
      <c r="K33" s="272" t="n"/>
      <c r="L33" s="272" t="n"/>
      <c r="M33" s="272" t="n"/>
      <c r="N33" s="272" t="n"/>
      <c r="O33" s="272" t="n"/>
      <c r="P33" s="272" t="n"/>
      <c r="Q33" s="202" t="n"/>
      <c r="R33" s="11" t="n"/>
      <c r="T33">
        <f>SQRT((K26-K24)^2)/K26</f>
        <v/>
      </c>
      <c r="U33">
        <f>SQRT((K25-K26)^2)/K26</f>
        <v/>
      </c>
      <c r="V33">
        <f>SQRT((K26-K25)^2)/K25</f>
        <v/>
      </c>
    </row>
    <row r="34">
      <c r="A34" s="10" t="n"/>
      <c r="B34" s="3" t="n"/>
      <c r="C34" s="272" t="n"/>
      <c r="D34" s="272" t="n"/>
      <c r="E34" s="272" t="n"/>
      <c r="F34" s="24" t="n"/>
      <c r="G34" s="272" t="n"/>
      <c r="H34" s="272" t="n"/>
      <c r="I34" s="272" t="n"/>
      <c r="J34" s="272" t="n"/>
      <c r="K34" s="272" t="n"/>
      <c r="L34" s="272" t="n"/>
      <c r="M34" s="272" t="n"/>
      <c r="N34" s="272" t="n"/>
      <c r="O34" s="272" t="n"/>
      <c r="P34" s="272" t="n"/>
      <c r="Q34" s="202" t="n"/>
      <c r="R34" s="11" t="n"/>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row>
    <row r="37">
      <c r="A37" s="10" t="n"/>
      <c r="B37" s="173" t="n"/>
      <c r="C37" s="29" t="n"/>
      <c r="D37" s="29" t="n"/>
      <c r="E37" s="272" t="n"/>
      <c r="F37" s="272" t="n"/>
      <c r="G37" s="272" t="n"/>
      <c r="H37" s="272" t="n"/>
      <c r="I37" s="272" t="n"/>
      <c r="J37" s="272" t="n"/>
      <c r="K37" s="272" t="n"/>
      <c r="L37" s="272" t="n"/>
      <c r="M37" s="272" t="n"/>
      <c r="N37" s="272" t="n"/>
      <c r="O37" s="272" t="n"/>
      <c r="P37" s="272" t="n"/>
      <c r="Q37" s="310" t="n"/>
      <c r="R37" s="11" t="n"/>
    </row>
    <row r="38">
      <c r="A38" s="10" t="n"/>
      <c r="B38" s="173" t="n"/>
      <c r="C38" s="24" t="n"/>
      <c r="D38" s="24" t="n"/>
      <c r="E38" s="24" t="n"/>
      <c r="F38" s="24" t="n"/>
      <c r="G38" s="24" t="n"/>
      <c r="H38" s="24" t="n"/>
      <c r="I38" s="24" t="n"/>
      <c r="J38" s="24" t="n"/>
      <c r="K38" s="24" t="n"/>
      <c r="L38" s="24" t="n"/>
      <c r="M38" s="24" t="n"/>
      <c r="N38" s="24" t="n"/>
      <c r="O38" s="24" t="n"/>
      <c r="P38" s="24" t="n"/>
      <c r="Q38" s="310" t="n"/>
      <c r="R38" s="11" t="n"/>
    </row>
    <row r="39" ht="15.6" customHeight="1" s="718">
      <c r="A39" s="10" t="n"/>
      <c r="B39" s="514" t="inlineStr">
        <is>
          <t>Sonuç :</t>
        </is>
      </c>
      <c r="C39" s="70" t="n"/>
      <c r="D39" s="567"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59" t="n"/>
      <c r="R39" s="11" t="n"/>
    </row>
    <row r="40">
      <c r="A40" s="10" t="n"/>
      <c r="B40" s="173" t="n"/>
      <c r="C40" s="24" t="n"/>
      <c r="Q40" s="360" t="n"/>
      <c r="R40" s="11" t="n"/>
    </row>
    <row r="41">
      <c r="A41" s="10" t="n"/>
      <c r="B41" s="3" t="n"/>
      <c r="C41" s="272" t="n"/>
      <c r="Q41" s="360" t="n"/>
      <c r="R41" s="11" t="n"/>
    </row>
    <row r="42">
      <c r="A42" s="10" t="n"/>
      <c r="B42" s="3" t="n"/>
      <c r="C42" s="272" t="n"/>
      <c r="Q42" s="360" t="n"/>
      <c r="R42" s="11" t="n"/>
    </row>
    <row r="43">
      <c r="A43" s="10" t="n"/>
      <c r="B43" s="85" t="n"/>
      <c r="Q43" s="360" t="n"/>
      <c r="R43" s="11" t="n"/>
    </row>
    <row r="44">
      <c r="A44" s="10" t="n"/>
      <c r="B44" s="62" t="n"/>
      <c r="C44" s="139" t="n"/>
      <c r="D44" s="139" t="n"/>
      <c r="E44" s="139" t="n"/>
      <c r="F44" s="139" t="n"/>
      <c r="G44" s="139" t="n"/>
      <c r="H44" s="139" t="n"/>
      <c r="I44" s="139" t="n"/>
      <c r="J44" s="139" t="n"/>
      <c r="K44" s="139" t="n"/>
      <c r="L44" s="139" t="n"/>
      <c r="M44" s="139" t="n"/>
      <c r="N44" s="139" t="n"/>
      <c r="O44" s="139" t="n"/>
      <c r="P44" s="139" t="n"/>
      <c r="Q44" s="361" t="n"/>
      <c r="R44" s="11" t="n"/>
    </row>
    <row r="45" ht="22.5" customHeight="1" s="718">
      <c r="A45" s="10" t="n"/>
      <c r="B45" s="511" t="inlineStr">
        <is>
          <t>UNVAN</t>
        </is>
      </c>
      <c r="C45" s="70" t="n"/>
      <c r="D45" s="70" t="n"/>
      <c r="E45" s="328" t="inlineStr">
        <is>
          <t>:</t>
        </is>
      </c>
      <c r="F45" s="565" t="inlineStr">
        <is>
          <t>Elektrik Mühendisi</t>
        </is>
      </c>
      <c r="G45" s="70" t="n"/>
      <c r="H45" s="70" t="n"/>
      <c r="I45" s="359" t="n"/>
      <c r="J45" s="811" t="inlineStr">
        <is>
          <t>ONAYLAYAN</t>
        </is>
      </c>
      <c r="K45" s="130" t="n"/>
      <c r="L45" s="130" t="n"/>
      <c r="M45" s="130" t="n"/>
      <c r="N45" s="130" t="n"/>
      <c r="O45" s="130" t="n"/>
      <c r="P45" s="130" t="n"/>
      <c r="Q45" s="242" t="n"/>
      <c r="R45" s="11" t="n"/>
    </row>
    <row r="46" ht="22.5" customHeight="1" s="718">
      <c r="A46" s="10" t="n"/>
      <c r="B46" s="511" t="inlineStr">
        <is>
          <t>TEST TARİHİ</t>
        </is>
      </c>
      <c r="C46" s="70" t="n"/>
      <c r="D46" s="70" t="n"/>
      <c r="E46" s="328" t="inlineStr">
        <is>
          <t>:</t>
        </is>
      </c>
      <c r="F46" s="829">
        <f>'ANA SAYFA'!F79</f>
        <v/>
      </c>
      <c r="G46" s="70" t="n"/>
      <c r="H46" s="70" t="n"/>
      <c r="I46" s="359" t="n"/>
      <c r="J46" s="75" t="n"/>
      <c r="K46" s="76" t="n"/>
      <c r="L46" s="191" t="n"/>
      <c r="M46" s="191" t="n"/>
      <c r="N46" s="191" t="n"/>
      <c r="O46" s="191" t="n"/>
      <c r="P46" s="191" t="n"/>
      <c r="Q46" s="193" t="n"/>
      <c r="R46" s="11" t="n"/>
    </row>
    <row r="47" ht="22.5" customHeight="1" s="718">
      <c r="A47" s="10" t="n"/>
      <c r="B47" s="508" t="inlineStr">
        <is>
          <t>ODA SİCİL NO</t>
        </is>
      </c>
      <c r="C47" s="130" t="n"/>
      <c r="D47" s="130" t="n"/>
      <c r="E47" s="564" t="inlineStr">
        <is>
          <t>:</t>
        </is>
      </c>
      <c r="F47" s="565">
        <f>'ANA SAYFA'!F81</f>
        <v/>
      </c>
      <c r="G47" s="70" t="n"/>
      <c r="H47" s="70" t="n"/>
      <c r="I47" s="359" t="n"/>
      <c r="J47" s="75" t="n"/>
      <c r="K47" s="76" t="n"/>
      <c r="L47" s="191" t="n"/>
      <c r="M47" s="191" t="n"/>
      <c r="N47" s="191" t="n"/>
      <c r="O47" s="191" t="n"/>
      <c r="P47" s="191" t="n"/>
      <c r="Q47" s="193" t="n"/>
      <c r="R47" s="11" t="n"/>
    </row>
    <row r="48" ht="22.5" customHeight="1" s="718">
      <c r="A48" s="10" t="n"/>
      <c r="B48" s="508" t="inlineStr">
        <is>
          <t>EKİPNET NO</t>
        </is>
      </c>
      <c r="C48" s="130" t="n"/>
      <c r="D48" s="130" t="n"/>
      <c r="E48" s="509" t="inlineStr">
        <is>
          <t>:</t>
        </is>
      </c>
      <c r="F48" s="510">
        <f>'ANA SAYFA'!F82</f>
        <v/>
      </c>
      <c r="G48" s="130" t="n"/>
      <c r="H48" s="130" t="n"/>
      <c r="I48" s="242" t="n"/>
      <c r="J48" s="352" t="n"/>
      <c r="K48" s="197" t="n"/>
      <c r="L48" s="197" t="n"/>
      <c r="M48" s="197" t="n"/>
      <c r="N48" s="197" t="n"/>
      <c r="O48" s="197" t="n"/>
      <c r="P48" s="197" t="n"/>
      <c r="Q48" s="194" t="n"/>
      <c r="R48" s="11" t="n"/>
    </row>
    <row r="49" ht="15" customHeight="1" s="718"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zoomScale="68" zoomScaleNormal="68" workbookViewId="0">
      <selection activeCell="U63" sqref="U63"/>
    </sheetView>
  </sheetViews>
  <sheetFormatPr baseColWidth="8" defaultRowHeight="14.4"/>
  <cols>
    <col width="3.5546875" customWidth="1" style="718" min="1" max="1"/>
    <col width="14.33203125" customWidth="1" style="718" min="2" max="2"/>
    <col width="5.44140625" customWidth="1" style="718" min="3" max="3"/>
    <col width="13" customWidth="1" style="718" min="4" max="4"/>
    <col width="8.88671875" customWidth="1" style="718" min="5" max="5"/>
    <col width="13" customWidth="1" style="718" min="6" max="6"/>
    <col width="5.44140625" customWidth="1" style="718" min="7" max="7"/>
    <col width="13" customWidth="1" style="718" min="8" max="8"/>
    <col width="5.44140625" customWidth="1" style="718" min="9" max="9"/>
    <col width="13" customWidth="1" style="718" min="10" max="10"/>
    <col width="5.6640625" customWidth="1" style="718" min="11" max="11"/>
    <col width="13" customWidth="1" style="718" min="12" max="12"/>
    <col width="5.6640625" customWidth="1" style="718" min="13" max="15"/>
    <col width="6.5546875" customWidth="1" style="718" min="16" max="17"/>
    <col width="3.5546875" customWidth="1" style="718" min="18" max="18"/>
    <col width="12.5546875" customWidth="1" style="718" min="21" max="21"/>
    <col width="12.88671875" customWidth="1" style="718"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11" t="inlineStr">
        <is>
          <t>D.C. İZOLASYON DİRENCİ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743">
        <f>'OG SARGI MEVCUT KADEME'!D7:F7</f>
        <v/>
      </c>
      <c r="E7" s="130" t="n"/>
      <c r="F7" s="242" t="n"/>
      <c r="G7" s="573" t="inlineStr">
        <is>
          <t>Model :</t>
        </is>
      </c>
      <c r="H7" s="242" t="n"/>
      <c r="I7" s="573">
        <f>'OG SARGI MEVCUT KADEME'!I7:K7</f>
        <v/>
      </c>
      <c r="J7" s="130" t="n"/>
      <c r="K7" s="242" t="n"/>
      <c r="L7" s="743" t="inlineStr">
        <is>
          <t>Seri Numarası :</t>
        </is>
      </c>
      <c r="M7" s="130" t="n"/>
      <c r="N7" s="242" t="n"/>
      <c r="O7" s="573">
        <f>'OG SARGI MEVCUT KADEME'!O7:Q7</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c r="Y8" t="inlineStr">
        <is>
          <t>OG-TANK</t>
        </is>
      </c>
      <c r="Z8" t="inlineStr">
        <is>
          <t>AG-TANK</t>
        </is>
      </c>
      <c r="AA8" t="inlineStr">
        <is>
          <t>OG-AG</t>
        </is>
      </c>
    </row>
    <row r="9" ht="18" customHeight="1" s="718">
      <c r="A9" s="10" t="n"/>
      <c r="B9" s="555" t="inlineStr">
        <is>
          <t>OTURUM TARİHİ :</t>
        </is>
      </c>
      <c r="C9" s="130" t="n"/>
      <c r="D9" s="130" t="n"/>
      <c r="E9" s="130" t="n"/>
      <c r="F9" s="130" t="n"/>
      <c r="G9" s="130" t="n"/>
      <c r="H9" s="130" t="n"/>
      <c r="I9" s="130" t="n"/>
      <c r="J9" s="823">
        <f>'ANA SAYFA'!F78</f>
        <v/>
      </c>
      <c r="K9" s="130" t="n"/>
      <c r="L9" s="130" t="n"/>
      <c r="M9" s="130" t="n"/>
      <c r="N9" s="130" t="n"/>
      <c r="O9" s="130" t="n"/>
      <c r="P9" s="130" t="n"/>
      <c r="Q9" s="242" t="n"/>
      <c r="R9" s="11" t="n"/>
      <c r="X9" t="inlineStr">
        <is>
          <t>LİMİT</t>
        </is>
      </c>
      <c r="Y9">
        <f>V15</f>
        <v/>
      </c>
      <c r="Z9">
        <f>V20</f>
        <v/>
      </c>
      <c r="AA9">
        <f>V25</f>
        <v/>
      </c>
    </row>
    <row r="10">
      <c r="A10" s="10" t="n"/>
      <c r="B10" s="3" t="n"/>
      <c r="C10" s="272" t="n"/>
      <c r="D10" s="272" t="n"/>
      <c r="E10" s="272" t="n"/>
      <c r="F10" s="272" t="n"/>
      <c r="G10" s="272" t="n"/>
      <c r="H10" s="272" t="n"/>
      <c r="I10" s="272" t="n"/>
      <c r="J10" s="272" t="n"/>
      <c r="K10" s="272" t="n"/>
      <c r="L10" s="272" t="n"/>
      <c r="M10" s="272" t="n"/>
      <c r="N10" s="272" t="n"/>
      <c r="O10" s="272" t="n"/>
      <c r="P10" s="272" t="n"/>
      <c r="Q10" s="202" t="n"/>
      <c r="R10" s="11" t="n"/>
      <c r="X10" t="n">
        <v>30</v>
      </c>
      <c r="Y10" s="180">
        <f>H18</f>
        <v/>
      </c>
      <c r="Z10" s="180">
        <f>H23</f>
        <v/>
      </c>
      <c r="AA10" s="180">
        <f>H28</f>
        <v/>
      </c>
    </row>
    <row r="11">
      <c r="A11" s="10" t="n"/>
      <c r="B11" s="576" t="inlineStr">
        <is>
          <t>Operatör :</t>
        </is>
      </c>
      <c r="C11" s="242" t="n"/>
      <c r="D11" s="577" t="inlineStr">
        <is>
          <t>Ahmet YILMAZ</t>
        </is>
      </c>
      <c r="E11" s="130" t="n"/>
      <c r="F11" s="130" t="n"/>
      <c r="G11" s="242" t="n"/>
      <c r="H11" s="576" t="inlineStr">
        <is>
          <t>Cihaz :</t>
        </is>
      </c>
      <c r="I11" s="242" t="n"/>
      <c r="J11" s="577" t="inlineStr">
        <is>
          <t>STS 5000</t>
        </is>
      </c>
      <c r="K11" s="130" t="n"/>
      <c r="L11" s="242" t="n"/>
      <c r="M11" s="743" t="inlineStr">
        <is>
          <t>Cihaz S/N :</t>
        </is>
      </c>
      <c r="N11" s="242" t="n"/>
      <c r="O11" s="743" t="inlineStr">
        <is>
          <t>SN-19B20</t>
        </is>
      </c>
      <c r="P11" s="130" t="n"/>
      <c r="Q11" s="242" t="n"/>
      <c r="R11" s="11" t="n"/>
      <c r="X11" t="n">
        <v>45</v>
      </c>
      <c r="Y11" s="180">
        <f>J18</f>
        <v/>
      </c>
      <c r="Z11" s="180">
        <f>J23</f>
        <v/>
      </c>
      <c r="AA11" s="180">
        <f>J28</f>
        <v/>
      </c>
    </row>
    <row r="12">
      <c r="A12" s="10" t="n"/>
      <c r="B12" s="3" t="n"/>
      <c r="C12" s="272" t="n"/>
      <c r="D12" s="272" t="n"/>
      <c r="E12" s="272" t="n"/>
      <c r="F12" s="272" t="n"/>
      <c r="G12" s="272" t="n"/>
      <c r="H12" s="272" t="n"/>
      <c r="I12" s="272" t="n"/>
      <c r="J12" s="272" t="n"/>
      <c r="K12" s="272" t="n"/>
      <c r="L12" s="272" t="n"/>
      <c r="M12" s="272" t="n"/>
      <c r="N12" s="272" t="n"/>
      <c r="O12" s="272" t="n"/>
      <c r="P12" s="272" t="n"/>
      <c r="Q12" s="202" t="n"/>
      <c r="R12" s="11" t="n"/>
      <c r="X12" t="n">
        <v>60</v>
      </c>
      <c r="Y12" s="180">
        <f>L18</f>
        <v/>
      </c>
      <c r="Z12" s="180">
        <f>L23</f>
        <v/>
      </c>
      <c r="AA12" s="180">
        <f>L28</f>
        <v/>
      </c>
    </row>
    <row r="13" ht="18" customHeight="1" s="718">
      <c r="A13" s="10" t="n"/>
      <c r="B13" s="534" t="inlineStr">
        <is>
          <t>Sonuçlar</t>
        </is>
      </c>
      <c r="C13" s="130" t="n"/>
      <c r="D13" s="130" t="n"/>
      <c r="E13" s="130" t="n"/>
      <c r="F13" s="130" t="n"/>
      <c r="G13" s="130" t="n"/>
      <c r="H13" s="130" t="n"/>
      <c r="I13" s="130" t="n"/>
      <c r="J13" s="130" t="n"/>
      <c r="K13" s="130" t="n"/>
      <c r="L13" s="130" t="n"/>
      <c r="M13" s="130" t="n"/>
      <c r="N13" s="587" t="inlineStr">
        <is>
          <t>Sıcaklık</t>
        </is>
      </c>
      <c r="O13" s="242" t="n"/>
      <c r="P13" s="255">
        <f>'ANA SAYFA'!G27</f>
        <v/>
      </c>
      <c r="Q13" s="269" t="inlineStr">
        <is>
          <t>°C</t>
        </is>
      </c>
      <c r="R13" s="11" t="n"/>
    </row>
    <row r="14">
      <c r="A14" s="10" t="n"/>
      <c r="B14" s="3" t="n"/>
      <c r="C14" s="272" t="n"/>
      <c r="D14" s="272" t="n"/>
      <c r="E14" s="272" t="n"/>
      <c r="F14" s="272" t="n"/>
      <c r="G14" s="272" t="n"/>
      <c r="H14" s="272" t="n"/>
      <c r="I14" s="272" t="n"/>
      <c r="J14" s="272" t="n"/>
      <c r="K14" s="272" t="n"/>
      <c r="L14" s="272" t="n"/>
      <c r="M14" s="272" t="n"/>
      <c r="N14" s="272" t="n"/>
      <c r="O14" s="272" t="n"/>
      <c r="P14" s="272" t="n"/>
      <c r="Q14" s="202" t="n"/>
      <c r="R14" s="11" t="n"/>
    </row>
    <row r="15" ht="18" customHeight="1" s="718">
      <c r="A15" s="10" t="n"/>
      <c r="B15" s="811" t="inlineStr">
        <is>
          <t>O.G. TANK İZOLASYON</t>
        </is>
      </c>
      <c r="C15" s="130" t="n"/>
      <c r="D15" s="130" t="n"/>
      <c r="E15" s="130" t="n"/>
      <c r="F15" s="130" t="n"/>
      <c r="G15" s="130" t="n"/>
      <c r="H15" s="130" t="n"/>
      <c r="I15" s="130" t="n"/>
      <c r="J15" s="130" t="n"/>
      <c r="K15" s="130" t="n"/>
      <c r="L15" s="130" t="n"/>
      <c r="M15" s="130" t="n"/>
      <c r="N15" s="130" t="n"/>
      <c r="O15" s="130" t="n"/>
      <c r="P15" s="130" t="n"/>
      <c r="Q15" s="242" t="n"/>
      <c r="R15" s="11" t="n"/>
      <c r="U15" t="inlineStr">
        <is>
          <t>OG-TANK</t>
        </is>
      </c>
      <c r="V15" t="n">
        <v>1.1</v>
      </c>
    </row>
    <row r="16">
      <c r="A16" s="10" t="n"/>
      <c r="B16" s="831" t="n">
        <v>2500.876543</v>
      </c>
      <c r="C16" s="130" t="n"/>
      <c r="D16" s="130" t="n"/>
      <c r="E16" s="130" t="n"/>
      <c r="F16" s="130" t="n"/>
      <c r="G16" s="832" t="n"/>
      <c r="H16" s="833" t="inlineStr">
        <is>
          <t>HESAPLANAN DEĞERLER 20°C</t>
        </is>
      </c>
      <c r="I16" s="130" t="n"/>
      <c r="J16" s="130" t="n"/>
      <c r="K16" s="130" t="n"/>
      <c r="L16" s="130" t="n"/>
      <c r="M16" s="832" t="n"/>
      <c r="N16" s="272" t="n"/>
      <c r="O16" s="272" t="n"/>
      <c r="P16" s="272" t="n"/>
      <c r="Q16" s="202" t="n"/>
      <c r="R16" s="11" t="n"/>
      <c r="V16" s="469" t="inlineStr">
        <is>
          <t>UYGUN</t>
        </is>
      </c>
    </row>
    <row r="17">
      <c r="A17" s="10" t="n"/>
      <c r="B17" s="834" t="inlineStr">
        <is>
          <t>30 sn</t>
        </is>
      </c>
      <c r="C17" s="242" t="n"/>
      <c r="D17" s="834" t="n">
        <v>2400.123456</v>
      </c>
      <c r="E17" s="242" t="n"/>
      <c r="F17" s="834" t="inlineStr">
        <is>
          <t>60 sn</t>
        </is>
      </c>
      <c r="G17" s="242" t="n"/>
      <c r="H17" s="835" t="inlineStr">
        <is>
          <t>30 sn</t>
        </is>
      </c>
      <c r="I17" s="242" t="n"/>
      <c r="J17" s="834" t="inlineStr">
        <is>
          <t>45 sn</t>
        </is>
      </c>
      <c r="K17" s="242" t="n"/>
      <c r="L17" s="834" t="inlineStr">
        <is>
          <t>60 sn</t>
        </is>
      </c>
      <c r="M17" s="242" t="n"/>
      <c r="N17" s="504" t="inlineStr">
        <is>
          <t>DAR</t>
        </is>
      </c>
      <c r="O17" s="242" t="n"/>
      <c r="P17" s="596" t="inlineStr">
        <is>
          <t>Sonuç</t>
        </is>
      </c>
      <c r="Q17" s="242" t="n"/>
      <c r="R17" s="11" t="n"/>
    </row>
    <row r="18">
      <c r="A18" s="10" t="n"/>
      <c r="B18" s="163">
        <f>'ANA SAYFA'!F66</f>
        <v/>
      </c>
      <c r="C18" s="33" t="inlineStr">
        <is>
          <t>GΩ</t>
        </is>
      </c>
      <c r="D18" s="163">
        <f>'ANA SAYFA'!I66</f>
        <v/>
      </c>
      <c r="E18" s="33" t="inlineStr">
        <is>
          <t>GΩ</t>
        </is>
      </c>
      <c r="F18" s="163">
        <f>'ANA SAYFA'!L66</f>
        <v/>
      </c>
      <c r="G18" s="300" t="inlineStr">
        <is>
          <t>GΩ</t>
        </is>
      </c>
      <c r="H18" s="299">
        <f>B18*V38</f>
        <v/>
      </c>
      <c r="I18" s="33" t="inlineStr">
        <is>
          <t>GΩ</t>
        </is>
      </c>
      <c r="J18" s="163">
        <f>D18*V38</f>
        <v/>
      </c>
      <c r="K18" s="33" t="inlineStr">
        <is>
          <t>GΩ</t>
        </is>
      </c>
      <c r="L18" s="163">
        <f>F18*V38</f>
        <v/>
      </c>
      <c r="M18" s="300" t="inlineStr">
        <is>
          <t>GΩ</t>
        </is>
      </c>
      <c r="N18" s="527">
        <f>L18/H18</f>
        <v/>
      </c>
      <c r="O18" s="242" t="n"/>
      <c r="P18" s="580">
        <f>IF(L18&lt;V15,V18,V16)</f>
        <v/>
      </c>
      <c r="Q18" s="242" t="n"/>
      <c r="R18" s="11" t="n"/>
      <c r="V18" s="469" t="inlineStr">
        <is>
          <t>DÜŞÜK</t>
        </is>
      </c>
    </row>
    <row r="19">
      <c r="A19" s="10" t="n"/>
      <c r="B19" s="3" t="n"/>
      <c r="C19" s="272" t="n"/>
      <c r="D19" s="272" t="n"/>
      <c r="E19" s="272" t="n"/>
      <c r="F19" s="272" t="n"/>
      <c r="G19" s="272" t="n"/>
      <c r="H19" s="272" t="n"/>
      <c r="I19" s="272" t="n"/>
      <c r="J19" s="272" t="n"/>
      <c r="K19" s="272" t="n"/>
      <c r="L19" s="272" t="n"/>
      <c r="M19" s="272" t="n"/>
      <c r="N19" s="272" t="n"/>
      <c r="O19" s="272" t="n"/>
      <c r="P19" s="272" t="n"/>
      <c r="Q19" s="202" t="n"/>
      <c r="R19" s="11" t="n"/>
    </row>
    <row r="20" ht="18" customHeight="1" s="718">
      <c r="A20" s="10" t="n"/>
      <c r="B20" s="836" t="inlineStr">
        <is>
          <t>A.G. TANK İZOLASYON</t>
        </is>
      </c>
      <c r="C20" s="130" t="n"/>
      <c r="D20" s="130" t="n"/>
      <c r="E20" s="130" t="n"/>
      <c r="F20" s="130" t="n"/>
      <c r="G20" s="130" t="n"/>
      <c r="H20" s="130" t="n"/>
      <c r="I20" s="130" t="n"/>
      <c r="J20" s="130" t="n"/>
      <c r="K20" s="130" t="n"/>
      <c r="L20" s="130" t="n"/>
      <c r="M20" s="130" t="n"/>
      <c r="N20" s="130" t="n"/>
      <c r="O20" s="130" t="n"/>
      <c r="P20" s="130" t="n"/>
      <c r="Q20" s="242" t="n"/>
      <c r="R20" s="11" t="n"/>
      <c r="U20" t="inlineStr">
        <is>
          <t>AG-TANK</t>
        </is>
      </c>
      <c r="V20" t="n">
        <v>0.2</v>
      </c>
    </row>
    <row r="21">
      <c r="A21" s="10" t="n"/>
      <c r="B21" s="831" t="inlineStr">
        <is>
          <t>ÖLÇÜLEN DEĞERLER</t>
        </is>
      </c>
      <c r="C21" s="130" t="n"/>
      <c r="D21" s="130" t="n"/>
      <c r="E21" s="130" t="n"/>
      <c r="F21" s="130" t="n"/>
      <c r="G21" s="832" t="n"/>
      <c r="H21" s="833" t="inlineStr">
        <is>
          <t>HESAPLANAN DEĞERLER 20°C</t>
        </is>
      </c>
      <c r="I21" s="130" t="n"/>
      <c r="J21" s="130" t="n"/>
      <c r="K21" s="130" t="n"/>
      <c r="L21" s="130" t="n"/>
      <c r="M21" s="832" t="n"/>
      <c r="N21" s="272" t="n"/>
      <c r="O21" s="272" t="n"/>
      <c r="P21" s="272" t="n"/>
      <c r="Q21" s="202" t="n"/>
      <c r="R21" s="11" t="n"/>
      <c r="V21" s="469" t="inlineStr">
        <is>
          <t>UYGUN</t>
        </is>
      </c>
    </row>
    <row r="22">
      <c r="A22" s="10" t="n"/>
      <c r="B22" s="834" t="inlineStr">
        <is>
          <t>30 sn</t>
        </is>
      </c>
      <c r="C22" s="242" t="n"/>
      <c r="D22" s="834" t="inlineStr">
        <is>
          <t>45 sn</t>
        </is>
      </c>
      <c r="E22" s="242" t="n"/>
      <c r="F22" s="834" t="inlineStr">
        <is>
          <t>60 sn</t>
        </is>
      </c>
      <c r="G22" s="242" t="n"/>
      <c r="H22" s="835" t="inlineStr">
        <is>
          <t>30 sn</t>
        </is>
      </c>
      <c r="I22" s="242" t="n"/>
      <c r="J22" s="834" t="inlineStr">
        <is>
          <t>45 sn</t>
        </is>
      </c>
      <c r="K22" s="242" t="n"/>
      <c r="L22" s="834" t="inlineStr">
        <is>
          <t>60 sn</t>
        </is>
      </c>
      <c r="M22" s="242" t="n"/>
      <c r="N22" s="504" t="inlineStr">
        <is>
          <t>DAR</t>
        </is>
      </c>
      <c r="O22" s="242" t="n"/>
      <c r="P22" s="596" t="inlineStr">
        <is>
          <t>Sonuç</t>
        </is>
      </c>
      <c r="Q22" s="242" t="n"/>
      <c r="R22" s="11" t="n"/>
    </row>
    <row r="23">
      <c r="A23" s="10" t="n"/>
      <c r="B23" s="163">
        <f>'ANA SAYFA'!F68</f>
        <v/>
      </c>
      <c r="C23" s="33" t="inlineStr">
        <is>
          <t>GΩ</t>
        </is>
      </c>
      <c r="D23" s="163">
        <f>'ANA SAYFA'!I68</f>
        <v/>
      </c>
      <c r="E23" s="33" t="inlineStr">
        <is>
          <t>GΩ</t>
        </is>
      </c>
      <c r="F23" s="163">
        <f>'ANA SAYFA'!L68</f>
        <v/>
      </c>
      <c r="G23" s="300" t="inlineStr">
        <is>
          <t>GΩ</t>
        </is>
      </c>
      <c r="H23" s="299">
        <f>B23*V38</f>
        <v/>
      </c>
      <c r="I23" s="33" t="inlineStr">
        <is>
          <t>GΩ</t>
        </is>
      </c>
      <c r="J23" s="163">
        <f>D23*V38</f>
        <v/>
      </c>
      <c r="K23" s="33" t="inlineStr">
        <is>
          <t>GΩ</t>
        </is>
      </c>
      <c r="L23" s="163">
        <f>F23*V38</f>
        <v/>
      </c>
      <c r="M23" s="300" t="inlineStr">
        <is>
          <t>GΩ</t>
        </is>
      </c>
      <c r="N23" s="527">
        <f>L23/H23</f>
        <v/>
      </c>
      <c r="O23" s="242" t="n"/>
      <c r="P23" s="580">
        <f>IF(L23&lt;V20,V23,V21)</f>
        <v/>
      </c>
      <c r="Q23" s="242" t="n"/>
      <c r="R23" s="11" t="n"/>
      <c r="V23" s="469" t="inlineStr">
        <is>
          <t>DÜŞÜK</t>
        </is>
      </c>
    </row>
    <row r="24">
      <c r="A24" s="10" t="n"/>
      <c r="B24" s="173" t="n"/>
      <c r="C24" s="578" t="n"/>
      <c r="E24" s="578" t="n"/>
      <c r="G24" s="579" t="n"/>
      <c r="I24" s="578" t="n"/>
      <c r="K24" s="579" t="n"/>
      <c r="M24" s="579" t="n"/>
      <c r="O24" s="579" t="n"/>
      <c r="Q24" s="310" t="n"/>
      <c r="R24" s="11" t="n"/>
      <c r="Y24" s="517"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59" t="n"/>
    </row>
    <row r="25" ht="18" customHeight="1" s="718">
      <c r="A25" s="10" t="n"/>
      <c r="B25" s="836" t="inlineStr">
        <is>
          <t>O.G. A.G. İZOLASYON</t>
        </is>
      </c>
      <c r="C25" s="130" t="n"/>
      <c r="D25" s="130" t="n"/>
      <c r="E25" s="130" t="n"/>
      <c r="F25" s="130" t="n"/>
      <c r="G25" s="130" t="n"/>
      <c r="H25" s="130" t="n"/>
      <c r="I25" s="130" t="n"/>
      <c r="J25" s="130" t="n"/>
      <c r="K25" s="130" t="n"/>
      <c r="L25" s="130" t="n"/>
      <c r="M25" s="130" t="n"/>
      <c r="N25" s="130" t="n"/>
      <c r="O25" s="130" t="n"/>
      <c r="P25" s="130" t="n"/>
      <c r="Q25" s="242" t="n"/>
      <c r="R25" s="11" t="n"/>
      <c r="U25" t="inlineStr">
        <is>
          <t>OG-AG</t>
        </is>
      </c>
      <c r="V25" t="n">
        <v>1.1</v>
      </c>
      <c r="AL25" s="360" t="n"/>
    </row>
    <row r="26">
      <c r="A26" s="10" t="n"/>
      <c r="B26" s="831" t="inlineStr">
        <is>
          <t>ÖLÇÜLEN DEĞERLER</t>
        </is>
      </c>
      <c r="C26" s="130" t="n"/>
      <c r="D26" s="130" t="n"/>
      <c r="E26" s="130" t="n"/>
      <c r="F26" s="130" t="n"/>
      <c r="G26" s="832" t="n"/>
      <c r="H26" s="833" t="inlineStr">
        <is>
          <t>HESAPLANAN DEĞERLER 20°C</t>
        </is>
      </c>
      <c r="I26" s="130" t="n"/>
      <c r="J26" s="130" t="n"/>
      <c r="K26" s="130" t="n"/>
      <c r="L26" s="130" t="n"/>
      <c r="M26" s="832" t="n"/>
      <c r="N26" s="272" t="n"/>
      <c r="O26" s="272" t="n"/>
      <c r="P26" s="272" t="n"/>
      <c r="Q26" s="202" t="n"/>
      <c r="R26" s="11" t="n"/>
      <c r="V26" s="469" t="inlineStr">
        <is>
          <t>UYGUN</t>
        </is>
      </c>
      <c r="AL26" s="360" t="n"/>
    </row>
    <row r="27">
      <c r="A27" s="10" t="n"/>
      <c r="B27" s="834" t="inlineStr">
        <is>
          <t>30 sn</t>
        </is>
      </c>
      <c r="C27" s="242" t="n"/>
      <c r="D27" s="834" t="inlineStr">
        <is>
          <t>45 sn</t>
        </is>
      </c>
      <c r="E27" s="242" t="n"/>
      <c r="F27" s="834" t="inlineStr">
        <is>
          <t>60 sn</t>
        </is>
      </c>
      <c r="G27" s="242" t="n"/>
      <c r="H27" s="835" t="inlineStr">
        <is>
          <t>30 sn</t>
        </is>
      </c>
      <c r="I27" s="242" t="n"/>
      <c r="J27" s="834" t="inlineStr">
        <is>
          <t>45 sn</t>
        </is>
      </c>
      <c r="K27" s="242" t="n"/>
      <c r="L27" s="834" t="inlineStr">
        <is>
          <t>60 sn</t>
        </is>
      </c>
      <c r="M27" s="242" t="n"/>
      <c r="N27" s="504" t="inlineStr">
        <is>
          <t>DAR</t>
        </is>
      </c>
      <c r="O27" s="242" t="n"/>
      <c r="P27" s="596" t="inlineStr">
        <is>
          <t>Sonuç</t>
        </is>
      </c>
      <c r="Q27" s="242" t="n"/>
      <c r="R27" s="11" t="n"/>
      <c r="AL27" s="360" t="n"/>
    </row>
    <row r="28">
      <c r="A28" s="10" t="n"/>
      <c r="B28" s="163">
        <f>'ANA SAYFA'!F70</f>
        <v/>
      </c>
      <c r="C28" s="33" t="inlineStr">
        <is>
          <t>GΩ</t>
        </is>
      </c>
      <c r="D28" s="163">
        <f>'ANA SAYFA'!I70</f>
        <v/>
      </c>
      <c r="E28" s="33" t="inlineStr">
        <is>
          <t>GΩ</t>
        </is>
      </c>
      <c r="F28" s="163">
        <f>'ANA SAYFA'!L70</f>
        <v/>
      </c>
      <c r="G28" s="300" t="inlineStr">
        <is>
          <t>GΩ</t>
        </is>
      </c>
      <c r="H28" s="299">
        <f>B28*V38</f>
        <v/>
      </c>
      <c r="I28" s="33" t="inlineStr">
        <is>
          <t>GΩ</t>
        </is>
      </c>
      <c r="J28" s="163">
        <f>D28*V38</f>
        <v/>
      </c>
      <c r="K28" s="33" t="inlineStr">
        <is>
          <t>GΩ</t>
        </is>
      </c>
      <c r="L28" s="163">
        <f>F28*V38</f>
        <v/>
      </c>
      <c r="M28" s="300" t="inlineStr">
        <is>
          <t>GΩ</t>
        </is>
      </c>
      <c r="N28" s="527">
        <f>L28/H28</f>
        <v/>
      </c>
      <c r="O28" s="242" t="n"/>
      <c r="P28" s="580">
        <f>IF(L28&lt;V25,V28,V26)</f>
        <v/>
      </c>
      <c r="Q28" s="242" t="n"/>
      <c r="R28" s="11" t="n"/>
      <c r="V28" s="469" t="inlineStr">
        <is>
          <t>DÜŞÜK</t>
        </is>
      </c>
      <c r="AL28" s="360" t="n"/>
    </row>
    <row r="29" ht="7.5" customHeight="1" s="718">
      <c r="A29" s="10" t="n"/>
      <c r="B29" s="3" t="n"/>
      <c r="C29" s="272" t="n"/>
      <c r="D29" s="272" t="n"/>
      <c r="E29" s="272" t="n"/>
      <c r="F29" s="272" t="n"/>
      <c r="G29" s="272" t="n"/>
      <c r="H29" s="272" t="n"/>
      <c r="I29" s="272" t="n"/>
      <c r="J29" s="272" t="n"/>
      <c r="K29" s="272" t="n"/>
      <c r="L29" s="272" t="n"/>
      <c r="M29" s="272" t="n"/>
      <c r="N29" s="272" t="n"/>
      <c r="O29" s="272" t="n"/>
      <c r="P29" s="272" t="n"/>
      <c r="Q29" s="202" t="n"/>
      <c r="R29" s="11" t="n"/>
    </row>
    <row r="30" ht="7.5" customHeight="1" s="718">
      <c r="A30" s="10" t="n"/>
      <c r="B30" s="3" t="n"/>
      <c r="C30" s="272" t="n"/>
      <c r="D30" s="57" t="n">
        <v>24</v>
      </c>
      <c r="E30" s="272" t="n"/>
      <c r="F30" s="272" t="n"/>
      <c r="G30" s="272" t="n"/>
      <c r="H30" s="272" t="n"/>
      <c r="I30" s="272" t="n"/>
      <c r="J30" s="272" t="n"/>
      <c r="K30" s="272" t="n"/>
      <c r="L30" s="272" t="n"/>
      <c r="M30" s="272" t="n"/>
      <c r="N30" s="272" t="n"/>
      <c r="O30" s="272" t="n"/>
      <c r="P30" s="272" t="n"/>
      <c r="Q30" s="202" t="n"/>
      <c r="R30" s="11" t="n"/>
    </row>
    <row r="31">
      <c r="A31" s="10" t="n"/>
      <c r="B31" s="25" t="n"/>
      <c r="C31" s="26" t="n"/>
      <c r="D31" s="837" t="n">
        <v>45</v>
      </c>
      <c r="E31" s="26" t="n"/>
      <c r="F31" s="272" t="n"/>
      <c r="G31" s="272" t="n"/>
      <c r="H31" s="272" t="n"/>
      <c r="I31" s="272" t="n"/>
      <c r="J31" s="272" t="n"/>
      <c r="K31" s="272" t="n"/>
      <c r="L31" s="272" t="n"/>
      <c r="M31" s="272" t="n"/>
      <c r="N31" s="272" t="n"/>
      <c r="O31" s="272" t="n"/>
      <c r="P31" s="272" t="n"/>
      <c r="Q31" s="202" t="n"/>
      <c r="R31" s="11" t="n"/>
    </row>
    <row r="32">
      <c r="A32" s="10" t="n"/>
      <c r="B32" s="25" t="n"/>
      <c r="C32" s="26" t="n"/>
      <c r="D32" s="26" t="n"/>
      <c r="E32" s="26" t="n"/>
      <c r="F32" s="272" t="n"/>
      <c r="G32" s="272" t="n"/>
      <c r="H32" s="272" t="n"/>
      <c r="I32" s="272" t="n"/>
      <c r="J32" s="272" t="n"/>
      <c r="K32" s="272" t="n"/>
      <c r="L32" s="272" t="n"/>
      <c r="M32" s="272" t="n"/>
      <c r="N32" s="272" t="n"/>
      <c r="O32" s="272" t="n"/>
      <c r="P32" s="272" t="n"/>
      <c r="Q32" s="202" t="n"/>
      <c r="R32" s="11" t="n"/>
      <c r="Y32" s="517"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59" t="n"/>
    </row>
    <row r="33">
      <c r="A33" s="10" t="n"/>
      <c r="B33" s="3" t="n"/>
      <c r="C33" s="272" t="n"/>
      <c r="D33" s="272" t="n"/>
      <c r="E33" s="272" t="n"/>
      <c r="F33" s="272" t="n"/>
      <c r="G33" s="272" t="n"/>
      <c r="H33" s="272" t="n"/>
      <c r="I33" s="272" t="n"/>
      <c r="J33" s="272" t="n"/>
      <c r="K33" s="272" t="n"/>
      <c r="L33" s="272" t="n"/>
      <c r="M33" s="272" t="n"/>
      <c r="N33" s="272" t="n"/>
      <c r="O33" s="272" t="n"/>
      <c r="P33" s="272" t="n"/>
      <c r="Q33" s="202" t="n"/>
      <c r="R33" s="11" t="n"/>
      <c r="AL33" s="360" t="n"/>
    </row>
    <row r="34">
      <c r="A34" s="10" t="n"/>
      <c r="B34" s="3" t="n"/>
      <c r="C34" s="272" t="n"/>
      <c r="D34" s="272" t="n"/>
      <c r="E34" s="272" t="n"/>
      <c r="F34" s="272" t="n"/>
      <c r="G34" s="272" t="n"/>
      <c r="H34" s="272" t="n"/>
      <c r="I34" s="272" t="n"/>
      <c r="J34" s="272" t="n"/>
      <c r="K34" s="272" t="n"/>
      <c r="L34" s="272" t="n"/>
      <c r="M34" s="272" t="n"/>
      <c r="N34" s="272" t="n"/>
      <c r="O34" s="272" t="n"/>
      <c r="P34" s="272" t="n"/>
      <c r="Q34" s="202" t="n"/>
      <c r="R34" s="11" t="n"/>
      <c r="AL34" s="360" t="n"/>
    </row>
    <row r="35">
      <c r="A35" s="10" t="n"/>
      <c r="B35" s="3" t="n"/>
      <c r="C35" s="272" t="n"/>
      <c r="D35" s="272" t="n"/>
      <c r="E35" s="272" t="n"/>
      <c r="F35" s="24" t="n"/>
      <c r="G35" s="272" t="n"/>
      <c r="H35" s="272" t="n"/>
      <c r="I35" s="272" t="n"/>
      <c r="J35" s="272" t="n"/>
      <c r="K35" s="272" t="n"/>
      <c r="L35" s="272" t="n"/>
      <c r="M35" s="272" t="n"/>
      <c r="N35" s="272" t="n"/>
      <c r="O35" s="272" t="n"/>
      <c r="P35" s="272" t="n"/>
      <c r="Q35" s="202" t="n"/>
      <c r="R35" s="11" t="n"/>
      <c r="AL35" s="360"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c r="AL36" s="360" t="n"/>
    </row>
    <row r="37">
      <c r="A37" s="10" t="n"/>
      <c r="B37" s="3" t="n"/>
      <c r="C37" s="272" t="n"/>
      <c r="D37" s="272" t="n"/>
      <c r="E37" s="272" t="n"/>
      <c r="F37" s="272" t="n"/>
      <c r="G37" s="272" t="n"/>
      <c r="H37" s="272" t="n"/>
      <c r="I37" s="272" t="n"/>
      <c r="J37" s="272" t="n"/>
      <c r="K37" s="272" t="n"/>
      <c r="L37" s="272" t="n"/>
      <c r="M37" s="272" t="n"/>
      <c r="N37" s="272" t="n"/>
      <c r="O37" s="272" t="n"/>
      <c r="P37" s="272" t="n"/>
      <c r="Q37" s="202" t="n"/>
      <c r="R37" s="11" t="n"/>
    </row>
    <row r="38">
      <c r="A38" s="10" t="n"/>
      <c r="B38" s="173" t="n"/>
      <c r="C38" s="29" t="n"/>
      <c r="D38" s="29" t="n"/>
      <c r="E38" s="272" t="n"/>
      <c r="F38" s="272" t="n"/>
      <c r="G38" s="272" t="n"/>
      <c r="H38" s="272" t="n"/>
      <c r="I38" s="272" t="n"/>
      <c r="J38" s="272" t="n"/>
      <c r="K38" s="272" t="n"/>
      <c r="L38" s="272" t="n"/>
      <c r="M38" s="272" t="n"/>
      <c r="N38" s="272" t="n"/>
      <c r="O38" s="272" t="n"/>
      <c r="P38" s="272" t="n"/>
      <c r="Q38" s="310" t="n"/>
      <c r="R38" s="11" t="n"/>
      <c r="U38" t="inlineStr">
        <is>
          <t>ÇARPAN</t>
        </is>
      </c>
      <c r="V38">
        <f>IF(P13&gt;40,X43,X42)</f>
        <v/>
      </c>
    </row>
    <row r="39" s="718">
      <c r="A39" s="10" t="n"/>
      <c r="B39" s="173" t="n"/>
      <c r="C39" s="29" t="n"/>
      <c r="D39" s="29" t="n"/>
      <c r="E39" s="272" t="n"/>
      <c r="F39" s="272" t="n"/>
      <c r="G39" s="272" t="n"/>
      <c r="H39" s="272" t="n"/>
      <c r="I39" s="272" t="n"/>
      <c r="J39" s="272" t="n"/>
      <c r="K39" s="272" t="n"/>
      <c r="L39" s="272" t="n"/>
      <c r="M39" s="272" t="n"/>
      <c r="N39" s="272" t="n"/>
      <c r="O39" s="272" t="n"/>
      <c r="P39" s="272" t="n"/>
      <c r="Q39" s="310" t="n"/>
      <c r="R39" s="11" t="n"/>
    </row>
    <row r="40">
      <c r="A40" s="10" t="n"/>
      <c r="B40" s="173" t="n"/>
      <c r="C40" s="24" t="n"/>
      <c r="D40" s="24" t="n"/>
      <c r="E40" s="24" t="n"/>
      <c r="F40" s="24" t="n"/>
      <c r="G40" s="24" t="n"/>
      <c r="H40" s="24" t="n"/>
      <c r="I40" s="24" t="n"/>
      <c r="J40" s="24" t="n"/>
      <c r="K40" s="24" t="n"/>
      <c r="L40" s="24" t="n"/>
      <c r="M40" s="24" t="n"/>
      <c r="N40" s="24" t="n"/>
      <c r="O40" s="24" t="n"/>
      <c r="P40" s="24" t="n"/>
      <c r="Q40" s="310" t="n"/>
      <c r="R40" s="11" t="n"/>
    </row>
    <row r="41" ht="15.6" customHeight="1" s="718">
      <c r="A41" s="10" t="n"/>
      <c r="B41" s="587" t="inlineStr">
        <is>
          <t>Sonuç :</t>
        </is>
      </c>
      <c r="C41" s="242" t="n"/>
      <c r="D41" s="838">
        <f>IF(L18&lt;V15,Y32,Y24)</f>
        <v/>
      </c>
      <c r="E41" s="70" t="n"/>
      <c r="F41" s="70" t="n"/>
      <c r="G41" s="70" t="n"/>
      <c r="H41" s="70" t="n"/>
      <c r="I41" s="70" t="n"/>
      <c r="J41" s="70" t="n"/>
      <c r="K41" s="70" t="n"/>
      <c r="L41" s="70" t="n"/>
      <c r="M41" s="70" t="n"/>
      <c r="N41" s="70" t="n"/>
      <c r="O41" s="70" t="n"/>
      <c r="P41" s="70" t="n"/>
      <c r="Q41" s="359" t="n"/>
      <c r="R41" s="11" t="n"/>
    </row>
    <row r="42">
      <c r="A42" s="10" t="n"/>
      <c r="B42" s="173" t="n"/>
      <c r="C42" s="24" t="n"/>
      <c r="Q42" s="360" t="n"/>
      <c r="R42" s="11" t="n"/>
      <c r="U42" t="inlineStr">
        <is>
          <t>Test Sıcaklığı</t>
        </is>
      </c>
      <c r="V42" t="inlineStr">
        <is>
          <t>İcra Katsayısı</t>
        </is>
      </c>
      <c r="X42">
        <f>IF(P13=0,V43, IF(P13=5,V44, IF(P13=10,V45,
IF(P13=15,V46,
IF(P13=20,V47,
IF(P13=25,V48,
IF(P13=30,V49,
IF(P13=35,V50, IF(P13=40,V51, )))))))))</f>
        <v/>
      </c>
    </row>
    <row r="43">
      <c r="A43" s="10" t="n"/>
      <c r="B43" s="3" t="n"/>
      <c r="C43" s="272" t="n"/>
      <c r="Q43" s="360" t="n"/>
      <c r="R43" s="11" t="n"/>
      <c r="U43" t="n">
        <v>0</v>
      </c>
      <c r="V43" t="n">
        <v>0.25</v>
      </c>
      <c r="X43">
        <f>IF(P13=45,V52, IF(P13=50,V53, IF(P13=55,V54,
IF(P13=60,V55,
IF(P13=65,V56,
IF(P13=70,V57,
IF(P13=75,V58,
)))))))</f>
        <v/>
      </c>
    </row>
    <row r="44" s="718">
      <c r="A44" s="10" t="n"/>
      <c r="B44" s="3" t="n"/>
      <c r="C44" s="272" t="n"/>
      <c r="Q44" s="360" t="n"/>
      <c r="R44" s="11" t="n"/>
      <c r="U44" t="n">
        <v>5</v>
      </c>
      <c r="V44" t="n">
        <v>0.36</v>
      </c>
    </row>
    <row r="45">
      <c r="A45" s="10" t="n"/>
      <c r="B45" s="47" t="n"/>
      <c r="C45" s="48" t="n"/>
      <c r="D45" s="139" t="n"/>
      <c r="E45" s="139" t="n"/>
      <c r="F45" s="139" t="n"/>
      <c r="G45" s="139" t="n"/>
      <c r="H45" s="139" t="n"/>
      <c r="I45" s="139" t="n"/>
      <c r="J45" s="139" t="n"/>
      <c r="K45" s="139" t="n"/>
      <c r="L45" s="139" t="n"/>
      <c r="M45" s="139" t="n"/>
      <c r="N45" s="139" t="n"/>
      <c r="O45" s="139" t="n"/>
      <c r="P45" s="139" t="n"/>
      <c r="Q45" s="361" t="n"/>
      <c r="R45" s="11" t="n"/>
      <c r="U45" t="n">
        <v>10</v>
      </c>
      <c r="V45" t="n">
        <v>0.5</v>
      </c>
    </row>
    <row r="46">
      <c r="A46" s="10" t="n"/>
      <c r="B46" s="839"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60" t="n"/>
      <c r="R46" s="11" t="n"/>
      <c r="S46" s="10" t="n"/>
      <c r="U46" t="n">
        <v>15</v>
      </c>
      <c r="V46" t="n">
        <v>0.74</v>
      </c>
      <c r="AC46" s="34" t="n"/>
    </row>
    <row r="47">
      <c r="A47" s="10" t="n"/>
      <c r="B47" s="85" t="n"/>
      <c r="Q47" s="360" t="n"/>
      <c r="R47" s="11" t="n"/>
      <c r="S47" s="10" t="n"/>
      <c r="U47" t="n">
        <v>20</v>
      </c>
      <c r="V47" t="n">
        <v>1</v>
      </c>
    </row>
    <row r="48" s="718">
      <c r="A48" s="10" t="n"/>
      <c r="B48" s="85" t="n"/>
      <c r="Q48" s="360" t="n"/>
      <c r="R48" s="11" t="n"/>
      <c r="U48" t="n">
        <v>25</v>
      </c>
      <c r="V48" t="n">
        <v>1.4</v>
      </c>
    </row>
    <row r="49" s="718">
      <c r="A49" s="10" t="n"/>
      <c r="B49" s="62" t="n"/>
      <c r="C49" s="139" t="n"/>
      <c r="D49" s="139" t="n"/>
      <c r="E49" s="139" t="n"/>
      <c r="F49" s="139" t="n"/>
      <c r="G49" s="139" t="n"/>
      <c r="H49" s="139" t="n"/>
      <c r="I49" s="139" t="n"/>
      <c r="J49" s="139" t="n"/>
      <c r="K49" s="139" t="n"/>
      <c r="L49" s="139" t="n"/>
      <c r="M49" s="139" t="n"/>
      <c r="N49" s="139" t="n"/>
      <c r="O49" s="139" t="n"/>
      <c r="P49" s="139" t="n"/>
      <c r="Q49" s="361" t="n"/>
      <c r="R49" s="11" t="n"/>
      <c r="U49" t="n">
        <v>30</v>
      </c>
      <c r="V49" t="n">
        <v>1.98</v>
      </c>
    </row>
    <row r="50" ht="22.5" customHeight="1" s="718">
      <c r="A50" s="10" t="n"/>
      <c r="B50" s="508" t="inlineStr">
        <is>
          <t>UNVAN</t>
        </is>
      </c>
      <c r="C50" s="130" t="n"/>
      <c r="D50" s="130" t="n"/>
      <c r="E50" s="328" t="inlineStr">
        <is>
          <t>:</t>
        </is>
      </c>
      <c r="F50" s="602" t="inlineStr">
        <is>
          <t>Elektrik Mühendisi</t>
        </is>
      </c>
      <c r="G50" s="130" t="n"/>
      <c r="H50" s="130" t="n"/>
      <c r="I50" s="242" t="n"/>
      <c r="J50" s="811" t="inlineStr">
        <is>
          <t>ONAYLAYAN</t>
        </is>
      </c>
      <c r="K50" s="130" t="n"/>
      <c r="L50" s="130" t="n"/>
      <c r="M50" s="130" t="n"/>
      <c r="N50" s="130" t="n"/>
      <c r="O50" s="130" t="n"/>
      <c r="P50" s="130" t="n"/>
      <c r="Q50" s="242" t="n"/>
      <c r="R50" s="11" t="n"/>
      <c r="U50" t="n">
        <v>35</v>
      </c>
      <c r="V50" t="n">
        <v>2.8</v>
      </c>
    </row>
    <row r="51" ht="22.5" customHeight="1" s="718">
      <c r="A51" s="10" t="n"/>
      <c r="B51" s="511" t="inlineStr">
        <is>
          <t>TEST TARİHİ</t>
        </is>
      </c>
      <c r="C51" s="70" t="n"/>
      <c r="D51" s="70" t="n"/>
      <c r="E51" s="328" t="inlineStr">
        <is>
          <t>:</t>
        </is>
      </c>
      <c r="F51" s="829">
        <f>'ANA SAYFA'!F79</f>
        <v/>
      </c>
      <c r="G51" s="70" t="n"/>
      <c r="H51" s="70" t="n"/>
      <c r="I51" s="359" t="n"/>
      <c r="J51" s="75" t="n"/>
      <c r="K51" s="76" t="n"/>
      <c r="L51" s="191" t="n"/>
      <c r="M51" s="191" t="n"/>
      <c r="N51" s="191" t="n"/>
      <c r="O51" s="191" t="n"/>
      <c r="P51" s="191" t="n"/>
      <c r="Q51" s="193" t="n"/>
      <c r="R51" s="11" t="n"/>
      <c r="U51" t="n">
        <v>40</v>
      </c>
      <c r="V51" t="n">
        <v>3.95</v>
      </c>
    </row>
    <row r="52" ht="22.5" customHeight="1" s="718">
      <c r="A52" s="10" t="n"/>
      <c r="B52" s="508" t="inlineStr">
        <is>
          <t>ODA SİCİL NO</t>
        </is>
      </c>
      <c r="C52" s="130" t="n"/>
      <c r="D52" s="130" t="n"/>
      <c r="E52" s="564" t="inlineStr">
        <is>
          <t>:</t>
        </is>
      </c>
      <c r="F52" s="510">
        <f>'ANA SAYFA'!F81:J81</f>
        <v/>
      </c>
      <c r="G52" s="130" t="n"/>
      <c r="H52" s="130" t="n"/>
      <c r="I52" s="242" t="n"/>
      <c r="J52" s="75" t="n"/>
      <c r="K52" s="76" t="n"/>
      <c r="L52" s="191" t="n"/>
      <c r="M52" s="191" t="n"/>
      <c r="N52" s="191" t="n"/>
      <c r="O52" s="191" t="n"/>
      <c r="P52" s="191" t="n"/>
      <c r="Q52" s="193" t="n"/>
      <c r="R52" s="11" t="n"/>
      <c r="U52" t="n">
        <v>45</v>
      </c>
      <c r="V52" t="n">
        <v>5.6</v>
      </c>
    </row>
    <row r="53" ht="22.5" customHeight="1" s="718">
      <c r="A53" s="10" t="n"/>
      <c r="B53" s="508" t="inlineStr">
        <is>
          <t>EKİPNET NO</t>
        </is>
      </c>
      <c r="C53" s="130" t="n"/>
      <c r="D53" s="130" t="n"/>
      <c r="E53" s="509" t="inlineStr">
        <is>
          <t>:</t>
        </is>
      </c>
      <c r="F53" s="510">
        <f>'ANA SAYFA'!F82:J82</f>
        <v/>
      </c>
      <c r="G53" s="130" t="n"/>
      <c r="H53" s="130" t="n"/>
      <c r="I53" s="242" t="n"/>
      <c r="J53" s="352" t="n"/>
      <c r="K53" s="197" t="n"/>
      <c r="L53" s="197" t="n"/>
      <c r="M53" s="197" t="n"/>
      <c r="N53" s="197" t="n"/>
      <c r="O53" s="197" t="n"/>
      <c r="P53" s="197" t="n"/>
      <c r="Q53" s="194" t="n"/>
      <c r="R53" s="11" t="n"/>
      <c r="U53" t="n">
        <v>50</v>
      </c>
      <c r="V53" t="n">
        <v>7.85</v>
      </c>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H21:M21"/>
    <mergeCell ref="L17:M17"/>
    <mergeCell ref="K24:L24"/>
    <mergeCell ref="B22:C22"/>
    <mergeCell ref="B53:D53"/>
    <mergeCell ref="D22:E22"/>
    <mergeCell ref="N22:O22"/>
    <mergeCell ref="J11:L11"/>
    <mergeCell ref="P22:Q22"/>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14">
      <formula>$L$18&lt;$V$15</formula>
    </cfRule>
  </conditionalFormatting>
  <conditionalFormatting sqref="P23:Q23">
    <cfRule type="expression" priority="2" dxfId="14">
      <formula>$L$23&lt;$V$20</formula>
    </cfRule>
  </conditionalFormatting>
  <conditionalFormatting sqref="P28:Q28">
    <cfRule type="expression" priority="1" dxfId="14">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7" zoomScaleNormal="87" workbookViewId="0">
      <selection activeCell="F19" sqref="F19:G19"/>
    </sheetView>
  </sheetViews>
  <sheetFormatPr baseColWidth="8" defaultRowHeight="14.4"/>
  <cols>
    <col width="3.5546875" customWidth="1" style="718" min="1" max="1"/>
    <col width="5.44140625" customWidth="1" style="718" min="2" max="5"/>
    <col width="6.5546875" customWidth="1" style="718" min="6" max="6"/>
    <col width="5.44140625" customWidth="1" style="718" min="7" max="10"/>
    <col width="6" customWidth="1" style="718" min="11" max="17"/>
    <col width="3.5546875" customWidth="1" style="718" min="18" max="18"/>
    <col width="10.5546875" customWidth="1" style="718" min="19" max="19"/>
    <col width="12.33203125" customWidth="1" style="718" min="20" max="20"/>
    <col width="9.6640625" customWidth="1" style="718" min="21" max="21"/>
    <col width="9" customWidth="1" style="718" min="22" max="22"/>
    <col width="11.6640625" customWidth="1" style="718" min="23" max="23"/>
    <col width="11" customWidth="1" style="718"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11" t="inlineStr">
        <is>
          <t>ÇEVİRME ORANI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743">
        <f>'OG SARGI MEVCUT KADEME'!D7:F7</f>
        <v/>
      </c>
      <c r="E7" s="130" t="n"/>
      <c r="F7" s="242" t="n"/>
      <c r="G7" s="573" t="inlineStr">
        <is>
          <t>Model :</t>
        </is>
      </c>
      <c r="H7" s="242" t="n"/>
      <c r="I7" s="573">
        <f>'OG SARGI MEVCUT KADEME'!I7:K7</f>
        <v/>
      </c>
      <c r="J7" s="130" t="n"/>
      <c r="K7" s="242" t="n"/>
      <c r="L7" s="743" t="inlineStr">
        <is>
          <t>Seri Numarası :</t>
        </is>
      </c>
      <c r="M7" s="130" t="n"/>
      <c r="N7" s="242" t="n"/>
      <c r="O7" s="573">
        <f>'OG SARGI MEVCUT KADEME'!O7:Q7</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row>
    <row r="9" ht="18" customHeight="1" s="718">
      <c r="A9" s="10" t="n"/>
      <c r="B9" s="555" t="inlineStr">
        <is>
          <t>OTURUM TARİHİ :</t>
        </is>
      </c>
      <c r="C9" s="130" t="n"/>
      <c r="D9" s="130" t="n"/>
      <c r="E9" s="130" t="n"/>
      <c r="F9" s="130" t="n"/>
      <c r="G9" s="130" t="n"/>
      <c r="H9" s="130" t="n"/>
      <c r="I9" s="130" t="n"/>
      <c r="J9" s="823">
        <f>'ANA SAYFA'!F78</f>
        <v/>
      </c>
      <c r="K9" s="130" t="n"/>
      <c r="L9" s="130" t="n"/>
      <c r="M9" s="130" t="n"/>
      <c r="N9" s="130" t="n"/>
      <c r="O9" s="130" t="n"/>
      <c r="P9" s="130" t="n"/>
      <c r="Q9" s="242" t="n"/>
      <c r="R9" s="11" t="n"/>
    </row>
    <row r="10">
      <c r="A10" s="10" t="n"/>
      <c r="B10" s="3" t="n"/>
      <c r="C10" s="272" t="n"/>
      <c r="D10" s="272" t="n"/>
      <c r="E10" s="272" t="n"/>
      <c r="F10" s="272" t="n"/>
      <c r="G10" s="272" t="n"/>
      <c r="H10" s="272" t="n"/>
      <c r="I10" s="272" t="n"/>
      <c r="J10" s="272" t="n"/>
      <c r="K10" s="272" t="n"/>
      <c r="L10" s="272" t="n"/>
      <c r="M10" s="272" t="n"/>
      <c r="N10" s="272" t="n"/>
      <c r="O10" s="272" t="n"/>
      <c r="P10" s="272" t="n"/>
      <c r="Q10" s="202" t="n"/>
      <c r="R10" s="11" t="n"/>
    </row>
    <row r="11">
      <c r="A11" s="10" t="n"/>
      <c r="B11" s="576" t="inlineStr">
        <is>
          <t>Operatör :</t>
        </is>
      </c>
      <c r="C11" s="242" t="n"/>
      <c r="D11" s="577" t="inlineStr">
        <is>
          <t>Ahmet YILMAZ</t>
        </is>
      </c>
      <c r="E11" s="130" t="n"/>
      <c r="F11" s="130" t="n"/>
      <c r="G11" s="242" t="n"/>
      <c r="H11" s="576" t="inlineStr">
        <is>
          <t>Cihaz :</t>
        </is>
      </c>
      <c r="I11" s="242" t="n"/>
      <c r="J11" s="743" t="inlineStr">
        <is>
          <t>STS 5000</t>
        </is>
      </c>
      <c r="K11" s="130" t="n"/>
      <c r="L11" s="242" t="n"/>
      <c r="M11" s="743" t="inlineStr">
        <is>
          <t>Cihaz S/N :</t>
        </is>
      </c>
      <c r="N11" s="242" t="n"/>
      <c r="O11" s="743" t="inlineStr">
        <is>
          <t>SN-19B20</t>
        </is>
      </c>
      <c r="P11" s="130" t="n"/>
      <c r="Q11" s="242" t="n"/>
      <c r="R11" s="11" t="n"/>
    </row>
    <row r="12">
      <c r="A12" s="10" t="n"/>
      <c r="B12" s="3" t="n"/>
      <c r="C12" s="272" t="n"/>
      <c r="D12" s="272" t="n"/>
      <c r="E12" s="272" t="n"/>
      <c r="F12" s="272" t="n"/>
      <c r="G12" s="272" t="n"/>
      <c r="H12" s="272" t="n"/>
      <c r="I12" s="272" t="n"/>
      <c r="J12" s="272" t="n"/>
      <c r="K12" s="272" t="n"/>
      <c r="L12" s="272" t="n"/>
      <c r="M12" s="272" t="n"/>
      <c r="N12" s="272" t="n"/>
      <c r="O12" s="272" t="n"/>
      <c r="P12" s="272" t="n"/>
      <c r="Q12" s="202" t="n"/>
      <c r="R12" s="11" t="n"/>
    </row>
    <row r="13" ht="18" customHeight="1" s="718">
      <c r="A13" s="10" t="n"/>
      <c r="B13" s="575" t="inlineStr">
        <is>
          <t>Sonuçlar</t>
        </is>
      </c>
      <c r="C13" s="130" t="n"/>
      <c r="D13" s="130" t="n"/>
      <c r="E13" s="130" t="n"/>
      <c r="F13" s="130" t="n"/>
      <c r="G13" s="130" t="n"/>
      <c r="H13" s="130" t="n"/>
      <c r="I13" s="130" t="n"/>
      <c r="J13" s="130" t="n"/>
      <c r="K13" s="130" t="n"/>
      <c r="L13" s="130" t="n"/>
      <c r="M13" s="130" t="n"/>
      <c r="N13" s="130" t="n"/>
      <c r="O13" s="130" t="n"/>
      <c r="P13" s="130" t="n"/>
      <c r="Q13" s="242" t="n"/>
      <c r="R13" s="11" t="n"/>
      <c r="AB13" t="inlineStr">
        <is>
          <t xml:space="preserve"> </t>
        </is>
      </c>
    </row>
    <row r="14">
      <c r="A14" s="10" t="n"/>
      <c r="B14" s="3" t="n"/>
      <c r="C14" s="272" t="n"/>
      <c r="D14" s="272" t="n"/>
      <c r="E14" s="272" t="n"/>
      <c r="F14" s="272" t="n"/>
      <c r="G14" s="272" t="n"/>
      <c r="H14" s="272" t="n"/>
      <c r="I14" s="272" t="n"/>
      <c r="J14" s="272" t="n"/>
      <c r="K14" s="272" t="n"/>
      <c r="L14" s="272" t="n"/>
      <c r="M14" s="272" t="n"/>
      <c r="N14" s="272" t="n"/>
      <c r="O14" s="272" t="n"/>
      <c r="P14" s="272" t="n"/>
      <c r="Q14" s="202" t="n"/>
      <c r="R14" s="11" t="n"/>
    </row>
    <row r="15" ht="18" customHeight="1" s="718">
      <c r="A15" s="10" t="n"/>
      <c r="B15" s="534" t="inlineStr">
        <is>
          <t>PT Her Bir Kademe Oran</t>
        </is>
      </c>
      <c r="C15" s="130" t="n"/>
      <c r="D15" s="130" t="n"/>
      <c r="E15" s="130" t="n"/>
      <c r="F15" s="130" t="n"/>
      <c r="G15" s="130" t="n"/>
      <c r="H15" s="130" t="n"/>
      <c r="I15" s="130" t="n"/>
      <c r="J15" s="164" t="inlineStr">
        <is>
          <t xml:space="preserve">Tap </t>
        </is>
      </c>
      <c r="K15" s="164">
        <f>'ANA SAYFA'!S11</f>
        <v/>
      </c>
      <c r="L15" s="164" t="n"/>
      <c r="M15" s="164" t="n"/>
      <c r="N15" s="536" t="inlineStr">
        <is>
          <t>Kademe #1</t>
        </is>
      </c>
      <c r="O15" s="130" t="n"/>
      <c r="P15" s="130" t="n"/>
      <c r="Q15" s="242" t="n"/>
      <c r="R15" s="11" t="n"/>
      <c r="T15">
        <f>'ANA SAYFA'!R59</f>
        <v/>
      </c>
      <c r="U15" t="inlineStr">
        <is>
          <t>A</t>
        </is>
      </c>
      <c r="V15" s="36">
        <f>O26</f>
        <v/>
      </c>
      <c r="X15" s="36" t="n"/>
    </row>
    <row r="16">
      <c r="A16" s="10" t="n"/>
      <c r="B16" s="3" t="n"/>
      <c r="C16" s="272" t="n"/>
      <c r="D16" s="272" t="n"/>
      <c r="E16" s="272" t="n"/>
      <c r="F16" s="272" t="n"/>
      <c r="G16" s="272" t="n"/>
      <c r="H16" s="272" t="n"/>
      <c r="I16" s="272" t="n"/>
      <c r="J16" s="272" t="n"/>
      <c r="K16" s="272" t="n"/>
      <c r="L16" s="272" t="n"/>
      <c r="M16" s="272" t="n"/>
      <c r="N16" s="272" t="n"/>
      <c r="O16" s="272" t="n"/>
      <c r="P16" s="272" t="n"/>
      <c r="Q16" s="202" t="n"/>
      <c r="R16" s="11" t="n"/>
      <c r="U16" t="inlineStr">
        <is>
          <t>B</t>
        </is>
      </c>
      <c r="V16" s="36">
        <f>O27</f>
        <v/>
      </c>
    </row>
    <row r="17">
      <c r="A17" s="10" t="n"/>
      <c r="B17" s="537" t="inlineStr">
        <is>
          <t>Nominal Değerler</t>
        </is>
      </c>
      <c r="F17" s="612" t="n"/>
      <c r="J17" s="538" t="inlineStr">
        <is>
          <t>Test Değerleri</t>
        </is>
      </c>
      <c r="N17" s="495" t="n"/>
      <c r="Q17" s="360" t="n"/>
      <c r="R17" s="11" t="n"/>
      <c r="U17" t="inlineStr">
        <is>
          <t>C</t>
        </is>
      </c>
      <c r="V17" s="36">
        <f>O28</f>
        <v/>
      </c>
      <c r="X17" s="37" t="n"/>
    </row>
    <row r="18">
      <c r="A18" s="10" t="n"/>
      <c r="B18" s="481" t="inlineStr">
        <is>
          <t>HV Kademeler</t>
        </is>
      </c>
      <c r="F18" s="621">
        <f>'ANA SAYFA'!O59</f>
        <v/>
      </c>
      <c r="H18" s="272" t="inlineStr">
        <is>
          <t>V</t>
        </is>
      </c>
      <c r="I18" s="272" t="n"/>
      <c r="J18" s="612" t="inlineStr">
        <is>
          <t>Gerilim</t>
        </is>
      </c>
      <c r="N18" s="623" t="inlineStr">
        <is>
          <t>500,0 V</t>
        </is>
      </c>
      <c r="Q18" s="360" t="n"/>
      <c r="R18" s="11" t="n"/>
      <c r="U18" t="inlineStr">
        <is>
          <t>SINIR DEĞER</t>
        </is>
      </c>
      <c r="V18" t="n">
        <v>0.5</v>
      </c>
    </row>
    <row r="19" ht="15.6" customHeight="1" s="718">
      <c r="A19" s="10" t="n"/>
      <c r="B19" s="481" t="inlineStr">
        <is>
          <t>LV Ratings</t>
        </is>
      </c>
      <c r="F19" s="619" t="n">
        <v>231</v>
      </c>
      <c r="H19" s="272" t="inlineStr">
        <is>
          <t>V</t>
        </is>
      </c>
      <c r="I19" s="272" t="n"/>
      <c r="J19" s="612" t="inlineStr">
        <is>
          <t>Frekans</t>
        </is>
      </c>
      <c r="N19" s="495" t="inlineStr">
        <is>
          <t>50, Hz</t>
        </is>
      </c>
      <c r="Q19" s="360" t="n"/>
      <c r="R19" s="11" t="n"/>
      <c r="W19" s="132" t="n">
        <v>0.5</v>
      </c>
      <c r="X19" s="132" t="n">
        <v>-0.5</v>
      </c>
      <c r="Y19" s="132" t="n"/>
      <c r="Z19" s="132" t="n"/>
      <c r="AA19" s="132" t="n"/>
      <c r="AB19" s="132" t="n"/>
      <c r="AC19" s="132" t="n"/>
    </row>
    <row r="20" ht="15.6" customHeight="1" s="718">
      <c r="A20" s="10" t="n"/>
      <c r="B20" s="481" t="inlineStr">
        <is>
          <t>Çevirme Oranı</t>
        </is>
      </c>
      <c r="F20" s="620">
        <f>F18/T15</f>
        <v/>
      </c>
      <c r="H20" s="272" t="n"/>
      <c r="I20" s="272" t="n"/>
      <c r="J20" s="612" t="n"/>
      <c r="N20" s="495" t="n"/>
      <c r="Q20" s="360" t="n"/>
      <c r="R20" s="11" t="n"/>
      <c r="W20" s="132" t="n"/>
      <c r="X20" s="132" t="n"/>
      <c r="Y20" s="132" t="n"/>
      <c r="Z20" s="132" t="n"/>
      <c r="AA20" s="132" t="n"/>
      <c r="AB20" s="132" t="n"/>
      <c r="AC20" s="132" t="n"/>
    </row>
    <row r="21" ht="15.6" customHeight="1" s="718">
      <c r="A21" s="10" t="n"/>
      <c r="B21" s="481" t="n"/>
      <c r="F21" s="612" t="n"/>
      <c r="J21" s="612" t="n"/>
      <c r="N21" s="495" t="n"/>
      <c r="Q21" s="360" t="n"/>
      <c r="R21" s="11" t="n"/>
      <c r="W21" s="132" t="n"/>
      <c r="X21" s="132" t="n"/>
      <c r="Y21" s="132" t="n"/>
      <c r="Z21" s="132" t="n"/>
      <c r="AA21" s="132" t="n"/>
      <c r="AB21" s="132" t="n"/>
      <c r="AC21" s="132" t="n"/>
    </row>
    <row r="22" ht="18" customHeight="1" s="718">
      <c r="A22" s="10" t="n"/>
      <c r="B22" s="840" t="inlineStr">
        <is>
          <t>Sonuçlar</t>
        </is>
      </c>
      <c r="Q22" s="360" t="n"/>
      <c r="R22" s="11" t="n"/>
      <c r="W22" s="132" t="n"/>
      <c r="X22" s="132" t="n"/>
      <c r="Y22" s="132" t="n"/>
      <c r="Z22" s="132" t="n"/>
      <c r="AA22" s="132" t="n"/>
      <c r="AB22" s="132" t="n"/>
      <c r="AC22" s="132" t="n"/>
    </row>
    <row r="23">
      <c r="A23" s="35" t="n"/>
      <c r="Q23" s="360" t="n"/>
      <c r="R23" s="11" t="n"/>
    </row>
    <row r="24" ht="15.6" customHeight="1" s="718">
      <c r="A24" s="10" t="n"/>
      <c r="B24" s="149" t="n"/>
      <c r="C24" s="19" t="n"/>
      <c r="D24" s="19" t="n"/>
      <c r="E24" s="19" t="n"/>
      <c r="F24" s="19" t="n"/>
      <c r="G24" s="19" t="n"/>
      <c r="H24" s="19" t="n"/>
      <c r="I24" s="19" t="n"/>
      <c r="J24" s="19" t="n"/>
      <c r="K24" s="19" t="n"/>
      <c r="L24" s="19" t="n"/>
      <c r="M24" s="19" t="n"/>
      <c r="N24" s="19" t="n"/>
      <c r="O24" s="19" t="n"/>
      <c r="P24" s="19" t="n"/>
      <c r="Q24" s="724" t="n"/>
      <c r="R24" s="11" t="n"/>
      <c r="W24" s="132" t="n"/>
      <c r="X24" s="132" t="n"/>
      <c r="Y24" s="132" t="n"/>
      <c r="Z24" s="132" t="n"/>
      <c r="AA24" s="132" t="n"/>
      <c r="AB24" s="132" t="n"/>
      <c r="AC24" s="132" t="n"/>
    </row>
    <row r="25">
      <c r="A25" s="10" t="n"/>
      <c r="B25" s="743" t="n"/>
      <c r="C25" s="596" t="inlineStr">
        <is>
          <t>Vn HV [V]</t>
        </is>
      </c>
      <c r="D25" s="242" t="n"/>
      <c r="E25" s="841" t="inlineStr">
        <is>
          <t>V HV[V]</t>
        </is>
      </c>
      <c r="F25" s="242" t="n"/>
      <c r="G25" s="841" t="inlineStr">
        <is>
          <t>I HV[A]</t>
        </is>
      </c>
      <c r="H25" s="242" t="n"/>
      <c r="I25" s="841" t="inlineStr">
        <is>
          <t>V LV[V]</t>
        </is>
      </c>
      <c r="J25" s="242" t="n"/>
      <c r="K25" s="842" t="inlineStr">
        <is>
          <t>ᶲV LV [°]</t>
        </is>
      </c>
      <c r="L25" s="242" t="n"/>
      <c r="M25" s="841" t="inlineStr">
        <is>
          <t>Ratio</t>
        </is>
      </c>
      <c r="N25" s="242" t="n"/>
      <c r="O25" s="841" t="inlineStr">
        <is>
          <t>Err %</t>
        </is>
      </c>
      <c r="P25" s="130" t="n"/>
      <c r="Q25" s="242" t="n"/>
      <c r="R25" s="11" t="n"/>
      <c r="V25" s="612" t="inlineStr">
        <is>
          <t>( A ) Fazına ait çevirme oranı hata yüzdesi uygundur.</t>
        </is>
      </c>
    </row>
    <row r="26" ht="15.6" customHeight="1" s="718">
      <c r="A26" s="10" t="n"/>
      <c r="B26" s="743" t="inlineStr">
        <is>
          <t>A</t>
        </is>
      </c>
      <c r="C26" s="607" t="n">
        <v>500</v>
      </c>
      <c r="D26" s="242" t="n"/>
      <c r="E26" s="524" t="n">
        <v>500</v>
      </c>
      <c r="F26" s="242" t="n"/>
      <c r="G26" s="843">
        <f>I26/M26</f>
        <v/>
      </c>
      <c r="H26" s="242" t="n"/>
      <c r="I26" s="524" t="n">
        <v>1.5</v>
      </c>
      <c r="J26" s="242" t="n"/>
      <c r="K26" s="524" t="inlineStr">
        <is>
          <t>26,0m</t>
        </is>
      </c>
      <c r="L26" s="242" t="n"/>
      <c r="M26" s="844">
        <f>'ANA SAYFA'!AF57</f>
        <v/>
      </c>
      <c r="N26" s="242" t="n"/>
      <c r="O26" s="845">
        <f>(M26-F20)/F20*100</f>
        <v/>
      </c>
      <c r="P26" s="130" t="n"/>
      <c r="Q26" s="242" t="n"/>
      <c r="R26" s="11" t="n"/>
      <c r="W26" s="132" t="n"/>
      <c r="X26" s="132" t="n"/>
      <c r="Y26" s="132" t="n"/>
      <c r="Z26" s="132" t="n"/>
      <c r="AA26" s="132" t="n"/>
      <c r="AB26" s="132" t="n"/>
      <c r="AC26" s="132" t="n"/>
    </row>
    <row r="27" ht="15.6" customHeight="1" s="718">
      <c r="A27" s="10" t="n"/>
      <c r="B27" s="743" t="inlineStr">
        <is>
          <t>B</t>
        </is>
      </c>
      <c r="C27" s="607" t="n">
        <v>500</v>
      </c>
      <c r="D27" s="242" t="n"/>
      <c r="E27" s="524" t="n">
        <v>500</v>
      </c>
      <c r="F27" s="242" t="n"/>
      <c r="G27" s="843">
        <f>I27/M27</f>
        <v/>
      </c>
      <c r="H27" s="242" t="n"/>
      <c r="I27" s="524" t="n">
        <v>1.5</v>
      </c>
      <c r="J27" s="242" t="n"/>
      <c r="K27" s="524" t="inlineStr">
        <is>
          <t>26,0m</t>
        </is>
      </c>
      <c r="L27" s="242" t="n"/>
      <c r="M27" s="844">
        <f>'ANA SAYFA'!AI57</f>
        <v/>
      </c>
      <c r="N27" s="242" t="n"/>
      <c r="O27" s="845">
        <f>(M27-F20)/F20*100</f>
        <v/>
      </c>
      <c r="P27" s="130" t="n"/>
      <c r="Q27" s="242" t="n"/>
      <c r="R27" s="11" t="n"/>
      <c r="V27" s="612" t="inlineStr">
        <is>
          <t>( A ) Fazına ait çevirme oranı hata yüzdesi hatalı olduğu tespit edilmiştir.</t>
        </is>
      </c>
    </row>
    <row r="28" ht="15.6" customHeight="1" s="718">
      <c r="A28" s="10" t="n"/>
      <c r="B28" s="743" t="inlineStr">
        <is>
          <t>C</t>
        </is>
      </c>
      <c r="C28" s="607" t="n">
        <v>500</v>
      </c>
      <c r="D28" s="242" t="n"/>
      <c r="E28" s="524" t="n">
        <v>500</v>
      </c>
      <c r="F28" s="242" t="n"/>
      <c r="G28" s="843">
        <f>I28/M28</f>
        <v/>
      </c>
      <c r="H28" s="242" t="n"/>
      <c r="I28" s="524" t="n">
        <v>1.5</v>
      </c>
      <c r="J28" s="242" t="n"/>
      <c r="K28" s="524" t="inlineStr">
        <is>
          <t>26,0m</t>
        </is>
      </c>
      <c r="L28" s="242" t="n"/>
      <c r="M28" s="844">
        <f>'ANA SAYFA'!AL57</f>
        <v/>
      </c>
      <c r="N28" s="242" t="n"/>
      <c r="O28" s="845">
        <f>(M28-F20)/F20*100</f>
        <v/>
      </c>
      <c r="P28" s="130" t="n"/>
      <c r="Q28" s="242" t="n"/>
      <c r="R28" s="11" t="n"/>
    </row>
    <row r="29">
      <c r="A29" s="35" t="n"/>
      <c r="Q29" s="360" t="n"/>
      <c r="R29" s="11" t="n"/>
      <c r="V29" s="612" t="inlineStr">
        <is>
          <t>( B ) Fazına ait çevirme oranı hata yüzdesi uygundur.</t>
        </is>
      </c>
    </row>
    <row r="30" ht="15.6" customHeight="1" s="718">
      <c r="A30" s="35" t="n"/>
      <c r="Q30" s="360" t="n"/>
      <c r="R30" s="11" t="n"/>
      <c r="W30" s="132" t="n"/>
      <c r="X30" s="132" t="n"/>
      <c r="Y30" s="132" t="n"/>
      <c r="Z30" s="132" t="n"/>
      <c r="AA30" s="132" t="n"/>
      <c r="AB30" s="132" t="n"/>
      <c r="AC30" s="132" t="n"/>
    </row>
    <row r="31">
      <c r="A31" s="35" t="n"/>
      <c r="Q31" s="360" t="n"/>
      <c r="R31" s="11" t="n"/>
      <c r="V31" s="612" t="inlineStr">
        <is>
          <t>( B ) Fazına ait çevirme oranı hata yüzdesi hatalı olduğu tespit edilmiştir.</t>
        </is>
      </c>
    </row>
    <row r="32" ht="15.6" customHeight="1" s="718">
      <c r="A32" s="10" t="n"/>
      <c r="B32" s="3" t="n"/>
      <c r="C32" s="272" t="n"/>
      <c r="D32" s="272" t="n"/>
      <c r="E32" s="272" t="n"/>
      <c r="F32" s="272" t="n"/>
      <c r="G32" s="272" t="n"/>
      <c r="H32" s="272" t="n"/>
      <c r="I32" s="272" t="n"/>
      <c r="J32" s="272" t="n"/>
      <c r="K32" s="272" t="n"/>
      <c r="L32" s="272" t="n"/>
      <c r="M32" s="272" t="n"/>
      <c r="N32" s="272" t="n"/>
      <c r="O32" s="272" t="n"/>
      <c r="P32" s="272" t="n"/>
      <c r="Q32" s="202" t="n"/>
      <c r="R32" s="11" t="n"/>
      <c r="W32" s="132" t="n"/>
      <c r="X32" s="132" t="n"/>
      <c r="Y32" s="132" t="n"/>
      <c r="Z32" s="132" t="n"/>
      <c r="AA32" s="132" t="n"/>
      <c r="AB32" s="132" t="n"/>
      <c r="AC32" s="132" t="n"/>
    </row>
    <row r="33" ht="15.6" customHeight="1" s="718">
      <c r="A33" s="10" t="n"/>
      <c r="B33" s="3" t="n"/>
      <c r="C33" s="272" t="n"/>
      <c r="D33" s="272" t="n"/>
      <c r="E33" s="272" t="n"/>
      <c r="F33" s="272" t="n"/>
      <c r="G33" s="272" t="n"/>
      <c r="H33" s="272" t="n"/>
      <c r="I33" s="272" t="n"/>
      <c r="J33" s="272" t="n"/>
      <c r="K33" s="272" t="n"/>
      <c r="L33" s="272" t="n"/>
      <c r="M33" s="272" t="n"/>
      <c r="N33" s="272" t="n"/>
      <c r="O33" s="272" t="n"/>
      <c r="P33" s="272" t="n"/>
      <c r="Q33" s="202" t="n"/>
      <c r="R33" s="11" t="n"/>
      <c r="W33" s="132" t="n"/>
      <c r="X33" s="132" t="n"/>
      <c r="Y33" s="132" t="n"/>
      <c r="Z33" s="132" t="n"/>
      <c r="AA33" s="132" t="n"/>
      <c r="AB33" s="132" t="n"/>
      <c r="AC33" s="132" t="n"/>
    </row>
    <row r="34">
      <c r="A34" s="10" t="n"/>
      <c r="B34" s="3" t="n"/>
      <c r="C34" s="272" t="n"/>
      <c r="D34" s="272" t="n"/>
      <c r="E34" s="272" t="n"/>
      <c r="F34" s="272" t="n"/>
      <c r="G34" s="272" t="n"/>
      <c r="H34" s="272" t="n"/>
      <c r="I34" s="272" t="n"/>
      <c r="J34" s="272" t="n"/>
      <c r="K34" s="272" t="n"/>
      <c r="L34" s="272" t="n"/>
      <c r="M34" s="272" t="n"/>
      <c r="N34" s="272" t="n"/>
      <c r="O34" s="272" t="n"/>
      <c r="P34" s="272" t="n"/>
      <c r="Q34" s="202" t="n"/>
      <c r="R34" s="11" t="n"/>
      <c r="V34" s="612" t="inlineStr">
        <is>
          <t>( C ) Fazına ait çevirme oranı hata yüzdesi uygundur.</t>
        </is>
      </c>
    </row>
    <row r="35">
      <c r="A35" s="10" t="n"/>
      <c r="B35" s="3" t="n"/>
      <c r="C35" s="272" t="n"/>
      <c r="D35" s="272" t="n"/>
      <c r="E35" s="272" t="n"/>
      <c r="F35" s="24"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c r="V36" s="612" t="inlineStr">
        <is>
          <t>( C ) Fazına ait çevirme oranı hata yüzdesi hatalı olduğu tespit edilmiştir.</t>
        </is>
      </c>
    </row>
    <row r="37">
      <c r="A37" s="10" t="n"/>
      <c r="B37" s="3" t="n"/>
      <c r="C37" s="272" t="n"/>
      <c r="D37" s="272" t="n"/>
      <c r="E37" s="272" t="n"/>
      <c r="F37" s="272" t="n"/>
      <c r="G37" s="272" t="n"/>
      <c r="H37" s="272" t="n"/>
      <c r="I37" s="272" t="n"/>
      <c r="J37" s="272" t="n"/>
      <c r="K37" s="272" t="n"/>
      <c r="L37" s="272" t="n"/>
      <c r="M37" s="272" t="n"/>
      <c r="N37" s="272" t="n"/>
      <c r="O37" s="272" t="n"/>
      <c r="P37" s="272" t="n"/>
      <c r="Q37" s="202" t="n"/>
      <c r="R37" s="11" t="n"/>
    </row>
    <row r="38" s="718">
      <c r="A38" s="10" t="n"/>
      <c r="B38" s="3" t="n"/>
      <c r="C38" s="272" t="n"/>
      <c r="D38" s="272" t="n"/>
      <c r="E38" s="272" t="n"/>
      <c r="F38" s="272" t="n"/>
      <c r="G38" s="272" t="n"/>
      <c r="H38" s="272" t="n"/>
      <c r="I38" s="272" t="n"/>
      <c r="J38" s="272" t="n"/>
      <c r="K38" s="272" t="n"/>
      <c r="L38" s="272" t="n"/>
      <c r="M38" s="272" t="n"/>
      <c r="N38" s="272" t="n"/>
      <c r="O38" s="272" t="n"/>
      <c r="P38" s="272" t="n"/>
      <c r="Q38" s="202" t="n"/>
      <c r="R38" s="11" t="n"/>
    </row>
    <row r="39" s="718">
      <c r="A39" s="10" t="n"/>
      <c r="B39" s="3" t="n"/>
      <c r="C39" s="272" t="n"/>
      <c r="D39" s="272" t="n"/>
      <c r="E39" s="272" t="n"/>
      <c r="F39" s="272" t="n"/>
      <c r="G39" s="272" t="n"/>
      <c r="H39" s="272" t="n"/>
      <c r="I39" s="272" t="n"/>
      <c r="J39" s="272" t="n"/>
      <c r="K39" s="272" t="n"/>
      <c r="L39" s="272" t="n"/>
      <c r="M39" s="272" t="n"/>
      <c r="N39" s="272" t="n"/>
      <c r="O39" s="272" t="n"/>
      <c r="P39" s="272" t="n"/>
      <c r="Q39" s="202" t="n"/>
      <c r="R39" s="11" t="n"/>
    </row>
    <row r="40" s="718">
      <c r="A40" s="10" t="n"/>
      <c r="B40" s="3" t="n"/>
      <c r="C40" s="272" t="n"/>
      <c r="D40" s="272" t="n"/>
      <c r="E40" s="272" t="n"/>
      <c r="F40" s="272" t="n"/>
      <c r="G40" s="272" t="n"/>
      <c r="H40" s="272" t="n"/>
      <c r="I40" s="272" t="n"/>
      <c r="J40" s="272" t="n"/>
      <c r="K40" s="272" t="n"/>
      <c r="L40" s="272" t="n"/>
      <c r="M40" s="272" t="n"/>
      <c r="N40" s="272" t="n"/>
      <c r="O40" s="272" t="n"/>
      <c r="P40" s="272" t="n"/>
      <c r="Q40" s="202" t="n"/>
      <c r="R40" s="11" t="n"/>
    </row>
    <row r="41" s="718">
      <c r="A41" s="10" t="n"/>
      <c r="B41" s="3" t="n"/>
      <c r="C41" s="272" t="n"/>
      <c r="D41" s="272" t="n"/>
      <c r="E41" s="272" t="n"/>
      <c r="F41" s="272" t="n"/>
      <c r="G41" s="272" t="n"/>
      <c r="H41" s="272" t="n"/>
      <c r="I41" s="272" t="n"/>
      <c r="J41" s="272" t="n"/>
      <c r="K41" s="272" t="n"/>
      <c r="L41" s="272" t="n"/>
      <c r="M41" s="272" t="n"/>
      <c r="N41" s="272" t="n"/>
      <c r="O41" s="272" t="n"/>
      <c r="P41" s="272" t="n"/>
      <c r="Q41" s="202" t="n"/>
      <c r="R41" s="11" t="n"/>
    </row>
    <row r="42">
      <c r="A42" s="10" t="n"/>
      <c r="B42" s="173" t="n"/>
      <c r="C42" s="29" t="n"/>
      <c r="D42" s="29" t="n"/>
      <c r="E42" s="272" t="n"/>
      <c r="F42" s="272" t="n"/>
      <c r="G42" s="272" t="n"/>
      <c r="H42" s="272" t="n"/>
      <c r="I42" s="272" t="n"/>
      <c r="J42" s="272" t="n"/>
      <c r="K42" s="272" t="n"/>
      <c r="L42" s="272" t="n"/>
      <c r="M42" s="272" t="n"/>
      <c r="N42" s="272" t="n"/>
      <c r="O42" s="272" t="n"/>
      <c r="P42" s="272" t="n"/>
      <c r="Q42" s="310" t="n"/>
      <c r="R42" s="11" t="n"/>
    </row>
    <row r="43">
      <c r="A43" s="10" t="n"/>
      <c r="B43" s="173" t="n"/>
      <c r="C43" s="24" t="n"/>
      <c r="D43" s="24" t="n"/>
      <c r="E43" s="24" t="n"/>
      <c r="F43" s="24" t="n"/>
      <c r="G43" s="24" t="n"/>
      <c r="H43" s="24" t="n"/>
      <c r="I43" s="24" t="n"/>
      <c r="J43" s="24" t="n"/>
      <c r="K43" s="24" t="n"/>
      <c r="L43" s="24" t="n"/>
      <c r="M43" s="24" t="n"/>
      <c r="N43" s="24" t="n"/>
      <c r="O43" s="24" t="n"/>
      <c r="P43" s="24" t="n"/>
      <c r="Q43" s="310" t="n"/>
      <c r="R43" s="11" t="n"/>
    </row>
    <row r="44" ht="15.75" customHeight="1" s="718">
      <c r="A44" s="10" t="n"/>
      <c r="B44" s="514" t="inlineStr">
        <is>
          <t>Sonuç :</t>
        </is>
      </c>
      <c r="C44" s="70" t="n"/>
      <c r="D44" s="457">
        <f>IF(OR(O26&gt;W19,O26&lt;X19),V27,V25)</f>
        <v/>
      </c>
      <c r="E44" s="70" t="n"/>
      <c r="F44" s="70" t="n"/>
      <c r="G44" s="70" t="n"/>
      <c r="H44" s="70" t="n"/>
      <c r="I44" s="70" t="n"/>
      <c r="J44" s="70" t="n"/>
      <c r="K44" s="70" t="n"/>
      <c r="L44" s="70" t="n"/>
      <c r="M44" s="70" t="n"/>
      <c r="N44" s="70" t="n"/>
      <c r="O44" s="70" t="n"/>
      <c r="P44" s="70" t="n"/>
      <c r="Q44" s="359" t="n"/>
      <c r="R44" s="11" t="n"/>
    </row>
    <row r="45" ht="4.5" customHeight="1" s="718">
      <c r="A45" s="10" t="n"/>
      <c r="B45" s="173" t="n"/>
      <c r="C45" s="24" t="n"/>
      <c r="D45" s="132" t="n"/>
      <c r="E45" s="132" t="n"/>
      <c r="F45" s="132" t="n"/>
      <c r="G45" s="132" t="n"/>
      <c r="H45" s="132" t="n"/>
      <c r="I45" s="132" t="n"/>
      <c r="J45" s="132" t="n"/>
      <c r="K45" s="132" t="n"/>
      <c r="L45" s="132" t="n"/>
      <c r="M45" s="132" t="n"/>
      <c r="N45" s="132" t="n"/>
      <c r="O45" s="132" t="n"/>
      <c r="P45" s="132" t="n"/>
      <c r="Q45" s="133" t="n"/>
      <c r="R45" s="11" t="n"/>
    </row>
    <row r="46" ht="15" customHeight="1" s="718">
      <c r="A46" s="10" t="n"/>
      <c r="B46" s="3" t="n"/>
      <c r="C46" s="272" t="n"/>
      <c r="D46" s="455">
        <f>IF(OR(O27&gt;W19,O27&lt;X19),V31,V29)</f>
        <v/>
      </c>
      <c r="Q46" s="360" t="n"/>
      <c r="R46" s="11" t="n"/>
    </row>
    <row r="47" ht="4.5" customHeight="1" s="718">
      <c r="A47" s="10" t="n"/>
      <c r="B47" s="3" t="n"/>
      <c r="C47" s="272" t="n"/>
      <c r="D47" s="132" t="n"/>
      <c r="E47" s="132" t="n"/>
      <c r="F47" s="132" t="n"/>
      <c r="G47" s="132" t="n"/>
      <c r="H47" s="132" t="n"/>
      <c r="I47" s="132" t="n"/>
      <c r="J47" s="132" t="n"/>
      <c r="K47" s="132" t="n"/>
      <c r="L47" s="132" t="n"/>
      <c r="M47" s="132" t="n"/>
      <c r="N47" s="132" t="n"/>
      <c r="O47" s="132" t="n"/>
      <c r="P47" s="132" t="n"/>
      <c r="Q47" s="133" t="n"/>
      <c r="R47" s="11" t="n"/>
    </row>
    <row r="48" ht="15.6" customHeight="1" s="718">
      <c r="A48" s="10" t="n"/>
      <c r="B48" s="85" t="n"/>
      <c r="D48" s="614">
        <f>IF(OR(O28&gt;W19,O28&lt;X19),V36,V34)</f>
        <v/>
      </c>
      <c r="Q48" s="360" t="n"/>
      <c r="R48" s="11" t="n"/>
    </row>
    <row r="49">
      <c r="A49" s="10" t="n"/>
      <c r="B49" s="62" t="n"/>
      <c r="C49" s="139" t="n"/>
      <c r="D49" s="139" t="n"/>
      <c r="E49" s="139" t="n"/>
      <c r="F49" s="139" t="n"/>
      <c r="G49" s="139" t="n"/>
      <c r="H49" s="139" t="n"/>
      <c r="I49" s="139" t="n"/>
      <c r="J49" s="139" t="n"/>
      <c r="K49" s="139" t="n"/>
      <c r="L49" s="139" t="n"/>
      <c r="M49" s="139" t="n"/>
      <c r="N49" s="139" t="n"/>
      <c r="O49" s="139" t="n"/>
      <c r="P49" s="139" t="n"/>
      <c r="Q49" s="361" t="n"/>
      <c r="R49" s="11" t="n"/>
    </row>
    <row r="50" ht="22.5" customHeight="1" s="718">
      <c r="A50" s="10" t="n"/>
      <c r="B50" s="511" t="inlineStr">
        <is>
          <t>UNVAN</t>
        </is>
      </c>
      <c r="C50" s="70" t="n"/>
      <c r="D50" s="70" t="n"/>
      <c r="E50" s="328" t="inlineStr">
        <is>
          <t>:</t>
        </is>
      </c>
      <c r="F50" s="521" t="inlineStr">
        <is>
          <t>Elektrik Mühendisi</t>
        </is>
      </c>
      <c r="G50" s="70" t="n"/>
      <c r="H50" s="70" t="n"/>
      <c r="I50" s="359" t="n"/>
      <c r="J50" s="811" t="inlineStr">
        <is>
          <t>ONAYLAYAN</t>
        </is>
      </c>
      <c r="K50" s="130" t="n"/>
      <c r="L50" s="130" t="n"/>
      <c r="M50" s="130" t="n"/>
      <c r="N50" s="130" t="n"/>
      <c r="O50" s="130" t="n"/>
      <c r="P50" s="130" t="n"/>
      <c r="Q50" s="242" t="n"/>
      <c r="R50" s="11" t="n"/>
    </row>
    <row r="51" ht="22.5" customHeight="1" s="718">
      <c r="A51" s="10" t="n"/>
      <c r="B51" s="511" t="inlineStr">
        <is>
          <t>TEST TARİHİ</t>
        </is>
      </c>
      <c r="C51" s="70" t="n"/>
      <c r="D51" s="70" t="n"/>
      <c r="E51" s="328" t="inlineStr">
        <is>
          <t>:</t>
        </is>
      </c>
      <c r="F51" s="829">
        <f>'ANA SAYFA'!F79</f>
        <v/>
      </c>
      <c r="G51" s="70" t="n"/>
      <c r="H51" s="70" t="n"/>
      <c r="I51" s="359" t="n"/>
      <c r="J51" s="75" t="n"/>
      <c r="K51" s="76" t="n"/>
      <c r="L51" s="191" t="n"/>
      <c r="M51" s="191" t="n"/>
      <c r="N51" s="191" t="n"/>
      <c r="O51" s="191" t="n"/>
      <c r="P51" s="191" t="n"/>
      <c r="Q51" s="193" t="n"/>
      <c r="R51" s="11" t="n"/>
    </row>
    <row r="52" ht="22.5" customHeight="1" s="718">
      <c r="A52" s="10" t="n"/>
      <c r="B52" s="508" t="inlineStr">
        <is>
          <t>ODA SİCİL NO</t>
        </is>
      </c>
      <c r="C52" s="130" t="n"/>
      <c r="D52" s="130" t="n"/>
      <c r="E52" s="564" t="inlineStr">
        <is>
          <t>:</t>
        </is>
      </c>
      <c r="F52" s="565">
        <f>'ANA SAYFA'!F81:J81</f>
        <v/>
      </c>
      <c r="G52" s="70" t="n"/>
      <c r="H52" s="70" t="n"/>
      <c r="I52" s="359" t="n"/>
      <c r="J52" s="75" t="n"/>
      <c r="K52" s="76" t="n"/>
      <c r="L52" s="191" t="n"/>
      <c r="M52" s="191" t="n"/>
      <c r="N52" s="191" t="n"/>
      <c r="O52" s="191" t="n"/>
      <c r="P52" s="191" t="n"/>
      <c r="Q52" s="193" t="n"/>
      <c r="R52" s="11" t="n"/>
    </row>
    <row r="53" ht="22.5" customHeight="1" s="718">
      <c r="A53" s="10" t="n"/>
      <c r="B53" s="508" t="inlineStr">
        <is>
          <t>EKİPNET NO</t>
        </is>
      </c>
      <c r="C53" s="130" t="n"/>
      <c r="D53" s="130" t="n"/>
      <c r="E53" s="509" t="inlineStr">
        <is>
          <t>:</t>
        </is>
      </c>
      <c r="F53" s="510">
        <f>'ANA SAYFA'!F82:J82</f>
        <v/>
      </c>
      <c r="G53" s="130" t="n"/>
      <c r="H53" s="130" t="n"/>
      <c r="I53" s="242" t="n"/>
      <c r="J53" s="352" t="n"/>
      <c r="K53" s="197" t="n"/>
      <c r="L53" s="197" t="n"/>
      <c r="M53" s="197" t="n"/>
      <c r="N53" s="197" t="n"/>
      <c r="O53" s="197" t="n"/>
      <c r="P53" s="197" t="n"/>
      <c r="Q53" s="194" t="n"/>
      <c r="R53" s="11" t="n"/>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K26:L26"/>
    <mergeCell ref="J11:L11"/>
    <mergeCell ref="J17:M17"/>
    <mergeCell ref="F53:I53"/>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13:Q13"/>
    <mergeCell ref="B52:D52"/>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topLeftCell="A5" zoomScale="85" zoomScaleNormal="85" workbookViewId="0">
      <selection activeCell="F26" sqref="F26"/>
    </sheetView>
  </sheetViews>
  <sheetFormatPr baseColWidth="8" defaultRowHeight="14.4"/>
  <cols>
    <col width="3.5546875" customWidth="1" style="718" min="1" max="1"/>
    <col width="5.109375" customWidth="1" style="718" min="2" max="3"/>
    <col width="5.44140625" customWidth="1" style="718" min="4" max="7"/>
    <col width="4.88671875" customWidth="1" style="718" min="8" max="9"/>
    <col width="4.6640625" customWidth="1" style="718" min="10" max="10"/>
    <col width="5.88671875" customWidth="1" style="718" min="11" max="17"/>
    <col width="3.5546875" customWidth="1" style="718"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61"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64"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631" t="inlineStr">
        <is>
          <t>Dosya Adı :</t>
        </is>
      </c>
      <c r="C5" s="130" t="n"/>
      <c r="D5" s="130" t="n"/>
      <c r="E5" s="536" t="inlineStr">
        <is>
          <t>TOPRAKLAMA ÖLÇÜM SONUÇLARI</t>
        </is>
      </c>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ht="18" customHeight="1" s="718">
      <c r="A7" s="10" t="n"/>
      <c r="B7" s="555" t="inlineStr">
        <is>
          <t>OTURUM TARİHİ :</t>
        </is>
      </c>
      <c r="C7" s="130" t="n"/>
      <c r="D7" s="130" t="n"/>
      <c r="E7" s="130" t="n"/>
      <c r="F7" s="130" t="n"/>
      <c r="G7" s="130" t="n"/>
      <c r="H7" s="130" t="n"/>
      <c r="I7" s="130" t="n"/>
      <c r="J7" s="823">
        <f>'ANA SAYFA'!F78</f>
        <v/>
      </c>
      <c r="K7" s="130" t="n"/>
      <c r="L7" s="130" t="n"/>
      <c r="M7" s="130" t="n"/>
      <c r="N7" s="130" t="n"/>
      <c r="O7" s="130" t="n"/>
      <c r="P7" s="130" t="n"/>
      <c r="Q7" s="242" t="n"/>
      <c r="R7" s="11" t="n"/>
    </row>
    <row r="8" ht="11.25" customHeight="1" s="718">
      <c r="A8" s="10" t="n"/>
      <c r="B8" s="3" t="n"/>
      <c r="C8" s="272" t="n"/>
      <c r="D8" s="272" t="n"/>
      <c r="E8" s="272" t="n"/>
      <c r="F8" s="272" t="n"/>
      <c r="G8" s="272" t="n"/>
      <c r="H8" s="272" t="n"/>
      <c r="I8" s="272" t="n"/>
      <c r="J8" s="272" t="n"/>
      <c r="K8" s="272" t="n"/>
      <c r="L8" s="272" t="n"/>
      <c r="M8" s="272" t="n"/>
      <c r="N8" s="272" t="n"/>
      <c r="O8" s="272" t="n"/>
      <c r="P8" s="272" t="n"/>
      <c r="Q8" s="202" t="n"/>
      <c r="R8" s="11" t="n"/>
    </row>
    <row r="9">
      <c r="A9" s="10" t="n"/>
      <c r="B9" s="576" t="inlineStr">
        <is>
          <t>Operatör :</t>
        </is>
      </c>
      <c r="C9" s="242" t="n"/>
      <c r="D9" s="577" t="inlineStr">
        <is>
          <t>Ahmet YILMAZ</t>
        </is>
      </c>
      <c r="E9" s="130" t="n"/>
      <c r="F9" s="130" t="n"/>
      <c r="G9" s="242" t="n"/>
      <c r="H9" s="576" t="inlineStr">
        <is>
          <t>Cihaz :</t>
        </is>
      </c>
      <c r="I9" s="242" t="n"/>
      <c r="J9" s="743" t="inlineStr">
        <is>
          <t>STS 5000</t>
        </is>
      </c>
      <c r="K9" s="130" t="n"/>
      <c r="L9" s="242" t="n"/>
      <c r="M9" s="743" t="inlineStr">
        <is>
          <t>Cihaz S/N :</t>
        </is>
      </c>
      <c r="N9" s="242" t="n"/>
      <c r="O9" s="743" t="inlineStr">
        <is>
          <t>SN-19B20</t>
        </is>
      </c>
      <c r="P9" s="130" t="n"/>
      <c r="Q9" s="242" t="n"/>
      <c r="R9" s="11" t="n"/>
    </row>
    <row r="10" ht="7.5" customHeight="1" s="718">
      <c r="A10" s="10" t="n"/>
      <c r="B10" s="3" t="n"/>
      <c r="C10" s="272" t="n"/>
      <c r="D10" s="272" t="n"/>
      <c r="E10" s="272" t="n"/>
      <c r="F10" s="272" t="n"/>
      <c r="G10" s="272" t="n"/>
      <c r="H10" s="272" t="n"/>
      <c r="I10" s="272" t="n"/>
      <c r="J10" s="272" t="n"/>
      <c r="K10" s="272" t="n"/>
      <c r="L10" s="272" t="n"/>
      <c r="M10" s="272" t="n"/>
      <c r="N10" s="272" t="n"/>
      <c r="O10" s="272" t="n"/>
      <c r="P10" s="272" t="n"/>
      <c r="Q10" s="202" t="n"/>
      <c r="R10" s="11" t="n"/>
    </row>
    <row r="11" ht="18" customHeight="1" s="718">
      <c r="A11" s="10" t="n"/>
      <c r="B11" s="575" t="inlineStr">
        <is>
          <t>Sonuçlar</t>
        </is>
      </c>
      <c r="C11" s="130" t="n"/>
      <c r="D11" s="130" t="n"/>
      <c r="E11" s="130" t="n"/>
      <c r="F11" s="130" t="n"/>
      <c r="G11" s="130" t="n"/>
      <c r="H11" s="130" t="n"/>
      <c r="I11" s="130" t="n"/>
      <c r="J11" s="130" t="n"/>
      <c r="K11" s="130" t="n"/>
      <c r="L11" s="130" t="n"/>
      <c r="M11" s="130" t="n"/>
      <c r="N11" s="130" t="n"/>
      <c r="O11" s="130" t="n"/>
      <c r="P11" s="130" t="n"/>
      <c r="Q11" s="242" t="n"/>
      <c r="R11" s="11" t="n"/>
    </row>
    <row r="12" ht="7.5" customHeight="1" s="718">
      <c r="A12" s="10" t="n"/>
      <c r="B12" s="3" t="n"/>
      <c r="C12" s="272" t="n"/>
      <c r="D12" s="272" t="n"/>
      <c r="E12" s="272" t="n"/>
      <c r="F12" s="272" t="n"/>
      <c r="G12" s="272" t="n"/>
      <c r="H12" s="272" t="n"/>
      <c r="I12" s="272" t="n"/>
      <c r="J12" s="272" t="n"/>
      <c r="K12" s="272" t="n"/>
      <c r="L12" s="272" t="n"/>
      <c r="M12" s="272" t="n"/>
      <c r="N12" s="272" t="n"/>
      <c r="O12" s="272" t="n"/>
      <c r="P12" s="272" t="n"/>
      <c r="Q12" s="202" t="n"/>
      <c r="R12" s="11" t="n"/>
    </row>
    <row r="13" ht="18" customHeight="1" s="718">
      <c r="A13" s="10" t="n"/>
      <c r="B13" s="811" t="inlineStr">
        <is>
          <t>İŞLETME (NÖTR) TOPRAK DİRENCİ</t>
        </is>
      </c>
      <c r="C13" s="130" t="n"/>
      <c r="D13" s="130" t="n"/>
      <c r="E13" s="130" t="n"/>
      <c r="F13" s="130" t="n"/>
      <c r="G13" s="130" t="n"/>
      <c r="H13" s="130" t="n"/>
      <c r="I13" s="130" t="n"/>
      <c r="J13" s="130" t="n"/>
      <c r="K13" s="130" t="n"/>
      <c r="L13" s="130" t="n"/>
      <c r="M13" s="130" t="n"/>
      <c r="N13" s="130" t="n"/>
      <c r="O13" s="130" t="n"/>
      <c r="P13" s="130" t="n"/>
      <c r="Q13" s="242" t="n"/>
      <c r="R13" s="11" t="n"/>
    </row>
    <row r="14" ht="7.5" customHeight="1" s="718">
      <c r="A14" s="10" t="n"/>
      <c r="B14" s="3" t="n"/>
      <c r="C14" s="272" t="n"/>
      <c r="D14" s="272" t="n"/>
      <c r="E14" s="272" t="n"/>
      <c r="F14" s="272" t="n"/>
      <c r="G14" s="272" t="n"/>
      <c r="H14" s="272" t="n"/>
      <c r="I14" s="272" t="n"/>
      <c r="J14" s="272" t="n"/>
      <c r="K14" s="272" t="n"/>
      <c r="L14" s="272" t="n"/>
      <c r="M14" s="272" t="n"/>
      <c r="N14" s="272" t="n"/>
      <c r="O14" s="272" t="n"/>
      <c r="P14" s="272" t="n"/>
      <c r="Q14" s="202" t="n"/>
      <c r="R14" s="11" t="n"/>
    </row>
    <row r="15">
      <c r="A15" s="10" t="n"/>
      <c r="B15" s="502" t="n"/>
      <c r="C15" s="130" t="n"/>
      <c r="D15" s="130" t="n"/>
      <c r="E15" s="130" t="n"/>
      <c r="F15" s="130" t="n"/>
      <c r="G15" s="130" t="n"/>
      <c r="H15" s="503" t="n"/>
      <c r="I15" s="130" t="n"/>
      <c r="J15" s="130" t="n"/>
      <c r="K15" s="504" t="n"/>
      <c r="L15" s="130" t="n"/>
      <c r="M15" s="242" t="n"/>
      <c r="N15" s="504" t="inlineStr">
        <is>
          <t>Sonuç</t>
        </is>
      </c>
      <c r="O15" s="130" t="n"/>
      <c r="P15" s="130" t="n"/>
      <c r="Q15" s="242" t="n"/>
      <c r="R15" s="11" t="n"/>
    </row>
    <row r="16">
      <c r="A16" s="10" t="n"/>
      <c r="B16" s="751" t="inlineStr">
        <is>
          <t>Max. Ω</t>
        </is>
      </c>
      <c r="C16" s="242" t="n"/>
      <c r="D16" s="751" t="n">
        <v>2</v>
      </c>
      <c r="E16" s="242" t="n"/>
      <c r="F16" s="846" t="inlineStr">
        <is>
          <t>Ω</t>
        </is>
      </c>
      <c r="G16" s="242" t="n"/>
      <c r="H16" s="550" t="inlineStr">
        <is>
          <t>Ölçülen</t>
        </is>
      </c>
      <c r="I16" s="130" t="n"/>
      <c r="J16" s="65" t="inlineStr">
        <is>
          <t>Ω</t>
        </is>
      </c>
      <c r="K16" s="530">
        <f>'ANA SAYFA'!H48</f>
        <v/>
      </c>
      <c r="L16" s="130" t="n"/>
      <c r="M16" s="65" t="inlineStr">
        <is>
          <t>Ω</t>
        </is>
      </c>
      <c r="N16" s="596">
        <f>IF(K16&lt;D16,W18,Y18)</f>
        <v/>
      </c>
      <c r="O16" s="130" t="n"/>
      <c r="P16" s="130" t="n"/>
      <c r="Q16" s="242" t="n"/>
      <c r="R16" s="11" t="n"/>
    </row>
    <row r="17">
      <c r="A17" s="10" t="n"/>
      <c r="B17" s="66" t="n"/>
      <c r="C17" s="67" t="n"/>
      <c r="D17" s="67" t="n"/>
      <c r="E17" s="67" t="n"/>
      <c r="F17" s="67" t="n"/>
      <c r="G17" s="67" t="n"/>
      <c r="H17" s="45" t="n"/>
      <c r="I17" s="45" t="n"/>
      <c r="J17" s="45" t="n"/>
      <c r="K17" s="68" t="n"/>
      <c r="L17" s="68" t="n"/>
      <c r="M17" s="45" t="n"/>
      <c r="N17" s="69" t="n"/>
      <c r="O17" s="69" t="n"/>
      <c r="P17" s="70" t="n"/>
      <c r="Q17" s="583"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69" t="inlineStr">
        <is>
          <t>UYGUN</t>
        </is>
      </c>
      <c r="Y18" s="469"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 customHeight="1" s="718">
      <c r="A23" s="10" t="n"/>
      <c r="B23" s="811" t="inlineStr">
        <is>
          <t>KORUMA TOPRAK DİRENCİ</t>
        </is>
      </c>
      <c r="C23" s="130" t="n"/>
      <c r="D23" s="130" t="n"/>
      <c r="E23" s="130" t="n"/>
      <c r="F23" s="130" t="n"/>
      <c r="G23" s="130" t="n"/>
      <c r="H23" s="130" t="n"/>
      <c r="I23" s="130" t="n"/>
      <c r="J23" s="130" t="n"/>
      <c r="K23" s="130" t="n"/>
      <c r="L23" s="130" t="n"/>
      <c r="M23" s="130" t="n"/>
      <c r="N23" s="130" t="n"/>
      <c r="O23" s="130" t="n"/>
      <c r="P23" s="130" t="n"/>
      <c r="Q23" s="242" t="n"/>
      <c r="R23" s="11" t="n"/>
    </row>
    <row r="24" ht="7.5" customHeight="1" s="718">
      <c r="A24" s="10" t="n"/>
      <c r="B24" s="3" t="n"/>
      <c r="C24" s="272" t="n"/>
      <c r="D24" s="272" t="n"/>
      <c r="E24" s="272" t="n"/>
      <c r="F24" s="272" t="n"/>
      <c r="G24" s="272" t="n"/>
      <c r="H24" s="272" t="n"/>
      <c r="I24" s="272" t="n"/>
      <c r="J24" s="272" t="n"/>
      <c r="K24" s="272" t="n"/>
      <c r="L24" s="272" t="n"/>
      <c r="M24" s="272" t="n"/>
      <c r="N24" s="272" t="n"/>
      <c r="O24" s="272" t="n"/>
      <c r="P24" s="272" t="n"/>
      <c r="Q24" s="202" t="n"/>
      <c r="R24" s="11" t="n"/>
    </row>
    <row r="25" ht="15.6" customHeight="1" s="718">
      <c r="A25" s="10" t="n"/>
      <c r="B25" s="502" t="n"/>
      <c r="C25" s="130" t="n"/>
      <c r="D25" s="130" t="n"/>
      <c r="E25" s="130" t="n"/>
      <c r="F25" s="130" t="n"/>
      <c r="G25" s="130" t="n"/>
      <c r="H25" s="503" t="n"/>
      <c r="I25" s="130" t="n"/>
      <c r="J25" s="130" t="n"/>
      <c r="K25" s="504" t="n"/>
      <c r="L25" s="130" t="n"/>
      <c r="M25" s="242" t="n"/>
      <c r="N25" s="504" t="inlineStr">
        <is>
          <t>Sonuç</t>
        </is>
      </c>
      <c r="O25" s="130" t="n"/>
      <c r="P25" s="130" t="n"/>
      <c r="Q25" s="242" t="n"/>
      <c r="R25" s="11" t="n"/>
      <c r="V25" s="518" t="inlineStr">
        <is>
          <t>İşletme (NÖTR) topraklaması direnç değeri normaldir.</t>
        </is>
      </c>
    </row>
    <row r="26" ht="15.6" customHeight="1" s="718">
      <c r="A26" s="10" t="n"/>
      <c r="B26" s="750" t="inlineStr">
        <is>
          <t>Trafo</t>
        </is>
      </c>
      <c r="C26" s="242" t="n"/>
      <c r="D26" s="627" t="inlineStr">
        <is>
          <t>Max. Ω</t>
        </is>
      </c>
      <c r="E26" s="130" t="n"/>
      <c r="F26" s="73" t="n">
        <v>2</v>
      </c>
      <c r="G26" s="74" t="inlineStr">
        <is>
          <t>Ω</t>
        </is>
      </c>
      <c r="H26" s="550" t="inlineStr">
        <is>
          <t>Ölçülen</t>
        </is>
      </c>
      <c r="I26" s="130" t="n"/>
      <c r="J26" s="65" t="inlineStr">
        <is>
          <t>Ω</t>
        </is>
      </c>
      <c r="K26" s="675">
        <f>'ANA SAYFA'!H46</f>
        <v/>
      </c>
      <c r="L26" s="130" t="n"/>
      <c r="M26" s="65" t="inlineStr">
        <is>
          <t>Ω</t>
        </is>
      </c>
      <c r="N26" s="596">
        <f>IF(K26&lt;F26,W18,Y18)</f>
        <v/>
      </c>
      <c r="O26" s="130" t="n"/>
      <c r="P26" s="130" t="n"/>
      <c r="Q26" s="242" t="n"/>
      <c r="R26" s="11" t="n"/>
      <c r="V26" s="518" t="inlineStr">
        <is>
          <t>İşletme (NÖTR) topraklaması direnç değeri yüksek bulunmuştur.</t>
        </is>
      </c>
    </row>
    <row r="27" ht="15.6" customHeight="1" s="718">
      <c r="A27" s="10" t="n"/>
      <c r="B27" s="750" t="inlineStr">
        <is>
          <t>Hücre</t>
        </is>
      </c>
      <c r="C27" s="242" t="n"/>
      <c r="D27" s="627" t="inlineStr">
        <is>
          <t>Max. Ω</t>
        </is>
      </c>
      <c r="E27" s="130" t="n"/>
      <c r="F27" s="73" t="n">
        <v>2</v>
      </c>
      <c r="G27" s="74" t="inlineStr">
        <is>
          <t>Ω</t>
        </is>
      </c>
      <c r="H27" s="550" t="inlineStr">
        <is>
          <t>Ölçülen</t>
        </is>
      </c>
      <c r="I27" s="130" t="n"/>
      <c r="J27" s="65" t="inlineStr">
        <is>
          <t>Ω</t>
        </is>
      </c>
      <c r="K27" s="675">
        <f>'ANA SAYFA'!H50</f>
        <v/>
      </c>
      <c r="L27" s="130" t="n"/>
      <c r="M27" s="65" t="inlineStr">
        <is>
          <t>Ω</t>
        </is>
      </c>
      <c r="N27" s="596">
        <f>IF(K27&lt;F27,W18,Y18)</f>
        <v/>
      </c>
      <c r="O27" s="130" t="n"/>
      <c r="P27" s="130" t="n"/>
      <c r="Q27" s="242" t="n"/>
      <c r="R27" s="11" t="n"/>
      <c r="V27" s="518" t="inlineStr">
        <is>
          <t>Trafo topraklaması direnç değeri normaldir.</t>
        </is>
      </c>
    </row>
    <row r="28" ht="15.6" customHeight="1" s="718">
      <c r="A28" s="10" t="n"/>
      <c r="B28" s="750" t="inlineStr">
        <is>
          <t>Kapılar</t>
        </is>
      </c>
      <c r="C28" s="242" t="n"/>
      <c r="D28" s="627" t="inlineStr">
        <is>
          <t>Max. Ω</t>
        </is>
      </c>
      <c r="E28" s="130" t="n"/>
      <c r="F28" s="73" t="n">
        <v>2</v>
      </c>
      <c r="G28" s="74" t="inlineStr">
        <is>
          <t>Ω</t>
        </is>
      </c>
      <c r="H28" s="550" t="inlineStr">
        <is>
          <t>Ölçülen</t>
        </is>
      </c>
      <c r="I28" s="130" t="n"/>
      <c r="J28" s="65" t="inlineStr">
        <is>
          <t>Ω</t>
        </is>
      </c>
      <c r="K28" s="675">
        <f>'ANA SAYFA'!Q48</f>
        <v/>
      </c>
      <c r="L28" s="130" t="n"/>
      <c r="M28" s="65" t="inlineStr">
        <is>
          <t>Ω</t>
        </is>
      </c>
      <c r="N28" s="596">
        <f>IF(K28&lt;F28,W18,Y18)</f>
        <v/>
      </c>
      <c r="O28" s="130" t="n"/>
      <c r="P28" s="130" t="n"/>
      <c r="Q28" s="242" t="n"/>
      <c r="R28" s="11" t="n"/>
      <c r="V28" s="518" t="inlineStr">
        <is>
          <t>Trafo topraklaması direnç değeri yüksek bulunmuştur.</t>
        </is>
      </c>
    </row>
    <row r="29" ht="15.6" customHeight="1" s="718">
      <c r="A29" s="10" t="n"/>
      <c r="B29" s="750" t="inlineStr">
        <is>
          <t>AG. Pano</t>
        </is>
      </c>
      <c r="C29" s="242" t="n"/>
      <c r="D29" s="627" t="inlineStr">
        <is>
          <t>Max. Ω</t>
        </is>
      </c>
      <c r="E29" s="130" t="n"/>
      <c r="F29" s="73" t="n">
        <v>2</v>
      </c>
      <c r="G29" s="74" t="inlineStr">
        <is>
          <t>Ω</t>
        </is>
      </c>
      <c r="H29" s="550" t="inlineStr">
        <is>
          <t>Ölçülen</t>
        </is>
      </c>
      <c r="I29" s="130" t="n"/>
      <c r="J29" s="65" t="inlineStr">
        <is>
          <t>Ω</t>
        </is>
      </c>
      <c r="K29" s="675">
        <f>'ANA SAYFA'!Q46</f>
        <v/>
      </c>
      <c r="L29" s="130" t="n"/>
      <c r="M29" s="65" t="inlineStr">
        <is>
          <t>Ω</t>
        </is>
      </c>
      <c r="N29" s="596">
        <f>IF(K29&lt;F29,W18,Y18)</f>
        <v/>
      </c>
      <c r="O29" s="130" t="n"/>
      <c r="P29" s="130" t="n"/>
      <c r="Q29" s="242" t="n"/>
      <c r="R29" s="11" t="n"/>
      <c r="V29" s="518" t="n"/>
      <c r="W29" s="518" t="n"/>
      <c r="X29" s="518" t="n"/>
      <c r="Y29" s="518" t="n"/>
      <c r="Z29" s="518" t="n"/>
      <c r="AA29" s="518" t="n"/>
      <c r="AB29" s="518" t="n"/>
      <c r="AC29" s="518" t="n"/>
      <c r="AD29" s="518" t="n"/>
      <c r="AE29" s="518" t="n"/>
      <c r="AF29" s="518" t="n"/>
      <c r="AG29" s="518" t="n"/>
      <c r="AH29" s="518" t="n"/>
      <c r="AI29" s="518" t="n"/>
    </row>
    <row r="30" ht="15.6" customHeight="1" s="718">
      <c r="A30" s="10" t="n"/>
      <c r="B30" s="3" t="n"/>
      <c r="C30" s="272" t="n"/>
      <c r="D30" s="272" t="n"/>
      <c r="E30" s="272" t="n"/>
      <c r="F30" s="272" t="n"/>
      <c r="G30" s="272" t="n"/>
      <c r="H30" s="272" t="n"/>
      <c r="I30" s="272" t="n"/>
      <c r="J30" s="272" t="n"/>
      <c r="K30" s="272" t="n"/>
      <c r="L30" s="272" t="n"/>
      <c r="M30" s="272" t="n"/>
      <c r="N30" s="272" t="n"/>
      <c r="O30" s="272" t="n"/>
      <c r="P30" s="272" t="n"/>
      <c r="Q30" s="202" t="n"/>
      <c r="R30" s="11" t="n"/>
      <c r="V30" s="518" t="inlineStr">
        <is>
          <t>Hücre topraklaması direnç değeri normaldir.</t>
        </is>
      </c>
    </row>
    <row r="31" ht="15.6" customHeight="1" s="718">
      <c r="A31" s="10" t="n"/>
      <c r="B31" s="3" t="n"/>
      <c r="C31" s="272" t="n"/>
      <c r="D31" s="272" t="n"/>
      <c r="E31" s="272" t="n"/>
      <c r="F31" s="24" t="n"/>
      <c r="G31" s="272" t="n"/>
      <c r="H31" s="272" t="n"/>
      <c r="I31" s="272" t="n"/>
      <c r="J31" s="272" t="n"/>
      <c r="K31" s="272" t="n"/>
      <c r="L31" s="272" t="n"/>
      <c r="M31" s="272" t="n"/>
      <c r="N31" s="272" t="n"/>
      <c r="O31" s="272" t="n"/>
      <c r="P31" s="272" t="n"/>
      <c r="Q31" s="202" t="n"/>
      <c r="R31" s="11" t="n"/>
      <c r="V31" s="518" t="inlineStr">
        <is>
          <t>Hücre topraklaması direnç değeri yüksek bulunmuştur.</t>
        </is>
      </c>
    </row>
    <row r="32">
      <c r="A32" s="10" t="n"/>
      <c r="B32" s="3" t="n"/>
      <c r="C32" s="272" t="n"/>
      <c r="D32" s="272" t="n"/>
      <c r="E32" s="272" t="n"/>
      <c r="F32" s="24" t="n"/>
      <c r="G32" s="272" t="n"/>
      <c r="H32" s="272" t="n"/>
      <c r="I32" s="272" t="n"/>
      <c r="J32" s="272" t="n"/>
      <c r="K32" s="272" t="n"/>
      <c r="L32" s="272" t="n"/>
      <c r="M32" s="272" t="n"/>
      <c r="N32" s="272" t="n"/>
      <c r="O32" s="272" t="n"/>
      <c r="P32" s="272" t="n"/>
      <c r="Q32" s="202" t="n"/>
      <c r="R32" s="11" t="n"/>
    </row>
    <row r="33" ht="18" customHeight="1" s="718">
      <c r="A33" s="10" t="n"/>
      <c r="B33" s="75" t="n"/>
      <c r="C33" s="76" t="n"/>
      <c r="D33" s="76" t="n"/>
      <c r="E33" s="76" t="n"/>
      <c r="F33" s="76" t="n"/>
      <c r="G33" s="76" t="n"/>
      <c r="H33" s="76" t="n"/>
      <c r="I33" s="76" t="n"/>
      <c r="J33" s="76" t="n"/>
      <c r="K33" s="76" t="n"/>
      <c r="L33" s="76" t="n"/>
      <c r="M33" s="76" t="n"/>
      <c r="N33" s="76" t="n"/>
      <c r="O33" s="76" t="n"/>
      <c r="P33" s="76" t="n"/>
      <c r="Q33" s="77" t="n"/>
      <c r="R33" s="11" t="n"/>
      <c r="V33" s="518" t="inlineStr">
        <is>
          <t>A.G. Pano topraklaması direnç değeri normaldir.</t>
        </is>
      </c>
    </row>
    <row r="34" ht="18" customHeight="1" s="718">
      <c r="A34" s="10" t="n"/>
      <c r="B34" s="654" t="n"/>
      <c r="C34" s="655" t="n"/>
      <c r="D34" s="655" t="n"/>
      <c r="E34" s="655" t="n"/>
      <c r="F34" s="655" t="n"/>
      <c r="G34" s="655" t="n"/>
      <c r="H34" s="655" t="n"/>
      <c r="I34" s="655" t="n"/>
      <c r="J34" s="655" t="n"/>
      <c r="K34" s="655" t="n"/>
      <c r="L34" s="655" t="n"/>
      <c r="M34" s="655" t="n"/>
      <c r="N34" s="655" t="n"/>
      <c r="O34" s="655" t="n"/>
      <c r="P34" s="655" t="n"/>
      <c r="Q34" s="656" t="n"/>
      <c r="R34" s="11" t="n"/>
      <c r="V34" s="518" t="inlineStr">
        <is>
          <t>A.G. Pano topraklaması direnç değeri yüksek bulunmuştur.</t>
        </is>
      </c>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ht="15.6" customHeight="1" s="718">
      <c r="A36" s="10" t="n"/>
      <c r="B36" s="56" t="n"/>
      <c r="C36" s="272" t="n"/>
      <c r="D36" s="272" t="n"/>
      <c r="E36" s="272" t="n"/>
      <c r="F36" s="272" t="n"/>
      <c r="G36" s="272" t="n"/>
      <c r="H36" s="272" t="n"/>
      <c r="I36" s="272" t="n"/>
      <c r="J36" s="272" t="n"/>
      <c r="K36" s="272" t="n"/>
      <c r="L36" s="57" t="n"/>
      <c r="M36" s="57" t="n"/>
      <c r="N36" s="272" t="n"/>
      <c r="O36" s="57" t="n"/>
      <c r="P36" s="57" t="n"/>
      <c r="Q36" s="202" t="n"/>
      <c r="R36" s="11" t="n"/>
      <c r="V36" s="518" t="inlineStr">
        <is>
          <t>Kapı topraklaması direnç değeri normaldir.</t>
        </is>
      </c>
    </row>
    <row r="37" ht="15.6" customHeight="1" s="718">
      <c r="A37" s="10" t="n"/>
      <c r="B37" s="56" t="n"/>
      <c r="C37" s="272" t="n"/>
      <c r="D37" s="272" t="n"/>
      <c r="E37" s="272" t="n"/>
      <c r="F37" s="272" t="n"/>
      <c r="G37" s="272" t="n"/>
      <c r="H37" s="272" t="n"/>
      <c r="I37" s="272" t="n"/>
      <c r="J37" s="272" t="n"/>
      <c r="K37" s="272" t="n"/>
      <c r="L37" s="57" t="n"/>
      <c r="M37" s="57" t="n"/>
      <c r="N37" s="272" t="n"/>
      <c r="O37" s="57" t="n"/>
      <c r="P37" s="57" t="n"/>
      <c r="Q37" s="202" t="n"/>
      <c r="R37" s="11" t="n"/>
      <c r="V37" s="518" t="inlineStr">
        <is>
          <t>Kapı topraklaması direnç değeri yüksek bulunmuştur.</t>
        </is>
      </c>
    </row>
    <row r="38" ht="15.6" customHeight="1" s="718">
      <c r="A38" s="10" t="n"/>
      <c r="B38" s="56" t="n"/>
      <c r="C38" s="272" t="n"/>
      <c r="D38" s="272" t="n"/>
      <c r="E38" s="272" t="n"/>
      <c r="F38" s="272" t="n"/>
      <c r="G38" s="272" t="n"/>
      <c r="H38" s="272" t="n"/>
      <c r="I38" s="272" t="n"/>
      <c r="J38" s="272" t="n"/>
      <c r="K38" s="272" t="n"/>
      <c r="L38" s="57" t="n"/>
      <c r="M38" s="57" t="n"/>
      <c r="N38" s="272" t="n"/>
      <c r="O38" s="57" t="n"/>
      <c r="P38" s="57" t="n"/>
      <c r="Q38" s="202" t="n"/>
      <c r="R38" s="11" t="n"/>
      <c r="V38" s="518" t="inlineStr">
        <is>
          <t>Direk topraklaması direnç değeri normaldir.</t>
        </is>
      </c>
    </row>
    <row r="39" ht="15.6" customHeight="1" s="718">
      <c r="A39" s="10" t="n"/>
      <c r="B39" s="173" t="n"/>
      <c r="C39" s="24" t="n"/>
      <c r="D39" s="24" t="n"/>
      <c r="E39" s="24" t="n"/>
      <c r="F39" s="24" t="n"/>
      <c r="G39" s="24" t="n"/>
      <c r="H39" s="24" t="n"/>
      <c r="I39" s="24" t="n"/>
      <c r="J39" s="24" t="n"/>
      <c r="K39" s="24" t="n"/>
      <c r="L39" s="24" t="n"/>
      <c r="M39" s="24" t="n"/>
      <c r="N39" s="24" t="n"/>
      <c r="O39" s="24" t="n"/>
      <c r="P39" s="24" t="n"/>
      <c r="Q39" s="310" t="n"/>
      <c r="R39" s="11" t="n"/>
      <c r="V39" s="518" t="inlineStr">
        <is>
          <t>Direk topraklaması direnç değeri yüksek bulunmuştur.</t>
        </is>
      </c>
    </row>
    <row r="40" ht="9" customHeight="1" s="718">
      <c r="A40" s="10" t="n"/>
      <c r="B40" s="485" t="n"/>
      <c r="C40" s="41" t="n"/>
      <c r="D40" s="24" t="n"/>
      <c r="E40" s="24" t="n"/>
      <c r="F40" s="24" t="n"/>
      <c r="G40" s="24" t="n"/>
      <c r="H40" s="24" t="n"/>
      <c r="I40" s="24" t="n"/>
      <c r="J40" s="24" t="n"/>
      <c r="K40" s="24" t="n"/>
      <c r="L40" s="24" t="n"/>
      <c r="M40" s="24" t="n"/>
      <c r="N40" s="24" t="n"/>
      <c r="O40" s="24" t="n"/>
      <c r="P40" s="24" t="n"/>
      <c r="Q40" s="310" t="n"/>
      <c r="R40" s="11" t="n"/>
      <c r="V40" s="518" t="n"/>
      <c r="W40" s="518" t="n"/>
      <c r="X40" s="518" t="n"/>
      <c r="Y40" s="518" t="n"/>
      <c r="Z40" s="518" t="n"/>
      <c r="AA40" s="518" t="n"/>
      <c r="AB40" s="518" t="n"/>
      <c r="AC40" s="518" t="n"/>
      <c r="AD40" s="518" t="n"/>
      <c r="AE40" s="518" t="n"/>
      <c r="AF40" s="518" t="n"/>
      <c r="AG40" s="518" t="n"/>
      <c r="AH40" s="518" t="n"/>
      <c r="AI40" s="518" t="n"/>
    </row>
    <row r="41" ht="15.75" customHeight="1" s="718">
      <c r="A41" s="10" t="n"/>
      <c r="B41" s="587" t="inlineStr">
        <is>
          <t>Sonuç :</t>
        </is>
      </c>
      <c r="C41" s="242" t="n"/>
      <c r="D41" s="847">
        <f>IF(K16&lt;D16,V25,V26)</f>
        <v/>
      </c>
      <c r="E41" s="70" t="n"/>
      <c r="F41" s="70" t="n"/>
      <c r="G41" s="70" t="n"/>
      <c r="H41" s="70" t="n"/>
      <c r="I41" s="70" t="n"/>
      <c r="J41" s="70" t="n"/>
      <c r="K41" s="70" t="n"/>
      <c r="L41" s="70" t="n"/>
      <c r="M41" s="70" t="n"/>
      <c r="N41" s="70" t="n"/>
      <c r="O41" s="70" t="n"/>
      <c r="P41" s="70" t="n"/>
      <c r="Q41" s="359" t="n"/>
      <c r="R41" s="11" t="n"/>
    </row>
    <row r="42" ht="15" customHeight="1" s="718">
      <c r="A42" s="10" t="n"/>
      <c r="B42" s="173" t="n"/>
      <c r="C42" s="24" t="n"/>
      <c r="D42" s="455">
        <f>IF(K26&lt;F26,V27,V28)</f>
        <v/>
      </c>
      <c r="Q42" s="360" t="n"/>
      <c r="R42" s="11" t="n"/>
    </row>
    <row r="43" ht="15.6" customHeight="1" s="718">
      <c r="A43" s="10" t="n"/>
      <c r="B43" s="173" t="n"/>
      <c r="C43" s="24" t="n"/>
      <c r="D43" s="455">
        <f>IF(K27&lt;F27,V30,V31)</f>
        <v/>
      </c>
      <c r="Q43" s="360" t="n"/>
      <c r="R43" s="11" t="n"/>
    </row>
    <row r="44" ht="15.6" customHeight="1" s="718">
      <c r="A44" s="10" t="n"/>
      <c r="B44" s="173" t="n"/>
      <c r="C44" s="24" t="n"/>
      <c r="D44" s="455">
        <f>IF(K28&lt;F28,V36,V37)</f>
        <v/>
      </c>
      <c r="Q44" s="360" t="n"/>
      <c r="R44" s="11" t="n"/>
    </row>
    <row r="45" ht="15.6" customHeight="1" s="718">
      <c r="A45" s="10" t="n"/>
      <c r="B45" s="173" t="n"/>
      <c r="C45" s="24" t="n"/>
      <c r="D45" s="455">
        <f>IF(K29&lt;F29,V33,V34)</f>
        <v/>
      </c>
      <c r="Q45" s="360" t="n"/>
      <c r="R45" s="11" t="n"/>
    </row>
    <row r="46" ht="9" customHeight="1" s="718">
      <c r="A46" s="10" t="n"/>
      <c r="B46" s="311" t="n"/>
      <c r="C46" s="139" t="n"/>
      <c r="D46" s="640" t="n"/>
      <c r="E46" s="139" t="n"/>
      <c r="F46" s="139" t="n"/>
      <c r="G46" s="139" t="n"/>
      <c r="H46" s="139" t="n"/>
      <c r="I46" s="139" t="n"/>
      <c r="J46" s="139" t="n"/>
      <c r="K46" s="139" t="n"/>
      <c r="L46" s="139" t="n"/>
      <c r="M46" s="139" t="n"/>
      <c r="N46" s="139" t="n"/>
      <c r="O46" s="139" t="n"/>
      <c r="P46" s="139" t="n"/>
      <c r="Q46" s="361" t="n"/>
      <c r="R46" s="11" t="n"/>
    </row>
    <row r="47" ht="22.5" customHeight="1" s="718">
      <c r="A47" s="10" t="n"/>
      <c r="B47" s="511" t="inlineStr">
        <is>
          <t>UNVAN</t>
        </is>
      </c>
      <c r="C47" s="70" t="n"/>
      <c r="D47" s="70" t="n"/>
      <c r="E47" s="328" t="inlineStr">
        <is>
          <t>:</t>
        </is>
      </c>
      <c r="F47" s="702" t="inlineStr">
        <is>
          <t>Elektrik Mühendisi</t>
        </is>
      </c>
      <c r="G47" s="130" t="n"/>
      <c r="H47" s="130" t="n"/>
      <c r="I47" s="242" t="n"/>
      <c r="J47" s="811" t="inlineStr">
        <is>
          <t>ONAYLAYAN</t>
        </is>
      </c>
      <c r="K47" s="130" t="n"/>
      <c r="L47" s="130" t="n"/>
      <c r="M47" s="130" t="n"/>
      <c r="N47" s="130" t="n"/>
      <c r="O47" s="130" t="n"/>
      <c r="P47" s="130" t="n"/>
      <c r="Q47" s="242" t="n"/>
      <c r="R47" s="11" t="n"/>
    </row>
    <row r="48" ht="22.5" customHeight="1" s="718">
      <c r="A48" s="10" t="n"/>
      <c r="B48" s="511" t="inlineStr">
        <is>
          <t>TEST TARİHİ</t>
        </is>
      </c>
      <c r="C48" s="70" t="n"/>
      <c r="D48" s="70" t="n"/>
      <c r="E48" s="328" t="inlineStr">
        <is>
          <t>:</t>
        </is>
      </c>
      <c r="F48" s="829">
        <f>'ANA SAYFA'!F79</f>
        <v/>
      </c>
      <c r="G48" s="70" t="n"/>
      <c r="H48" s="70" t="n"/>
      <c r="I48" s="359" t="n"/>
      <c r="J48" s="75" t="n"/>
      <c r="K48" s="76" t="n"/>
      <c r="L48" s="191" t="n"/>
      <c r="M48" s="191" t="n"/>
      <c r="N48" s="191" t="n"/>
      <c r="O48" s="191" t="n"/>
      <c r="P48" s="191" t="n"/>
      <c r="Q48" s="193" t="n"/>
      <c r="R48" s="11" t="n"/>
    </row>
    <row r="49" ht="22.5" customHeight="1" s="718">
      <c r="A49" s="10" t="n"/>
      <c r="B49" s="508" t="inlineStr">
        <is>
          <t>ODA SİCİL NO</t>
        </is>
      </c>
      <c r="C49" s="130" t="n"/>
      <c r="D49" s="130" t="n"/>
      <c r="E49" s="564" t="inlineStr">
        <is>
          <t>:</t>
        </is>
      </c>
      <c r="F49" s="565">
        <f>'ANA SAYFA'!F81:J81</f>
        <v/>
      </c>
      <c r="G49" s="70" t="n"/>
      <c r="H49" s="70" t="n"/>
      <c r="I49" s="359" t="n"/>
      <c r="J49" s="75" t="n"/>
      <c r="K49" s="76" t="n"/>
      <c r="L49" s="191" t="n"/>
      <c r="M49" s="191" t="n"/>
      <c r="N49" s="191" t="n"/>
      <c r="O49" s="191" t="n"/>
      <c r="P49" s="191" t="n"/>
      <c r="Q49" s="193" t="n"/>
      <c r="R49" s="11" t="n"/>
    </row>
    <row r="50" ht="22.5" customHeight="1" s="718">
      <c r="A50" s="10" t="n"/>
      <c r="B50" s="508" t="inlineStr">
        <is>
          <t>EKİPNET NO</t>
        </is>
      </c>
      <c r="C50" s="130" t="n"/>
      <c r="D50" s="130" t="n"/>
      <c r="E50" s="509" t="inlineStr">
        <is>
          <t>:</t>
        </is>
      </c>
      <c r="F50" s="510">
        <f>'ANA SAYFA'!F82:J82</f>
        <v/>
      </c>
      <c r="G50" s="130" t="n"/>
      <c r="H50" s="130" t="n"/>
      <c r="I50" s="242" t="n"/>
      <c r="J50" s="352" t="n"/>
      <c r="K50" s="197" t="n"/>
      <c r="L50" s="197" t="n"/>
      <c r="M50" s="197" t="n"/>
      <c r="N50" s="197" t="n"/>
      <c r="O50" s="197" t="n"/>
      <c r="P50" s="197" t="n"/>
      <c r="Q50" s="194" t="n"/>
      <c r="R50" s="11" t="n"/>
    </row>
    <row r="51" ht="15" customHeight="1" s="718"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Y18:Z18"/>
    <mergeCell ref="B11:Q11"/>
    <mergeCell ref="K25:M25"/>
    <mergeCell ref="K28:L28"/>
    <mergeCell ref="O9:Q9"/>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B49:D49"/>
    <mergeCell ref="D27:E27"/>
    <mergeCell ref="B15:G15"/>
    <mergeCell ref="V31:AI31"/>
    <mergeCell ref="H15:J15"/>
    <mergeCell ref="D41:Q41"/>
    <mergeCell ref="H16:I16"/>
    <mergeCell ref="E5:Q5"/>
    <mergeCell ref="B50:D50"/>
    <mergeCell ref="B28:C28"/>
    <mergeCell ref="D28:E28"/>
    <mergeCell ref="D43:Q43"/>
    <mergeCell ref="B9:C9"/>
    <mergeCell ref="K15:M15"/>
    <mergeCell ref="V26:AI26"/>
    <mergeCell ref="F50:I50"/>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N85"/>
  <sheetViews>
    <sheetView topLeftCell="A46" zoomScaleNormal="100" workbookViewId="0">
      <selection activeCell="AA46" sqref="AA46"/>
    </sheetView>
  </sheetViews>
  <sheetFormatPr baseColWidth="8" defaultColWidth="9.109375" defaultRowHeight="14.4"/>
  <cols>
    <col width="1.5546875" customWidth="1" style="718" min="1" max="1"/>
    <col width="5" customWidth="1" style="718" min="2" max="19"/>
    <col width="1.5546875" customWidth="1" style="718" min="20" max="20"/>
    <col width="9.109375" customWidth="1" style="718" min="21" max="21"/>
    <col width="5" customWidth="1" style="718" min="22" max="24"/>
    <col width="5.33203125" customWidth="1" style="718" min="25" max="26"/>
    <col width="10.6640625" customWidth="1" style="718" min="27" max="27"/>
    <col width="5.33203125" customWidth="1" style="718" min="28" max="30"/>
    <col width="5" customWidth="1" style="718" min="31" max="49"/>
    <col width="9.109375" customWidth="1" style="718" min="50" max="16384"/>
  </cols>
  <sheetData>
    <row r="1" ht="5.25" customHeight="1" s="718">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718">
      <c r="A2" s="10" t="n"/>
      <c r="B2" s="240" t="n"/>
      <c r="C2" s="70" t="n"/>
      <c r="D2" s="70" t="n"/>
      <c r="E2" s="70" t="n"/>
      <c r="F2" s="70" t="n"/>
      <c r="G2" s="84" t="n"/>
      <c r="H2" s="458" t="inlineStr">
        <is>
          <t xml:space="preserve">  ŞALT SAHASI          </t>
        </is>
      </c>
      <c r="I2" s="70" t="n"/>
      <c r="J2" s="70" t="n"/>
      <c r="K2" s="848">
        <f>'ANA SAYFA'!K2</f>
        <v/>
      </c>
      <c r="L2" s="70" t="n"/>
      <c r="M2" s="70" t="n"/>
      <c r="N2" s="70" t="n"/>
      <c r="O2" s="70" t="n"/>
      <c r="P2" s="70" t="n"/>
      <c r="Q2" s="70" t="n"/>
      <c r="R2" s="70" t="n"/>
      <c r="S2" s="359" t="n"/>
      <c r="T2" s="11" t="n"/>
    </row>
    <row r="3" ht="18" customHeight="1" s="718">
      <c r="A3" s="10" t="n"/>
      <c r="B3" s="85" t="n"/>
      <c r="G3" s="87" t="n"/>
      <c r="H3" s="85" t="n"/>
      <c r="K3" s="812" t="n"/>
      <c r="L3" s="812" t="n"/>
      <c r="M3" s="812" t="n"/>
      <c r="N3" s="812" t="n"/>
      <c r="O3" s="812" t="n"/>
      <c r="P3" s="812" t="n"/>
      <c r="Q3" s="812" t="n"/>
      <c r="R3" s="812" t="n"/>
      <c r="S3" s="813" t="n"/>
      <c r="T3" s="11" t="n"/>
    </row>
    <row r="4" ht="3" customHeight="1" s="718">
      <c r="A4" s="10" t="n"/>
      <c r="B4" s="85" t="n"/>
      <c r="G4" s="87" t="n"/>
      <c r="H4" s="88" t="n"/>
      <c r="I4" s="89" t="n"/>
      <c r="J4" s="89" t="n"/>
      <c r="K4" s="696" t="n"/>
      <c r="L4" s="696" t="n"/>
      <c r="M4" s="696" t="n"/>
      <c r="N4" s="696" t="n"/>
      <c r="O4" s="696" t="n"/>
      <c r="P4" s="696" t="n"/>
      <c r="Q4" s="696" t="n"/>
      <c r="R4" s="696" t="n"/>
      <c r="S4" s="221" t="n"/>
      <c r="T4" s="11" t="n"/>
    </row>
    <row r="5" ht="18" customHeight="1" s="718">
      <c r="A5" s="10" t="n"/>
      <c r="B5" s="85" t="n"/>
      <c r="G5" s="87" t="n"/>
      <c r="H5" s="544" t="inlineStr">
        <is>
          <t xml:space="preserve">  LOKASYON</t>
        </is>
      </c>
      <c r="K5" s="848">
        <f>'ANA SAYFA'!K5</f>
        <v/>
      </c>
      <c r="L5" s="70" t="n"/>
      <c r="M5" s="70" t="n"/>
      <c r="N5" s="70" t="n"/>
      <c r="O5" s="70" t="n"/>
      <c r="P5" s="70" t="n"/>
      <c r="Q5" s="70" t="n"/>
      <c r="R5" s="70" t="n"/>
      <c r="S5" s="359" t="n"/>
      <c r="T5" s="11" t="n"/>
    </row>
    <row r="6" ht="18" customHeight="1" s="718">
      <c r="A6" s="10" t="n"/>
      <c r="B6" s="85" t="n"/>
      <c r="G6" s="87" t="n"/>
      <c r="H6" s="85" t="n"/>
      <c r="K6" s="812" t="n"/>
      <c r="L6" s="812" t="n"/>
      <c r="M6" s="812" t="n"/>
      <c r="N6" s="812" t="n"/>
      <c r="O6" s="812" t="n"/>
      <c r="P6" s="812" t="n"/>
      <c r="Q6" s="812" t="n"/>
      <c r="R6" s="812" t="n"/>
      <c r="S6" s="813" t="n"/>
      <c r="T6" s="11" t="n"/>
    </row>
    <row r="7" ht="3" customHeight="1" s="718">
      <c r="A7" s="10" t="n"/>
      <c r="B7" s="62" t="n"/>
      <c r="C7" s="139" t="n"/>
      <c r="D7" s="139" t="n"/>
      <c r="E7" s="139" t="n"/>
      <c r="F7" s="139" t="n"/>
      <c r="G7" s="90" t="n"/>
      <c r="H7" s="62" t="n"/>
      <c r="I7" s="139" t="n"/>
      <c r="J7" s="139" t="n"/>
      <c r="K7" s="64" t="n"/>
      <c r="L7" s="64" t="n"/>
      <c r="M7" s="64" t="n"/>
      <c r="N7" s="64" t="n"/>
      <c r="O7" s="64" t="n"/>
      <c r="P7" s="64" t="n"/>
      <c r="Q7" s="64" t="n"/>
      <c r="R7" s="64" t="n"/>
      <c r="S7" s="90" t="n"/>
      <c r="T7" s="11" t="n"/>
    </row>
    <row r="8" ht="3" customHeight="1" s="718">
      <c r="A8" s="10" t="n"/>
      <c r="B8" s="3" t="n"/>
      <c r="C8" s="272" t="n"/>
      <c r="D8" s="272" t="n"/>
      <c r="E8" s="272" t="n"/>
      <c r="F8" s="272" t="n"/>
      <c r="G8" s="48" t="n"/>
      <c r="H8" s="48" t="n"/>
      <c r="I8" s="272" t="n"/>
      <c r="J8" s="272" t="n"/>
      <c r="K8" s="48" t="n"/>
      <c r="L8" s="272" t="n"/>
      <c r="M8" s="272" t="n"/>
      <c r="N8" s="272" t="n"/>
      <c r="O8" s="272" t="n"/>
      <c r="P8" s="272" t="n"/>
      <c r="Q8" s="272" t="n"/>
      <c r="R8" s="272" t="n"/>
      <c r="S8" s="202" t="n"/>
      <c r="T8" s="11" t="n"/>
    </row>
    <row r="9" ht="15.75" customHeight="1" s="718">
      <c r="A9" s="10" t="n"/>
      <c r="B9" s="811" t="inlineStr">
        <is>
          <t>KESİCİ BİLGİLERİ</t>
        </is>
      </c>
      <c r="C9" s="130" t="n"/>
      <c r="D9" s="130" t="n"/>
      <c r="E9" s="130" t="n"/>
      <c r="F9" s="130" t="n"/>
      <c r="G9" s="130" t="n"/>
      <c r="H9" s="130" t="n"/>
      <c r="I9" s="130" t="n"/>
      <c r="J9" s="130" t="n"/>
      <c r="K9" s="130" t="n"/>
      <c r="L9" s="130" t="n"/>
      <c r="M9" s="130" t="n"/>
      <c r="N9" s="130" t="n"/>
      <c r="O9" s="130" t="n"/>
      <c r="P9" s="130" t="n"/>
      <c r="Q9" s="130" t="n"/>
      <c r="R9" s="130" t="n"/>
      <c r="S9" s="242" t="n"/>
      <c r="T9" s="11" t="n"/>
    </row>
    <row r="10" ht="3" customHeight="1" s="718">
      <c r="A10" s="10" t="n"/>
      <c r="B10" s="44" t="n"/>
      <c r="C10" s="45" t="n"/>
      <c r="D10" s="45" t="n"/>
      <c r="E10" s="45" t="n"/>
      <c r="F10" s="45" t="n"/>
      <c r="G10" s="45" t="n"/>
      <c r="H10" s="45" t="n"/>
      <c r="I10" s="45" t="n"/>
      <c r="J10" s="45" t="n"/>
      <c r="K10" s="499" t="n"/>
      <c r="L10" s="499" t="n"/>
      <c r="M10" s="723" t="n"/>
      <c r="N10" s="45" t="n"/>
      <c r="O10" s="45" t="n"/>
      <c r="P10" s="45" t="n"/>
      <c r="Q10" s="45" t="n"/>
      <c r="R10" s="45" t="n"/>
      <c r="S10" s="46" t="n"/>
      <c r="T10" s="11" t="n"/>
    </row>
    <row r="11">
      <c r="A11" s="10" t="n"/>
      <c r="B11" s="449" t="inlineStr">
        <is>
          <t>Kesici Markası</t>
        </is>
      </c>
      <c r="F11" s="118" t="inlineStr">
        <is>
          <t>:</t>
        </is>
      </c>
      <c r="G11" s="464" t="inlineStr">
        <is>
          <t>ABB</t>
        </is>
      </c>
      <c r="H11" s="812" t="n"/>
      <c r="I11" s="812" t="n"/>
      <c r="J11" s="812" t="n"/>
      <c r="K11" s="450" t="inlineStr">
        <is>
          <t>Kesici Tipi</t>
        </is>
      </c>
      <c r="N11" s="122" t="inlineStr">
        <is>
          <t xml:space="preserve">: </t>
        </is>
      </c>
      <c r="O11" s="650" t="inlineStr">
        <is>
          <t>USFB-36R</t>
        </is>
      </c>
      <c r="P11" s="812" t="n"/>
      <c r="Q11" s="812" t="n"/>
      <c r="R11" s="812" t="n"/>
      <c r="S11" s="849" t="n"/>
      <c r="T11" s="11" t="n"/>
    </row>
    <row r="12" ht="3" customHeight="1" s="718">
      <c r="A12" s="10" t="n"/>
      <c r="B12" s="449" t="n"/>
      <c r="C12" s="450" t="n"/>
      <c r="D12" s="450" t="n"/>
      <c r="E12" s="450" t="n"/>
      <c r="F12" s="93" t="n"/>
      <c r="G12" s="383" t="n"/>
      <c r="H12" s="383" t="n"/>
      <c r="I12" s="383" t="n"/>
      <c r="J12" s="383" t="n"/>
      <c r="K12" s="430" t="n"/>
      <c r="L12" s="430" t="n"/>
      <c r="M12" s="775" t="n"/>
      <c r="N12" s="272" t="n"/>
      <c r="O12" s="384" t="n"/>
      <c r="P12" s="384" t="n"/>
      <c r="Q12" s="384" t="n"/>
      <c r="R12" s="384" t="n"/>
      <c r="S12" s="385" t="n"/>
      <c r="T12" s="11" t="n"/>
    </row>
    <row r="13">
      <c r="A13" s="10" t="n"/>
      <c r="B13" s="400" t="inlineStr">
        <is>
          <t>Anma Akımı (A)</t>
        </is>
      </c>
      <c r="F13" s="118" t="inlineStr">
        <is>
          <t>:</t>
        </is>
      </c>
      <c r="G13" s="451" t="n">
        <v>630</v>
      </c>
      <c r="H13" s="812" t="n"/>
      <c r="I13" s="812" t="n"/>
      <c r="J13" s="812" t="n"/>
      <c r="K13" s="430" t="inlineStr">
        <is>
          <t>İmal Yılı</t>
        </is>
      </c>
      <c r="N13" s="117" t="inlineStr">
        <is>
          <t>:</t>
        </is>
      </c>
      <c r="O13" s="644" t="inlineStr">
        <is>
          <t>2016</t>
        </is>
      </c>
      <c r="P13" s="812" t="n"/>
      <c r="Q13" s="812" t="n"/>
      <c r="R13" s="812" t="n"/>
      <c r="S13" s="813" t="n"/>
      <c r="T13" s="11" t="n"/>
    </row>
    <row r="14" ht="3" customHeight="1" s="718">
      <c r="A14" s="10" t="n"/>
      <c r="B14" s="449" t="n"/>
      <c r="C14" s="450" t="n"/>
      <c r="D14" s="450" t="n"/>
      <c r="E14" s="450" t="n"/>
      <c r="F14" s="93" t="n"/>
      <c r="G14" s="383" t="n"/>
      <c r="H14" s="383" t="n"/>
      <c r="I14" s="383" t="n"/>
      <c r="J14" s="383" t="n"/>
      <c r="K14" s="430" t="n"/>
      <c r="L14" s="430" t="n"/>
      <c r="M14" s="775" t="n"/>
      <c r="N14" s="272" t="n"/>
      <c r="O14" s="384" t="n"/>
      <c r="P14" s="384" t="n"/>
      <c r="Q14" s="384" t="n"/>
      <c r="R14" s="384" t="n"/>
      <c r="S14" s="385" t="n"/>
      <c r="T14" s="11" t="n"/>
    </row>
    <row r="15">
      <c r="A15" s="10" t="n"/>
      <c r="B15" s="449" t="inlineStr">
        <is>
          <t>Gerilim Seviyesi (V)</t>
        </is>
      </c>
      <c r="F15" s="118" t="inlineStr">
        <is>
          <t xml:space="preserve">:  </t>
        </is>
      </c>
      <c r="G15" s="451" t="n">
        <v>36000</v>
      </c>
      <c r="H15" s="812" t="n"/>
      <c r="I15" s="812" t="n"/>
      <c r="J15" s="812" t="n"/>
      <c r="K15" s="430" t="inlineStr">
        <is>
          <t>Seri Numarası</t>
        </is>
      </c>
      <c r="N15" s="117" t="inlineStr">
        <is>
          <t>:</t>
        </is>
      </c>
      <c r="O15" s="646" t="n">
        <v>2196</v>
      </c>
      <c r="P15" s="812" t="n"/>
      <c r="Q15" s="812" t="n"/>
      <c r="R15" s="812" t="n"/>
      <c r="S15" s="813" t="n"/>
      <c r="T15" s="11" t="n"/>
    </row>
    <row r="16" ht="3" customHeight="1" s="718">
      <c r="A16" s="10" t="n"/>
      <c r="B16" s="449" t="n"/>
      <c r="C16" s="450" t="n"/>
      <c r="D16" s="450" t="n"/>
      <c r="E16" s="450" t="n"/>
      <c r="F16" s="93" t="n"/>
      <c r="G16" s="383" t="n"/>
      <c r="H16" s="383" t="n"/>
      <c r="I16" s="383" t="n"/>
      <c r="J16" s="383" t="n"/>
      <c r="K16" s="430" t="n"/>
      <c r="L16" s="430" t="n"/>
      <c r="M16" s="775" t="n"/>
      <c r="N16" s="272" t="n"/>
      <c r="O16" s="384" t="n"/>
      <c r="P16" s="384" t="n"/>
      <c r="Q16" s="384" t="n"/>
      <c r="R16" s="384" t="n"/>
      <c r="S16" s="385" t="n"/>
      <c r="T16" s="11" t="n"/>
    </row>
    <row r="17" ht="15" customHeight="1" s="718">
      <c r="A17" s="10" t="n"/>
      <c r="B17" s="429" t="inlineStr">
        <is>
          <t>Motor Gerilimi</t>
        </is>
      </c>
      <c r="F17" s="117" t="inlineStr">
        <is>
          <t>:</t>
        </is>
      </c>
      <c r="G17" s="451" t="inlineStr">
        <is>
          <t>220 Vac</t>
        </is>
      </c>
      <c r="H17" s="812" t="n"/>
      <c r="I17" s="812" t="n"/>
      <c r="J17" s="812" t="n"/>
      <c r="K17" s="430" t="inlineStr">
        <is>
          <t>Bobin Gerilimi</t>
        </is>
      </c>
      <c r="N17" s="117" t="inlineStr">
        <is>
          <t>:</t>
        </is>
      </c>
      <c r="O17" s="646" t="inlineStr">
        <is>
          <t>24 Vdc</t>
        </is>
      </c>
      <c r="P17" s="812" t="n"/>
      <c r="Q17" s="812" t="n"/>
      <c r="R17" s="812" t="n"/>
      <c r="S17" s="813" t="n"/>
      <c r="T17" s="11" t="n"/>
    </row>
    <row r="18" ht="3" customHeight="1" s="718">
      <c r="A18" s="10" t="n"/>
      <c r="B18" s="449" t="n"/>
      <c r="C18" s="450" t="n"/>
      <c r="D18" s="450" t="n"/>
      <c r="E18" s="450" t="n"/>
      <c r="F18" s="93" t="n"/>
      <c r="G18" s="272" t="n"/>
      <c r="H18" s="272" t="n"/>
      <c r="I18" s="272" t="n"/>
      <c r="J18" s="272" t="n"/>
      <c r="K18" s="430" t="n"/>
      <c r="L18" s="430" t="n"/>
      <c r="M18" s="775" t="n"/>
      <c r="N18" s="272" t="n"/>
      <c r="O18" s="272" t="n"/>
      <c r="P18" s="272" t="n"/>
      <c r="Q18" s="272" t="n"/>
      <c r="R18" s="272" t="n"/>
      <c r="S18" s="202" t="n"/>
      <c r="T18" s="11" t="n"/>
    </row>
    <row r="19" ht="3" customHeight="1" s="718">
      <c r="A19" s="10" t="n"/>
      <c r="B19" s="109" t="n"/>
      <c r="C19" s="773" t="n"/>
      <c r="D19" s="773" t="n"/>
      <c r="E19" s="773" t="n"/>
      <c r="F19" s="139" t="n"/>
      <c r="G19" s="139" t="n"/>
      <c r="H19" s="139" t="n"/>
      <c r="I19" s="139" t="n"/>
      <c r="J19" s="139" t="n"/>
      <c r="K19" s="585" t="n"/>
      <c r="L19" s="585" t="n"/>
      <c r="M19" s="585" t="n"/>
      <c r="N19" s="139" t="n"/>
      <c r="O19" s="139" t="n"/>
      <c r="P19" s="139" t="n"/>
      <c r="Q19" s="139" t="n"/>
      <c r="R19" s="139" t="n"/>
      <c r="S19" s="361" t="n"/>
      <c r="T19" s="11" t="n"/>
    </row>
    <row r="20" ht="3" customHeight="1" s="718">
      <c r="A20" s="10" t="n"/>
      <c r="B20" s="449" t="n"/>
      <c r="C20" s="450" t="n"/>
      <c r="D20" s="450" t="n"/>
      <c r="E20" s="450" t="n"/>
      <c r="F20" s="93" t="n"/>
      <c r="G20" s="272" t="n"/>
      <c r="H20" s="272" t="n"/>
      <c r="I20" s="272" t="n"/>
      <c r="J20" s="272" t="n"/>
      <c r="K20" s="430" t="n"/>
      <c r="L20" s="430" t="n"/>
      <c r="M20" s="775" t="n"/>
      <c r="N20" s="272" t="n"/>
      <c r="O20" s="272" t="n"/>
      <c r="P20" s="272" t="n"/>
      <c r="Q20" s="272" t="n"/>
      <c r="R20" s="272" t="n"/>
      <c r="S20" s="202" t="n"/>
      <c r="T20" s="11" t="n"/>
    </row>
    <row r="21" ht="15.75" customHeight="1" s="718">
      <c r="A21" s="10" t="n"/>
      <c r="B21" s="811" t="inlineStr">
        <is>
          <t>KONTROLLER</t>
        </is>
      </c>
      <c r="C21" s="130" t="n"/>
      <c r="D21" s="130" t="n"/>
      <c r="E21" s="130" t="n"/>
      <c r="F21" s="130" t="n"/>
      <c r="G21" s="130" t="n"/>
      <c r="H21" s="130" t="n"/>
      <c r="I21" s="130" t="n"/>
      <c r="J21" s="130" t="n"/>
      <c r="K21" s="130" t="n"/>
      <c r="L21" s="130" t="n"/>
      <c r="M21" s="130" t="n"/>
      <c r="N21" s="130" t="n"/>
      <c r="O21" s="130" t="n"/>
      <c r="P21" s="130" t="n"/>
      <c r="Q21" s="130" t="n"/>
      <c r="R21" s="130" t="n"/>
      <c r="S21" s="242" t="n"/>
      <c r="T21" s="11" t="n"/>
    </row>
    <row r="22" ht="15" customHeight="1" s="718">
      <c r="A22" s="10" t="n"/>
      <c r="B22" s="3" t="n"/>
      <c r="C22" s="272" t="n"/>
      <c r="D22" s="272" t="n"/>
      <c r="E22" s="272" t="n"/>
      <c r="F22" s="272" t="n"/>
      <c r="G22" s="272" t="n"/>
      <c r="H22" s="272" t="n"/>
      <c r="I22" s="55" t="inlineStr">
        <is>
          <t>Evet</t>
        </is>
      </c>
      <c r="J22" s="55" t="inlineStr">
        <is>
          <t>Hayır</t>
        </is>
      </c>
      <c r="K22" s="272" t="n"/>
      <c r="L22" s="272" t="n"/>
      <c r="M22" s="272" t="n"/>
      <c r="N22" s="272" t="n"/>
      <c r="O22" s="272" t="n"/>
      <c r="P22" s="272" t="n"/>
      <c r="Q22" s="272" t="n"/>
      <c r="R22" s="55" t="inlineStr">
        <is>
          <t>Evet</t>
        </is>
      </c>
      <c r="S22" s="55" t="inlineStr">
        <is>
          <t>Hayır</t>
        </is>
      </c>
      <c r="T22" s="11" t="n"/>
    </row>
    <row r="23" ht="3.75" customHeight="1" s="718">
      <c r="A23" s="10" t="n"/>
      <c r="B23" s="3" t="n"/>
      <c r="C23" s="272" t="n"/>
      <c r="D23" s="272" t="n"/>
      <c r="E23" s="272" t="n"/>
      <c r="F23" s="272" t="n"/>
      <c r="G23" s="272" t="n"/>
      <c r="H23" s="272" t="n"/>
      <c r="I23" s="272" t="n"/>
      <c r="J23" s="272" t="n"/>
      <c r="K23" s="272" t="n"/>
      <c r="L23" s="272" t="n"/>
      <c r="M23" s="272" t="n"/>
      <c r="N23" s="272" t="n"/>
      <c r="O23" s="272" t="n"/>
      <c r="P23" s="272" t="n"/>
      <c r="Q23" s="272" t="n"/>
      <c r="R23" s="272" t="n"/>
      <c r="S23" s="202" t="n"/>
      <c r="T23" s="11" t="n"/>
    </row>
    <row r="24">
      <c r="A24" s="10" t="n"/>
      <c r="B24" s="449" t="inlineStr">
        <is>
          <t xml:space="preserve">Kesici Görsel Kontrolü </t>
        </is>
      </c>
      <c r="F24" s="118" t="inlineStr">
        <is>
          <t>:</t>
        </is>
      </c>
      <c r="G24" s="472" t="inlineStr">
        <is>
          <t>UYGUN</t>
        </is>
      </c>
      <c r="H24" s="813" t="n"/>
      <c r="I24" s="386" t="inlineStr">
        <is>
          <t>ü</t>
        </is>
      </c>
      <c r="J24" s="229" t="n"/>
      <c r="K24" s="450" t="inlineStr">
        <is>
          <t>Kesici Temizliği</t>
        </is>
      </c>
      <c r="O24" s="118" t="inlineStr">
        <is>
          <t>:</t>
        </is>
      </c>
      <c r="P24" s="472" t="inlineStr">
        <is>
          <t>YAPILDI</t>
        </is>
      </c>
      <c r="Q24" s="813" t="n"/>
      <c r="R24" s="386" t="inlineStr">
        <is>
          <t>ü</t>
        </is>
      </c>
      <c r="S24" s="229" t="n"/>
      <c r="T24" s="11" t="n"/>
    </row>
    <row r="25" ht="3.75" customHeight="1" s="718">
      <c r="A25" s="10" t="n"/>
      <c r="B25" s="96" t="n"/>
      <c r="C25" s="93" t="n"/>
      <c r="D25" s="93" t="n"/>
      <c r="E25" s="93" t="n"/>
      <c r="F25" s="93" t="n"/>
      <c r="G25" s="387" t="n"/>
      <c r="H25" s="387" t="n"/>
      <c r="I25" s="388" t="n"/>
      <c r="J25" s="125" t="n"/>
      <c r="K25" s="93" t="n"/>
      <c r="L25" s="93" t="n"/>
      <c r="M25" s="93" t="n"/>
      <c r="N25" s="93" t="n"/>
      <c r="O25" s="93" t="n"/>
      <c r="P25" s="388" t="n"/>
      <c r="Q25" s="388" t="n"/>
      <c r="R25" s="388" t="n"/>
      <c r="S25" s="156" t="n"/>
      <c r="T25" s="11" t="n"/>
    </row>
    <row r="26">
      <c r="A26" s="10" t="n"/>
      <c r="B26" s="449" t="inlineStr">
        <is>
          <t>DC Redresör Kontrolü</t>
        </is>
      </c>
      <c r="F26" s="118" t="inlineStr">
        <is>
          <t>:</t>
        </is>
      </c>
      <c r="G26" s="389" t="n">
        <v>24</v>
      </c>
      <c r="H26" s="472" t="inlineStr">
        <is>
          <t>Vdc</t>
        </is>
      </c>
      <c r="I26" s="386" t="inlineStr">
        <is>
          <t>ü</t>
        </is>
      </c>
      <c r="J26" s="229" t="n"/>
      <c r="K26" s="450" t="inlineStr">
        <is>
          <t>Hücre Temizliği</t>
        </is>
      </c>
      <c r="O26" s="118" t="inlineStr">
        <is>
          <t>:</t>
        </is>
      </c>
      <c r="P26" s="472" t="inlineStr">
        <is>
          <t>YAPILDI</t>
        </is>
      </c>
      <c r="Q26" s="813" t="n"/>
      <c r="R26" s="386" t="inlineStr">
        <is>
          <t>ü</t>
        </is>
      </c>
      <c r="S26" s="229" t="n"/>
      <c r="T26" s="11" t="n"/>
    </row>
    <row r="27" ht="3.75" customHeight="1" s="718">
      <c r="A27" s="10" t="n"/>
      <c r="B27" s="96" t="n"/>
      <c r="C27" s="93" t="n"/>
      <c r="D27" s="93" t="n"/>
      <c r="E27" s="93" t="n"/>
      <c r="F27" s="93" t="n"/>
      <c r="G27" s="387" t="n"/>
      <c r="H27" s="387" t="n"/>
      <c r="I27" s="388" t="n"/>
      <c r="J27" s="125" t="n"/>
      <c r="K27" s="93" t="n"/>
      <c r="L27" s="93" t="n"/>
      <c r="M27" s="93" t="n"/>
      <c r="N27" s="93" t="n"/>
      <c r="O27" s="93" t="n"/>
      <c r="P27" s="388" t="n"/>
      <c r="Q27" s="388" t="n"/>
      <c r="R27" s="388" t="n"/>
      <c r="S27" s="156" t="n"/>
      <c r="T27" s="11" t="n"/>
    </row>
    <row r="28">
      <c r="A28" s="10" t="n"/>
      <c r="B28" s="449" t="inlineStr">
        <is>
          <t>İndikatör Kontrolü</t>
        </is>
      </c>
      <c r="F28" s="118" t="inlineStr">
        <is>
          <t>:</t>
        </is>
      </c>
      <c r="G28" s="472" t="inlineStr">
        <is>
          <t>UYGUN</t>
        </is>
      </c>
      <c r="H28" s="813" t="n"/>
      <c r="I28" s="386" t="inlineStr">
        <is>
          <t>ü</t>
        </is>
      </c>
      <c r="J28" s="124" t="n"/>
      <c r="K28" s="450" t="inlineStr">
        <is>
          <t>Bara Kontrolü</t>
        </is>
      </c>
      <c r="O28" s="150" t="inlineStr">
        <is>
          <t xml:space="preserve">: </t>
        </is>
      </c>
      <c r="P28" s="472" t="inlineStr">
        <is>
          <t>UYGUN</t>
        </is>
      </c>
      <c r="Q28" s="813" t="n"/>
      <c r="R28" s="386" t="inlineStr">
        <is>
          <t>ü</t>
        </is>
      </c>
      <c r="S28" s="124" t="n"/>
      <c r="T28" s="11" t="n"/>
    </row>
    <row r="29" ht="3.75" customHeight="1" s="718">
      <c r="A29" s="10" t="n"/>
      <c r="B29" s="96" t="n"/>
      <c r="C29" s="93" t="n"/>
      <c r="D29" s="93" t="n"/>
      <c r="E29" s="93" t="n"/>
      <c r="F29" s="93" t="n"/>
      <c r="G29" s="387" t="n"/>
      <c r="H29" s="387" t="n"/>
      <c r="I29" s="388" t="n"/>
      <c r="J29" s="125" t="n"/>
      <c r="K29" s="93" t="n"/>
      <c r="L29" s="93" t="n"/>
      <c r="M29" s="93" t="n"/>
      <c r="N29" s="93" t="n"/>
      <c r="O29" s="93" t="n"/>
      <c r="P29" s="388" t="n"/>
      <c r="Q29" s="388" t="n"/>
      <c r="R29" s="388" t="n"/>
      <c r="S29" s="156" t="n"/>
      <c r="T29" s="11" t="n"/>
    </row>
    <row r="30">
      <c r="A30" s="10" t="n"/>
      <c r="B30" s="449" t="inlineStr">
        <is>
          <t>Mekanik Konrolü</t>
        </is>
      </c>
      <c r="F30" s="118" t="inlineStr">
        <is>
          <t>:</t>
        </is>
      </c>
      <c r="G30" s="472" t="inlineStr">
        <is>
          <t>UYGUN</t>
        </is>
      </c>
      <c r="H30" s="813" t="n"/>
      <c r="I30" s="386" t="inlineStr">
        <is>
          <t>ü</t>
        </is>
      </c>
      <c r="J30" s="124" t="n"/>
      <c r="K30" s="450" t="inlineStr">
        <is>
          <t>Isıtıcı Kontrolü</t>
        </is>
      </c>
      <c r="O30" s="118" t="inlineStr">
        <is>
          <t>:</t>
        </is>
      </c>
      <c r="P30" s="472" t="inlineStr">
        <is>
          <t>UYGUN</t>
        </is>
      </c>
      <c r="Q30" s="813" t="n"/>
      <c r="R30" s="386" t="inlineStr">
        <is>
          <t>ü</t>
        </is>
      </c>
      <c r="S30" s="124" t="n"/>
      <c r="T30" s="11" t="n"/>
    </row>
    <row r="31" ht="3.75" customHeight="1" s="718">
      <c r="A31" s="10" t="n"/>
      <c r="B31" s="96" t="n"/>
      <c r="C31" s="93" t="n"/>
      <c r="D31" s="93" t="n"/>
      <c r="E31" s="93" t="n"/>
      <c r="F31" s="93" t="n"/>
      <c r="G31" s="387" t="n"/>
      <c r="H31" s="387" t="n"/>
      <c r="I31" s="388" t="n"/>
      <c r="J31" s="125" t="n"/>
      <c r="K31" s="93" t="n"/>
      <c r="L31" s="93" t="n"/>
      <c r="M31" s="93" t="n"/>
      <c r="N31" s="93" t="n"/>
      <c r="O31" s="93" t="n"/>
      <c r="P31" s="388" t="n"/>
      <c r="Q31" s="388" t="n"/>
      <c r="R31" s="388" t="n"/>
      <c r="S31" s="156" t="n"/>
      <c r="T31" s="11" t="n"/>
    </row>
    <row r="32">
      <c r="A32" s="10" t="n"/>
      <c r="B32" s="449" t="inlineStr">
        <is>
          <t>Kablo Başlığı Kontrolü</t>
        </is>
      </c>
      <c r="F32" s="144" t="inlineStr">
        <is>
          <t>:</t>
        </is>
      </c>
      <c r="G32" s="472" t="inlineStr">
        <is>
          <t>UYGUN</t>
        </is>
      </c>
      <c r="H32" s="813" t="n"/>
      <c r="I32" s="386" t="inlineStr">
        <is>
          <t>ü</t>
        </is>
      </c>
      <c r="J32" s="124" t="n"/>
      <c r="K32" s="450" t="inlineStr">
        <is>
          <t>A.A Röle Kontrolü</t>
        </is>
      </c>
      <c r="O32" s="145" t="inlineStr">
        <is>
          <t>:</t>
        </is>
      </c>
      <c r="P32" s="472" t="inlineStr">
        <is>
          <t>UYGUN</t>
        </is>
      </c>
      <c r="Q32" s="813" t="n"/>
      <c r="R32" s="386" t="inlineStr">
        <is>
          <t>ü</t>
        </is>
      </c>
      <c r="S32" s="124" t="n"/>
      <c r="T32" s="11" t="n"/>
    </row>
    <row r="33" ht="3.75" customHeight="1" s="718">
      <c r="A33" s="10" t="n"/>
      <c r="B33" s="96" t="n"/>
      <c r="C33" s="93" t="n"/>
      <c r="D33" s="93" t="n"/>
      <c r="E33" s="93" t="n"/>
      <c r="F33" s="93" t="n"/>
      <c r="G33" s="93" t="n"/>
      <c r="H33" s="93" t="n"/>
      <c r="I33" s="125" t="n"/>
      <c r="J33" s="125" t="n"/>
      <c r="K33" s="93" t="n"/>
      <c r="L33" s="93" t="n"/>
      <c r="M33" s="93" t="n"/>
      <c r="N33" s="93" t="n"/>
      <c r="O33" s="93" t="n"/>
      <c r="P33" s="125" t="n"/>
      <c r="Q33" s="125" t="n"/>
      <c r="R33" s="125" t="n"/>
      <c r="S33" s="156" t="n"/>
      <c r="T33" s="11" t="n"/>
    </row>
    <row r="34" ht="15" customHeight="1" s="718">
      <c r="A34" s="10" t="n"/>
      <c r="B34" s="230" t="n"/>
      <c r="C34" s="231" t="n"/>
      <c r="D34" s="231" t="n"/>
      <c r="E34" s="231" t="n"/>
      <c r="F34" s="231" t="n"/>
      <c r="G34" s="231" t="n"/>
      <c r="H34" s="231" t="n"/>
      <c r="I34" s="231" t="n"/>
      <c r="J34" s="231" t="n"/>
      <c r="K34" s="231" t="n"/>
      <c r="L34" s="231" t="n"/>
      <c r="M34" s="231" t="n"/>
      <c r="N34" s="231" t="n"/>
      <c r="O34" s="231" t="n"/>
      <c r="P34" s="231" t="n"/>
      <c r="Q34" s="231" t="n"/>
      <c r="R34" s="231" t="n"/>
      <c r="S34" s="232" t="n"/>
      <c r="T34" s="11" t="n"/>
    </row>
    <row r="35" ht="15.75" customHeight="1" s="718">
      <c r="A35" s="10" t="n"/>
      <c r="B35" s="811" t="n"/>
      <c r="C35" s="70" t="n"/>
      <c r="D35" s="70" t="n"/>
      <c r="E35" s="70" t="n"/>
      <c r="F35" s="70" t="n"/>
      <c r="G35" s="70" t="n"/>
      <c r="H35" s="70" t="n"/>
      <c r="I35" s="70" t="n"/>
      <c r="J35" s="70" t="n"/>
      <c r="K35" s="70" t="n"/>
      <c r="L35" s="70" t="n"/>
      <c r="M35" s="70" t="n"/>
      <c r="N35" s="70" t="n"/>
      <c r="O35" s="70" t="n"/>
      <c r="P35" s="70" t="n"/>
      <c r="Q35" s="70" t="n"/>
      <c r="R35" s="70" t="n"/>
      <c r="S35" s="359" t="n"/>
      <c r="T35" s="11" t="n"/>
      <c r="V35" s="76" t="n"/>
      <c r="W35" s="76" t="n"/>
      <c r="X35" s="76" t="n"/>
      <c r="AE35" s="76" t="n"/>
      <c r="AF35" s="76" t="n"/>
      <c r="AG35" s="76" t="n"/>
      <c r="AH35" s="76" t="n"/>
      <c r="AI35" s="76" t="n"/>
      <c r="AJ35" s="76" t="n"/>
      <c r="AK35" s="76" t="n"/>
      <c r="AL35" s="76" t="n"/>
      <c r="AM35" s="76" t="n"/>
      <c r="AN35" s="76" t="n"/>
    </row>
    <row r="36" ht="3" customHeight="1" s="718">
      <c r="A36" s="10" t="n"/>
      <c r="B36" s="85" t="n"/>
      <c r="S36" s="360"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718">
      <c r="A37" s="10" t="n"/>
      <c r="B37" s="85" t="n"/>
      <c r="S37" s="360"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718">
      <c r="A38" s="10" t="n"/>
      <c r="B38" s="85" t="n"/>
      <c r="S38" s="360"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718">
      <c r="A39" s="10" t="n"/>
      <c r="B39" s="85" t="n"/>
      <c r="S39" s="360"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718">
      <c r="A40" s="10" t="n"/>
      <c r="B40" s="85" t="n"/>
      <c r="S40" s="360"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718">
      <c r="A41" s="10" t="n"/>
      <c r="B41" s="85" t="n"/>
      <c r="S41" s="360"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718">
      <c r="A42" s="10" t="n"/>
      <c r="B42" s="85" t="n"/>
      <c r="S42" s="360"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718">
      <c r="A43" s="10" t="n"/>
      <c r="B43" s="62" t="n"/>
      <c r="C43" s="139" t="n"/>
      <c r="D43" s="139" t="n"/>
      <c r="E43" s="139" t="n"/>
      <c r="F43" s="139" t="n"/>
      <c r="G43" s="139" t="n"/>
      <c r="H43" s="139" t="n"/>
      <c r="I43" s="139" t="n"/>
      <c r="J43" s="139" t="n"/>
      <c r="K43" s="139" t="n"/>
      <c r="L43" s="139" t="n"/>
      <c r="M43" s="139" t="n"/>
      <c r="N43" s="139" t="n"/>
      <c r="O43" s="139" t="n"/>
      <c r="P43" s="139" t="n"/>
      <c r="Q43" s="139" t="n"/>
      <c r="R43" s="139" t="n"/>
      <c r="S43" s="361"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718">
      <c r="A44" s="10" t="n"/>
      <c r="B44" s="47" t="n"/>
      <c r="C44" s="48" t="n"/>
      <c r="D44" s="48" t="n"/>
      <c r="E44" s="48" t="n"/>
      <c r="F44" s="48" t="n"/>
      <c r="G44" s="48" t="n"/>
      <c r="H44" s="48" t="n"/>
      <c r="I44" s="48" t="n"/>
      <c r="J44" s="48" t="n"/>
      <c r="K44" s="48" t="n"/>
      <c r="L44" s="48" t="n"/>
      <c r="M44" s="48" t="n"/>
      <c r="N44" s="48" t="n"/>
      <c r="O44" s="48" t="n"/>
      <c r="P44" s="48" t="n"/>
      <c r="Q44" s="48" t="n"/>
      <c r="R44" s="48" t="n"/>
      <c r="S44" s="102"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718">
      <c r="A45" s="10" t="n"/>
      <c r="B45" s="3" t="n"/>
      <c r="C45" s="272" t="n"/>
      <c r="D45" s="272" t="n"/>
      <c r="E45" s="272" t="n"/>
      <c r="F45" s="272" t="n"/>
      <c r="G45" s="272" t="n"/>
      <c r="H45" s="272" t="n"/>
      <c r="I45" s="272" t="n"/>
      <c r="J45" s="272" t="n"/>
      <c r="K45" s="272" t="n"/>
      <c r="L45" s="272" t="n"/>
      <c r="M45" s="272" t="n"/>
      <c r="N45" s="272" t="n"/>
      <c r="O45" s="272" t="n"/>
      <c r="P45" s="272" t="n"/>
      <c r="Q45" s="272" t="n"/>
      <c r="R45" s="272" t="n"/>
      <c r="S45" s="202" t="n"/>
      <c r="T45" s="11" t="n"/>
      <c r="V45" s="775" t="n"/>
      <c r="X45" s="76" t="n"/>
      <c r="Y45" s="76" t="n"/>
      <c r="Z45" s="76" t="n"/>
      <c r="AA45" s="76" t="n"/>
      <c r="AB45" s="76" t="n"/>
      <c r="AC45" s="76" t="n"/>
      <c r="AD45" s="76" t="n"/>
      <c r="AE45" s="76" t="n"/>
      <c r="AF45" s="76" t="n"/>
      <c r="AG45" s="76" t="n"/>
      <c r="AH45" s="76" t="n"/>
      <c r="AI45" s="76" t="n"/>
      <c r="AJ45" s="76" t="n"/>
      <c r="AK45" s="76" t="n"/>
      <c r="AL45" s="76" t="n"/>
      <c r="AM45" s="76" t="n"/>
      <c r="AN45" s="76" t="n"/>
    </row>
    <row r="46" ht="15.75" customHeight="1" s="718">
      <c r="A46" s="10" t="n"/>
      <c r="B46" s="811" t="inlineStr">
        <is>
          <t>KESİCİ İZOLASYON DİRENCİ (GΩ)</t>
        </is>
      </c>
      <c r="C46" s="130" t="n"/>
      <c r="D46" s="130" t="n"/>
      <c r="E46" s="130" t="n"/>
      <c r="F46" s="130" t="n"/>
      <c r="G46" s="130" t="n"/>
      <c r="H46" s="130" t="n"/>
      <c r="I46" s="130" t="n"/>
      <c r="J46" s="242" t="n"/>
      <c r="K46" s="811" t="inlineStr">
        <is>
          <t>KESİCİ KONTAK DİRENCİ (Ω)</t>
        </is>
      </c>
      <c r="L46" s="130" t="n"/>
      <c r="M46" s="130" t="n"/>
      <c r="N46" s="130" t="n"/>
      <c r="O46" s="130" t="n"/>
      <c r="P46" s="130" t="n"/>
      <c r="Q46" s="130" t="n"/>
      <c r="R46" s="130" t="n"/>
      <c r="S46" s="242"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t="3" customHeight="1" s="718">
      <c r="A47" s="10" t="n"/>
      <c r="B47" s="3" t="n"/>
      <c r="C47" s="272" t="n"/>
      <c r="D47" s="272" t="n"/>
      <c r="E47" s="272" t="n"/>
      <c r="F47" s="272" t="n"/>
      <c r="G47" s="272" t="n"/>
      <c r="H47" s="272" t="n"/>
      <c r="I47" s="272" t="n"/>
      <c r="J47" s="202" t="n"/>
      <c r="K47" s="3" t="n"/>
      <c r="L47" s="272" t="n"/>
      <c r="M47" s="272" t="n"/>
      <c r="N47" s="45" t="n"/>
      <c r="O47" s="272" t="n"/>
      <c r="P47" s="272" t="n"/>
      <c r="Q47" s="45" t="n"/>
      <c r="R47" s="272" t="n"/>
      <c r="S47" s="202"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t="15" customHeight="1" s="718">
      <c r="A48" s="10" t="n"/>
      <c r="B48" s="3" t="n"/>
      <c r="C48" s="743" t="inlineStr">
        <is>
          <t>TEST VOLTAJI</t>
        </is>
      </c>
      <c r="D48" s="130" t="n"/>
      <c r="E48" s="130" t="n"/>
      <c r="F48" s="242" t="n"/>
      <c r="G48" s="743" t="inlineStr">
        <is>
          <t>SONUÇ</t>
        </is>
      </c>
      <c r="H48" s="130" t="n"/>
      <c r="I48" s="130" t="n"/>
      <c r="J48" s="242" t="n"/>
      <c r="K48" s="743" t="inlineStr">
        <is>
          <t>TEST AKIMI</t>
        </is>
      </c>
      <c r="L48" s="130" t="n"/>
      <c r="M48" s="130" t="n"/>
      <c r="N48" s="242" t="n"/>
      <c r="O48" s="743" t="inlineStr">
        <is>
          <t>SONUÇ</t>
        </is>
      </c>
      <c r="P48" s="130" t="n"/>
      <c r="Q48" s="130" t="n"/>
      <c r="R48" s="130" t="n"/>
      <c r="S48" s="242"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t="3" customHeight="1" s="718">
      <c r="A49" s="10" t="n"/>
      <c r="B49" s="3" t="n"/>
      <c r="C49" s="272" t="n"/>
      <c r="D49" s="272" t="n"/>
      <c r="E49" s="272" t="n"/>
      <c r="F49" s="272" t="n"/>
      <c r="G49" s="272" t="n"/>
      <c r="H49" s="272" t="n"/>
      <c r="I49" s="272" t="n"/>
      <c r="J49" s="202" t="n"/>
      <c r="K49" s="3" t="n"/>
      <c r="L49" s="272" t="n"/>
      <c r="M49" s="272" t="n"/>
      <c r="N49" s="272" t="n"/>
      <c r="O49" s="272" t="n"/>
      <c r="P49" s="272" t="n"/>
      <c r="Q49" s="272" t="n"/>
      <c r="R49" s="272" t="n"/>
      <c r="S49" s="202"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t="15" customHeight="1" s="718">
      <c r="A50" s="10" t="n"/>
      <c r="B50" s="233" t="inlineStr">
        <is>
          <t>L-1</t>
        </is>
      </c>
      <c r="C50" s="660" t="inlineStr">
        <is>
          <t>10.00</t>
        </is>
      </c>
      <c r="D50" s="130" t="n"/>
      <c r="E50" s="130" t="n"/>
      <c r="F50" s="235" t="inlineStr">
        <is>
          <t>kV</t>
        </is>
      </c>
      <c r="G50" s="662" t="n">
        <v>20000</v>
      </c>
      <c r="H50" s="130" t="n"/>
      <c r="I50" s="234" t="inlineStr">
        <is>
          <t>GΩ</t>
        </is>
      </c>
      <c r="J50" s="664">
        <f>IF(G50&gt;50,1,0)</f>
        <v/>
      </c>
      <c r="K50" s="233" t="inlineStr">
        <is>
          <t>80.00A</t>
        </is>
      </c>
      <c r="L50" s="130" t="n"/>
      <c r="M50" s="130" t="n"/>
      <c r="N50" s="242" t="n"/>
      <c r="O50" s="667" t="n">
        <v>110</v>
      </c>
      <c r="P50" s="130" t="n"/>
      <c r="Q50" s="130" t="n"/>
      <c r="R50" s="234" t="inlineStr">
        <is>
          <t>µΩ</t>
        </is>
      </c>
      <c r="S50" s="743">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t="3" customHeight="1" s="718">
      <c r="A51" s="10" t="n"/>
      <c r="B51" s="237" t="n"/>
      <c r="C51" s="238" t="n"/>
      <c r="D51" s="238" t="n"/>
      <c r="E51" s="238" t="n"/>
      <c r="F51" s="239" t="n"/>
      <c r="G51" s="382" t="n"/>
      <c r="H51" s="382" t="n"/>
      <c r="I51" s="238" t="n"/>
      <c r="J51" s="238" t="n"/>
      <c r="K51" s="238" t="n"/>
      <c r="L51" s="238" t="n"/>
      <c r="M51" s="238" t="n"/>
      <c r="N51" s="238" t="n"/>
      <c r="O51" s="381" t="n"/>
      <c r="P51" s="381" t="n"/>
      <c r="Q51" s="381" t="n"/>
      <c r="R51" s="238" t="n"/>
      <c r="S51" s="202"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t="15" customHeight="1" s="718">
      <c r="A52" s="10" t="n"/>
      <c r="B52" s="233" t="inlineStr">
        <is>
          <t>L-2</t>
        </is>
      </c>
      <c r="C52" s="660" t="inlineStr">
        <is>
          <t>10.00</t>
        </is>
      </c>
      <c r="D52" s="130" t="n"/>
      <c r="E52" s="130" t="n"/>
      <c r="F52" s="235" t="inlineStr">
        <is>
          <t>kV</t>
        </is>
      </c>
      <c r="G52" s="662" t="n">
        <v>20000</v>
      </c>
      <c r="H52" s="130" t="n"/>
      <c r="I52" s="234" t="inlineStr">
        <is>
          <t>GΩ</t>
        </is>
      </c>
      <c r="J52" s="664">
        <f>IF(G52&gt;50,1,0)</f>
        <v/>
      </c>
      <c r="K52" s="233" t="inlineStr">
        <is>
          <t>80.00A</t>
        </is>
      </c>
      <c r="L52" s="130" t="n"/>
      <c r="M52" s="130" t="n"/>
      <c r="N52" s="242" t="n"/>
      <c r="O52" s="665" t="n">
        <v>40</v>
      </c>
      <c r="P52" s="130" t="n"/>
      <c r="Q52" s="130" t="n"/>
      <c r="R52" s="234" t="inlineStr">
        <is>
          <t>µΩ</t>
        </is>
      </c>
      <c r="S52" s="743">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t="3" customHeight="1" s="718">
      <c r="A53" s="10" t="n"/>
      <c r="B53" s="237" t="n"/>
      <c r="C53" s="238" t="n"/>
      <c r="D53" s="238" t="n"/>
      <c r="E53" s="238" t="n"/>
      <c r="F53" s="239" t="n"/>
      <c r="G53" s="382" t="n"/>
      <c r="H53" s="382" t="n"/>
      <c r="I53" s="238" t="n"/>
      <c r="J53" s="238" t="n"/>
      <c r="K53" s="238" t="n"/>
      <c r="L53" s="238" t="n"/>
      <c r="M53" s="238" t="n"/>
      <c r="N53" s="238" t="n"/>
      <c r="O53" s="381" t="n"/>
      <c r="P53" s="381" t="n"/>
      <c r="Q53" s="381" t="n"/>
      <c r="R53" s="238" t="n"/>
      <c r="S53" s="202"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t="17.25" customHeight="1" s="718">
      <c r="A54" s="10" t="n"/>
      <c r="B54" s="233" t="inlineStr">
        <is>
          <t>L-3</t>
        </is>
      </c>
      <c r="C54" s="660" t="inlineStr">
        <is>
          <t>10.00</t>
        </is>
      </c>
      <c r="D54" s="130" t="n"/>
      <c r="E54" s="130" t="n"/>
      <c r="F54" s="235" t="inlineStr">
        <is>
          <t>kV</t>
        </is>
      </c>
      <c r="G54" s="662" t="n">
        <v>20000</v>
      </c>
      <c r="H54" s="130" t="n"/>
      <c r="I54" s="234" t="inlineStr">
        <is>
          <t>GΩ</t>
        </is>
      </c>
      <c r="J54" s="664">
        <f>IF(G54&gt;50,1,0)</f>
        <v/>
      </c>
      <c r="K54" s="233" t="inlineStr">
        <is>
          <t>80.00A</t>
        </is>
      </c>
      <c r="L54" s="130" t="n"/>
      <c r="M54" s="130" t="n"/>
      <c r="N54" s="242" t="n"/>
      <c r="O54" s="665" t="n">
        <v>54</v>
      </c>
      <c r="P54" s="130" t="n"/>
      <c r="Q54" s="130" t="n"/>
      <c r="R54" s="234" t="inlineStr">
        <is>
          <t>µΩ</t>
        </is>
      </c>
      <c r="S54" s="743">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t="3" customHeight="1" s="718">
      <c r="A55" s="10" t="n"/>
      <c r="B55" s="47" t="n"/>
      <c r="C55" s="48" t="n"/>
      <c r="D55" s="48" t="n"/>
      <c r="E55" s="48" t="n"/>
      <c r="F55" s="48" t="n"/>
      <c r="G55" s="48" t="n"/>
      <c r="H55" s="48" t="n"/>
      <c r="I55" s="48" t="n"/>
      <c r="J55" s="48" t="n"/>
      <c r="K55" s="640" t="n"/>
      <c r="L55" s="139" t="n"/>
      <c r="M55" s="139" t="n"/>
      <c r="N55" s="139" t="n"/>
      <c r="O55" s="139" t="n"/>
      <c r="P55" s="139" t="n"/>
      <c r="Q55" s="139" t="n"/>
      <c r="R55" s="139" t="n"/>
      <c r="S55" s="361"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t="15" customHeight="1" s="718">
      <c r="A56" s="10" t="n"/>
      <c r="B56" s="3" t="n"/>
      <c r="C56" s="272" t="n"/>
      <c r="D56" s="272" t="n"/>
      <c r="E56" s="272" t="n"/>
      <c r="F56" s="272" t="n"/>
      <c r="G56" s="272" t="n"/>
      <c r="H56" s="272" t="n"/>
      <c r="I56" s="272" t="n"/>
      <c r="J56" s="272" t="n"/>
      <c r="K56" s="272" t="n"/>
      <c r="L56" s="272" t="n"/>
      <c r="M56" s="272" t="n"/>
      <c r="N56" s="272" t="n"/>
      <c r="O56" s="272" t="n"/>
      <c r="P56" s="272" t="n"/>
      <c r="Q56" s="272" t="n"/>
      <c r="R56" s="272" t="n"/>
      <c r="S56" s="202"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718">
      <c r="A57" s="10" t="n"/>
      <c r="B57" s="811" t="inlineStr">
        <is>
          <t>KESİCİ ACMA / KAPAMA ZAMANI</t>
        </is>
      </c>
      <c r="C57" s="130" t="n"/>
      <c r="D57" s="130" t="n"/>
      <c r="E57" s="130" t="n"/>
      <c r="F57" s="130" t="n"/>
      <c r="G57" s="130" t="n"/>
      <c r="H57" s="130" t="n"/>
      <c r="I57" s="130" t="n"/>
      <c r="J57" s="130" t="n"/>
      <c r="K57" s="130" t="n"/>
      <c r="L57" s="130" t="n"/>
      <c r="M57" s="130" t="n"/>
      <c r="N57" s="130" t="n"/>
      <c r="O57" s="130" t="n"/>
      <c r="P57" s="130" t="n"/>
      <c r="Q57" s="130" t="n"/>
      <c r="R57" s="130" t="n"/>
      <c r="S57" s="242"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718">
      <c r="A58" s="10" t="n"/>
      <c r="B58" s="3" t="n"/>
      <c r="C58" s="272" t="n"/>
      <c r="D58" s="272" t="n"/>
      <c r="E58" s="272" t="n"/>
      <c r="F58" s="272" t="n"/>
      <c r="G58" s="24" t="n"/>
      <c r="H58" s="272" t="n"/>
      <c r="I58" s="272" t="n"/>
      <c r="J58" s="272" t="n"/>
      <c r="K58" s="272" t="n"/>
      <c r="L58" s="272" t="n"/>
      <c r="M58" s="272" t="n"/>
      <c r="N58" s="272" t="n"/>
      <c r="O58" s="272" t="n"/>
      <c r="P58" s="272" t="n"/>
      <c r="Q58" s="272" t="n"/>
      <c r="R58" s="272" t="n"/>
      <c r="S58" s="202"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718">
      <c r="A59" s="10" t="n"/>
      <c r="B59" s="240" t="n"/>
      <c r="C59" s="227" t="inlineStr">
        <is>
          <t>KESİCİ AÇMA</t>
        </is>
      </c>
      <c r="D59" s="130" t="n"/>
      <c r="E59" s="242" t="n"/>
      <c r="F59" s="227" t="inlineStr">
        <is>
          <t>EŞ ZAMAN FARKI</t>
        </is>
      </c>
      <c r="G59" s="130" t="n"/>
      <c r="H59" s="130" t="n"/>
      <c r="I59" s="242" t="n"/>
      <c r="J59" s="227" t="inlineStr">
        <is>
          <t>KESİCİ KAPAMA</t>
        </is>
      </c>
      <c r="K59" s="130" t="n"/>
      <c r="L59" s="242" t="n"/>
      <c r="M59" s="227" t="inlineStr">
        <is>
          <t>EŞ ZAMAN FARKI</t>
        </is>
      </c>
      <c r="N59" s="130" t="n"/>
      <c r="O59" s="130" t="n"/>
      <c r="P59" s="242" t="n"/>
      <c r="Q59" s="227" t="inlineStr">
        <is>
          <t>SONUÇ</t>
        </is>
      </c>
      <c r="R59" s="130" t="n"/>
      <c r="S59" s="242"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718">
      <c r="A60" s="10" t="n"/>
      <c r="B60" s="85" t="n"/>
      <c r="S60" s="360"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718">
      <c r="A61" s="10" t="n"/>
      <c r="B61" s="227" t="inlineStr">
        <is>
          <t>L-1</t>
        </is>
      </c>
      <c r="C61" s="672" t="n">
        <v>75.34999999999999</v>
      </c>
      <c r="D61" s="130" t="n"/>
      <c r="E61" s="242" t="inlineStr">
        <is>
          <t>ms</t>
        </is>
      </c>
      <c r="F61" s="675">
        <f>MAX(V80:V85)</f>
        <v/>
      </c>
      <c r="G61" s="130" t="n"/>
      <c r="H61" s="551" t="inlineStr">
        <is>
          <t>ms</t>
        </is>
      </c>
      <c r="I61" s="242" t="n"/>
      <c r="J61" s="672" t="n">
        <v>69.03</v>
      </c>
      <c r="K61" s="130" t="n"/>
      <c r="L61" s="242" t="inlineStr">
        <is>
          <t>ms</t>
        </is>
      </c>
      <c r="M61" s="675">
        <f>MAX(X80:X85)</f>
        <v/>
      </c>
      <c r="N61" s="130" t="n"/>
      <c r="O61" s="551" t="inlineStr">
        <is>
          <t>ms</t>
        </is>
      </c>
      <c r="P61" s="242" t="n"/>
      <c r="Q61" s="850" t="inlineStr">
        <is>
          <t>UYGUN</t>
        </is>
      </c>
      <c r="R61" s="130" t="n"/>
      <c r="S61" s="242"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718">
      <c r="A62" s="10" t="n"/>
      <c r="B62" s="243" t="n"/>
      <c r="C62" s="380" t="n"/>
      <c r="D62" s="380" t="n"/>
      <c r="F62" s="3" t="n"/>
      <c r="G62" s="272" t="n"/>
      <c r="H62" s="272" t="n"/>
      <c r="I62" s="202" t="n"/>
      <c r="J62" s="380" t="n"/>
      <c r="K62" s="380" t="n"/>
      <c r="M62" s="3" t="n"/>
      <c r="N62" s="272" t="n"/>
      <c r="O62" s="272" t="n"/>
      <c r="P62" s="202" t="n"/>
      <c r="S62" s="360"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718">
      <c r="A63" s="10" t="n"/>
      <c r="B63" s="227" t="inlineStr">
        <is>
          <t>L-2</t>
        </is>
      </c>
      <c r="C63" s="672" t="n">
        <v>74.98</v>
      </c>
      <c r="D63" s="130" t="n"/>
      <c r="E63" s="242" t="inlineStr">
        <is>
          <t>ms</t>
        </is>
      </c>
      <c r="F63" s="743" t="inlineStr">
        <is>
          <t>BOBİN AKIMI</t>
        </is>
      </c>
      <c r="G63" s="130" t="n"/>
      <c r="H63" s="130" t="n"/>
      <c r="I63" s="242" t="n"/>
      <c r="J63" s="672" t="n">
        <v>66.56999999999999</v>
      </c>
      <c r="K63" s="130" t="n"/>
      <c r="L63" s="242" t="inlineStr">
        <is>
          <t>ms</t>
        </is>
      </c>
      <c r="M63" s="743" t="inlineStr">
        <is>
          <t>BOBİN AKIMI</t>
        </is>
      </c>
      <c r="N63" s="130" t="n"/>
      <c r="O63" s="130" t="n"/>
      <c r="P63" s="242" t="n"/>
      <c r="Q63" s="850" t="inlineStr">
        <is>
          <t>UYGUN</t>
        </is>
      </c>
      <c r="R63" s="130" t="n"/>
      <c r="S63" s="242"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718">
      <c r="A64" s="10" t="n"/>
      <c r="B64" s="243" t="n"/>
      <c r="C64" s="380" t="n"/>
      <c r="D64" s="380" t="n"/>
      <c r="F64" s="3" t="n"/>
      <c r="G64" s="272" t="n"/>
      <c r="H64" s="272" t="n"/>
      <c r="I64" s="202" t="n"/>
      <c r="J64" s="380" t="n"/>
      <c r="K64" s="380" t="n"/>
      <c r="M64" s="3" t="n"/>
      <c r="N64" s="272" t="n"/>
      <c r="O64" s="272" t="n"/>
      <c r="P64" s="202" t="n"/>
      <c r="S64" s="360" t="n"/>
      <c r="T64" s="11" t="n"/>
    </row>
    <row r="65">
      <c r="A65" s="10" t="n"/>
      <c r="B65" s="227" t="inlineStr">
        <is>
          <t>L-3</t>
        </is>
      </c>
      <c r="C65" s="672" t="n">
        <v>75.15000000000001</v>
      </c>
      <c r="D65" s="130" t="n"/>
      <c r="E65" s="242" t="inlineStr">
        <is>
          <t>ms</t>
        </is>
      </c>
      <c r="F65" s="688" t="n">
        <v>2.6</v>
      </c>
      <c r="G65" s="130" t="n"/>
      <c r="H65" s="551" t="inlineStr">
        <is>
          <t>A</t>
        </is>
      </c>
      <c r="I65" s="242" t="n"/>
      <c r="J65" s="672" t="n">
        <v>68.79000000000001</v>
      </c>
      <c r="K65" s="130" t="n"/>
      <c r="L65" s="242" t="inlineStr">
        <is>
          <t>ms</t>
        </is>
      </c>
      <c r="M65" s="688" t="n">
        <v>1.3</v>
      </c>
      <c r="N65" s="130" t="n"/>
      <c r="O65" s="551" t="inlineStr">
        <is>
          <t>A</t>
        </is>
      </c>
      <c r="P65" s="242" t="n"/>
      <c r="Q65" s="850" t="inlineStr">
        <is>
          <t>UYGUN</t>
        </is>
      </c>
      <c r="R65" s="130" t="n"/>
      <c r="S65" s="242" t="n"/>
      <c r="T65" s="11" t="n"/>
    </row>
    <row r="66" ht="3" customHeight="1" s="718">
      <c r="A66" s="10" t="n"/>
      <c r="B66" s="244" t="n"/>
      <c r="C66" s="245" t="n"/>
      <c r="D66" s="245" t="n"/>
      <c r="E66" s="48" t="n"/>
      <c r="F66" s="48" t="n"/>
      <c r="G66" s="48" t="n"/>
      <c r="H66" s="48" t="n"/>
      <c r="I66" s="48" t="n"/>
      <c r="J66" s="48" t="n"/>
      <c r="K66" s="48" t="n"/>
      <c r="L66" s="48" t="n"/>
      <c r="M66" s="48" t="n"/>
      <c r="N66" s="48" t="n"/>
      <c r="O66" s="139" t="n"/>
      <c r="P66" s="105" t="n"/>
      <c r="Q66" s="486" t="n"/>
      <c r="R66" s="486" t="n"/>
      <c r="S66" s="487" t="n"/>
      <c r="T66" s="11" t="n"/>
    </row>
    <row r="67" ht="15" customHeight="1" s="718">
      <c r="A67" s="10" t="n"/>
      <c r="B67" s="550" t="n"/>
      <c r="C67" s="246" t="n"/>
      <c r="D67" s="246" t="n"/>
      <c r="E67" s="246" t="n"/>
      <c r="F67" s="246" t="n"/>
      <c r="G67" s="246" t="n"/>
      <c r="H67" s="246" t="n"/>
      <c r="I67" s="246" t="n"/>
      <c r="J67" s="246" t="n"/>
      <c r="K67" s="246" t="n"/>
      <c r="L67" s="246" t="n"/>
      <c r="M67" s="246" t="n"/>
      <c r="N67" s="246" t="n"/>
      <c r="O67" s="246" t="n"/>
      <c r="P67" s="246" t="n"/>
      <c r="Q67" s="246" t="n"/>
      <c r="R67" s="246" t="n"/>
      <c r="S67" s="551" t="n"/>
      <c r="T67" s="11" t="n"/>
    </row>
    <row r="68" ht="15.75" customHeight="1" s="718">
      <c r="A68" s="10" t="n"/>
      <c r="B68" s="247" t="inlineStr">
        <is>
          <t>Sonuç :</t>
        </is>
      </c>
      <c r="C68" s="248" t="n"/>
      <c r="D68" s="678" t="inlineStr">
        <is>
          <t xml:space="preserve">Yapılan ölçümlerde kesicinin test değerleri uygun bulundu. Kesicinin ve hücrenin </t>
        </is>
      </c>
      <c r="E68" s="121" t="n"/>
      <c r="F68" s="121" t="n"/>
      <c r="G68" s="121" t="n"/>
      <c r="H68" s="121" t="n"/>
      <c r="I68" s="121" t="n"/>
      <c r="J68" s="121" t="n"/>
      <c r="K68" s="121" t="n"/>
      <c r="L68" s="121" t="n"/>
      <c r="M68" s="121" t="n"/>
      <c r="N68" s="121" t="n"/>
      <c r="O68" s="121" t="n"/>
      <c r="P68" s="121" t="n"/>
      <c r="Q68" s="121" t="n"/>
      <c r="R68" s="121" t="n"/>
      <c r="S68" s="195" t="n"/>
      <c r="T68" s="11" t="n"/>
    </row>
    <row r="69" ht="15" customHeight="1" s="718">
      <c r="A69" s="10" t="n"/>
      <c r="B69" s="851" t="inlineStr">
        <is>
          <t>temizliği yapıldı.</t>
        </is>
      </c>
      <c r="C69" s="812" t="n"/>
      <c r="D69" s="812" t="n"/>
      <c r="E69" s="812" t="n"/>
      <c r="F69" s="812" t="n"/>
      <c r="G69" s="812" t="n"/>
      <c r="H69" s="812" t="n"/>
      <c r="I69" s="812" t="n"/>
      <c r="J69" s="812" t="n"/>
      <c r="K69" s="812" t="n"/>
      <c r="L69" s="812" t="n"/>
      <c r="M69" s="812" t="n"/>
      <c r="N69" s="812" t="n"/>
      <c r="O69" s="812" t="n"/>
      <c r="P69" s="812" t="n"/>
      <c r="Q69" s="812" t="n"/>
      <c r="R69" s="812" t="n"/>
      <c r="S69" s="813" t="n"/>
      <c r="T69" s="11" t="n"/>
    </row>
    <row r="70" ht="15.75" customHeight="1" s="718">
      <c r="A70" s="10" t="n"/>
      <c r="B70" s="852" t="n"/>
      <c r="C70" s="853" t="n"/>
      <c r="D70" s="853" t="n"/>
      <c r="E70" s="853" t="n"/>
      <c r="F70" s="853" t="n"/>
      <c r="G70" s="853" t="n"/>
      <c r="H70" s="853" t="n"/>
      <c r="I70" s="853" t="n"/>
      <c r="J70" s="853" t="n"/>
      <c r="K70" s="853" t="n"/>
      <c r="L70" s="853" t="n"/>
      <c r="M70" s="853" t="n"/>
      <c r="N70" s="853" t="n"/>
      <c r="O70" s="853" t="n"/>
      <c r="P70" s="853" t="n"/>
      <c r="Q70" s="853" t="n"/>
      <c r="R70" s="853" t="n"/>
      <c r="S70" s="854" t="n"/>
      <c r="T70" s="11" t="n"/>
    </row>
    <row r="71" ht="15.75" customHeight="1" s="718">
      <c r="A71" s="10" t="n"/>
      <c r="B71" s="852" t="n"/>
      <c r="C71" s="853" t="n"/>
      <c r="D71" s="853" t="n"/>
      <c r="E71" s="853" t="n"/>
      <c r="F71" s="853" t="n"/>
      <c r="G71" s="853" t="n"/>
      <c r="H71" s="853" t="n"/>
      <c r="I71" s="853" t="n"/>
      <c r="J71" s="853" t="n"/>
      <c r="K71" s="853" t="n"/>
      <c r="L71" s="853" t="n"/>
      <c r="M71" s="853" t="n"/>
      <c r="N71" s="853" t="n"/>
      <c r="O71" s="853" t="n"/>
      <c r="P71" s="853" t="n"/>
      <c r="Q71" s="853" t="n"/>
      <c r="R71" s="853" t="n"/>
      <c r="S71" s="854" t="n"/>
      <c r="T71" s="11" t="n"/>
    </row>
    <row r="72" ht="15.75" customHeight="1" s="718">
      <c r="A72" s="10" t="n"/>
      <c r="B72" s="249" t="n"/>
      <c r="C72" s="250" t="n"/>
      <c r="D72" s="250" t="n"/>
      <c r="E72" s="250" t="n"/>
      <c r="F72" s="250" t="n"/>
      <c r="G72" s="250" t="n"/>
      <c r="H72" s="250" t="n"/>
      <c r="I72" s="250" t="n"/>
      <c r="J72" s="250" t="n"/>
      <c r="K72" s="250" t="n"/>
      <c r="L72" s="250" t="n"/>
      <c r="M72" s="250" t="n"/>
      <c r="N72" s="250" t="n"/>
      <c r="O72" s="250" t="n"/>
      <c r="P72" s="250" t="n"/>
      <c r="Q72" s="250" t="n"/>
      <c r="R72" s="250" t="n"/>
      <c r="S72" s="251" t="n"/>
      <c r="T72" s="11" t="n"/>
    </row>
    <row r="73" ht="4.5" customHeight="1" s="718">
      <c r="A73" s="10" t="n"/>
      <c r="B73" s="855" t="n"/>
      <c r="C73" s="139" t="n"/>
      <c r="D73" s="139" t="n"/>
      <c r="E73" s="139" t="n"/>
      <c r="F73" s="139" t="n"/>
      <c r="G73" s="139" t="n"/>
      <c r="H73" s="139" t="n"/>
      <c r="I73" s="139" t="n"/>
      <c r="J73" s="139" t="n"/>
      <c r="K73" s="139" t="n"/>
      <c r="L73" s="139" t="n"/>
      <c r="M73" s="139" t="n"/>
      <c r="N73" s="139" t="n"/>
      <c r="O73" s="139" t="n"/>
      <c r="P73" s="139" t="n"/>
      <c r="Q73" s="139" t="n"/>
      <c r="R73" s="139" t="n"/>
      <c r="S73" s="361" t="n"/>
      <c r="T73" s="11" t="n"/>
    </row>
    <row r="74" ht="13.5" customHeight="1" s="718">
      <c r="A74" s="10" t="n"/>
      <c r="B74" s="498" t="inlineStr">
        <is>
          <t>Rapor Tarihi</t>
        </is>
      </c>
      <c r="C74" s="70" t="n"/>
      <c r="D74" s="70" t="n"/>
      <c r="E74" s="286" t="inlineStr">
        <is>
          <t>:</t>
        </is>
      </c>
      <c r="F74" s="501">
        <f>'ANA SAYFA'!F78</f>
        <v/>
      </c>
      <c r="G74" s="70" t="n"/>
      <c r="H74" s="70" t="n"/>
      <c r="I74" s="70" t="n"/>
      <c r="J74" s="359" t="n"/>
      <c r="K74" s="596" t="inlineStr">
        <is>
          <t>ONAYLAYAN</t>
        </is>
      </c>
      <c r="L74" s="130" t="n"/>
      <c r="M74" s="130" t="n"/>
      <c r="N74" s="130" t="n"/>
      <c r="O74" s="130" t="n"/>
      <c r="P74" s="130" t="n"/>
      <c r="Q74" s="130" t="n"/>
      <c r="R74" s="130" t="n"/>
      <c r="S74" s="242" t="n"/>
      <c r="T74" s="11" t="n"/>
    </row>
    <row r="75" ht="13.5" customHeight="1" s="718">
      <c r="A75" s="10" t="n"/>
      <c r="B75" s="429" t="inlineStr">
        <is>
          <t>Test Tarihi</t>
        </is>
      </c>
      <c r="E75" s="286" t="inlineStr">
        <is>
          <t>:</t>
        </is>
      </c>
      <c r="F75" s="820">
        <f>'ANA SAYFA'!F79</f>
        <v/>
      </c>
      <c r="J75" s="360" t="n"/>
      <c r="K75" s="287" t="n"/>
      <c r="L75" s="288" t="n"/>
      <c r="M75" s="286" t="n"/>
      <c r="N75" s="821" t="n"/>
      <c r="O75" s="821" t="n"/>
      <c r="P75" s="821" t="n"/>
      <c r="Q75" s="821" t="n"/>
      <c r="R75" s="821" t="n"/>
      <c r="S75" s="822" t="n"/>
      <c r="T75" s="11" t="n"/>
    </row>
    <row r="76" ht="13.5" customHeight="1" s="718">
      <c r="A76" s="10" t="n"/>
      <c r="B76" s="429" t="inlineStr">
        <is>
          <t>Unvan</t>
        </is>
      </c>
      <c r="E76" s="286" t="inlineStr">
        <is>
          <t>:</t>
        </is>
      </c>
      <c r="F76" s="856" t="inlineStr">
        <is>
          <t>Elektrik Mühendisi</t>
        </is>
      </c>
      <c r="J76" s="360" t="n"/>
      <c r="K76" s="287" t="n"/>
      <c r="L76" s="288" t="n"/>
      <c r="M76" s="286" t="n"/>
      <c r="N76" s="286" t="n"/>
      <c r="O76" s="286" t="n"/>
      <c r="P76" s="286" t="n"/>
      <c r="Q76" s="286" t="n"/>
      <c r="R76" s="286" t="n"/>
      <c r="S76" s="296" t="n"/>
      <c r="T76" s="11" t="n"/>
    </row>
    <row r="77" ht="13.5" customHeight="1" s="718">
      <c r="A77" s="10" t="n"/>
      <c r="B77" s="429" t="inlineStr">
        <is>
          <t>Sicil No</t>
        </is>
      </c>
      <c r="E77" s="286" t="inlineStr">
        <is>
          <t>:</t>
        </is>
      </c>
      <c r="F77" s="437" t="n">
        <v>88258</v>
      </c>
      <c r="J77" s="360" t="n"/>
      <c r="K77" s="429" t="n"/>
      <c r="L77" s="430" t="n"/>
      <c r="M77" s="286" t="n"/>
      <c r="N77" s="436" t="n"/>
      <c r="O77" s="436" t="n"/>
      <c r="P77" s="436" t="n"/>
      <c r="Q77" s="436" t="n"/>
      <c r="R77" s="436" t="n"/>
      <c r="S77" s="437" t="n"/>
      <c r="T77" s="11" t="n"/>
    </row>
    <row r="78" ht="13.5" customHeight="1" s="718">
      <c r="A78" s="10" t="n"/>
      <c r="B78" s="438" t="inlineStr">
        <is>
          <t>Ekipnet No</t>
        </is>
      </c>
      <c r="C78" s="139" t="n"/>
      <c r="D78" s="139" t="n"/>
      <c r="E78" s="291" t="inlineStr">
        <is>
          <t>:</t>
        </is>
      </c>
      <c r="F78" s="857" t="inlineStr">
        <is>
          <t>K202439698</t>
        </is>
      </c>
      <c r="G78" s="139" t="n"/>
      <c r="H78" s="139" t="n"/>
      <c r="I78" s="139" t="n"/>
      <c r="J78" s="361" t="n"/>
      <c r="K78" s="438" t="n"/>
      <c r="L78" s="439" t="n"/>
      <c r="M78" s="291" t="n"/>
      <c r="N78" s="427" t="n"/>
      <c r="O78" s="427" t="n"/>
      <c r="P78" s="427" t="n"/>
      <c r="Q78" s="427" t="n"/>
      <c r="R78" s="427" t="n"/>
      <c r="S78" s="428" t="n"/>
      <c r="T78" s="11" t="n"/>
    </row>
    <row r="79" ht="6" customHeight="1" s="718"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52">
        <f>C61-C63</f>
        <v/>
      </c>
      <c r="X80" s="253">
        <f>J61-J63</f>
        <v/>
      </c>
    </row>
    <row r="81">
      <c r="V81" s="252">
        <f>C61-C65</f>
        <v/>
      </c>
      <c r="X81" s="253">
        <f>J61-J65</f>
        <v/>
      </c>
    </row>
    <row r="82">
      <c r="V82" s="252">
        <f>C63-C65</f>
        <v/>
      </c>
      <c r="X82" s="253">
        <f>J63-J65</f>
        <v/>
      </c>
    </row>
    <row r="83">
      <c r="V83" s="252">
        <f>C63-C61</f>
        <v/>
      </c>
      <c r="X83" s="253">
        <f>J63-J61</f>
        <v/>
      </c>
    </row>
    <row r="84">
      <c r="V84" s="252">
        <f>C65-C61</f>
        <v/>
      </c>
      <c r="X84" s="253">
        <f>J65-J61</f>
        <v/>
      </c>
    </row>
    <row r="85">
      <c r="V85" s="252">
        <f>C65-C63</f>
        <v/>
      </c>
      <c r="X85" s="253">
        <f>J65-J63</f>
        <v/>
      </c>
      <c r="AA85" s="253" t="n"/>
    </row>
  </sheetData>
  <mergeCells count="103">
    <mergeCell ref="B21:S21"/>
    <mergeCell ref="K48:N48"/>
    <mergeCell ref="F74:J74"/>
    <mergeCell ref="C63:D63"/>
    <mergeCell ref="K5:S6"/>
    <mergeCell ref="F76:J76"/>
    <mergeCell ref="M59:P59"/>
    <mergeCell ref="K24:N24"/>
    <mergeCell ref="K17:M17"/>
    <mergeCell ref="F75:J75"/>
    <mergeCell ref="K26:N26"/>
    <mergeCell ref="P32:Q32"/>
    <mergeCell ref="F59:I59"/>
    <mergeCell ref="H65:I65"/>
    <mergeCell ref="H5:J7"/>
    <mergeCell ref="B13:E13"/>
    <mergeCell ref="P24:Q24"/>
    <mergeCell ref="K55:S55"/>
    <mergeCell ref="K11:M11"/>
    <mergeCell ref="P26:Q26"/>
    <mergeCell ref="F78:J78"/>
    <mergeCell ref="C59:E59"/>
    <mergeCell ref="O50:Q50"/>
    <mergeCell ref="B32:E32"/>
    <mergeCell ref="B26:E26"/>
    <mergeCell ref="Q59:S59"/>
    <mergeCell ref="B69:S69"/>
    <mergeCell ref="C52:E52"/>
    <mergeCell ref="O65:P65"/>
    <mergeCell ref="O52:Q52"/>
    <mergeCell ref="B74:D74"/>
    <mergeCell ref="Q61:S61"/>
    <mergeCell ref="F63:I63"/>
    <mergeCell ref="M65:N65"/>
    <mergeCell ref="B76:D76"/>
    <mergeCell ref="G48:J48"/>
    <mergeCell ref="G24:H24"/>
    <mergeCell ref="H2:J3"/>
    <mergeCell ref="B11:E11"/>
    <mergeCell ref="P28:Q28"/>
    <mergeCell ref="B75:D75"/>
    <mergeCell ref="K32:N32"/>
    <mergeCell ref="K74:S74"/>
    <mergeCell ref="F61:G61"/>
    <mergeCell ref="K50:N50"/>
    <mergeCell ref="F77:J77"/>
    <mergeCell ref="O48:S48"/>
    <mergeCell ref="P30:Q30"/>
    <mergeCell ref="K52:N52"/>
    <mergeCell ref="J61:K61"/>
    <mergeCell ref="B71:S71"/>
    <mergeCell ref="O13:S13"/>
    <mergeCell ref="C50:E50"/>
    <mergeCell ref="Q63:S63"/>
    <mergeCell ref="O15:S15"/>
    <mergeCell ref="K46:S46"/>
    <mergeCell ref="B15:E15"/>
    <mergeCell ref="B24:E24"/>
    <mergeCell ref="B78:D78"/>
    <mergeCell ref="B57:S57"/>
    <mergeCell ref="M63:P63"/>
    <mergeCell ref="K28:N28"/>
    <mergeCell ref="C65:D65"/>
    <mergeCell ref="J65:K65"/>
    <mergeCell ref="K30:N30"/>
    <mergeCell ref="B9:S9"/>
    <mergeCell ref="G11:J11"/>
    <mergeCell ref="K54:N54"/>
    <mergeCell ref="K13:M13"/>
    <mergeCell ref="C61:D61"/>
    <mergeCell ref="O61:P61"/>
    <mergeCell ref="K15:M15"/>
    <mergeCell ref="B17:E17"/>
    <mergeCell ref="G13:J13"/>
    <mergeCell ref="K2:S3"/>
    <mergeCell ref="G54:H54"/>
    <mergeCell ref="B46:J46"/>
    <mergeCell ref="G32:H32"/>
    <mergeCell ref="J59:L59"/>
    <mergeCell ref="G50:H50"/>
    <mergeCell ref="G15:J15"/>
    <mergeCell ref="B77:D77"/>
    <mergeCell ref="B28:E28"/>
    <mergeCell ref="C54:E54"/>
    <mergeCell ref="B70:S70"/>
    <mergeCell ref="C48:F48"/>
    <mergeCell ref="G52:H52"/>
    <mergeCell ref="O54:Q54"/>
    <mergeCell ref="F65:G65"/>
    <mergeCell ref="B30:E30"/>
    <mergeCell ref="B35:S43"/>
    <mergeCell ref="D68:S68"/>
    <mergeCell ref="B73:S73"/>
    <mergeCell ref="Q65:S65"/>
    <mergeCell ref="G28:H28"/>
    <mergeCell ref="H61:I61"/>
    <mergeCell ref="G17:J17"/>
    <mergeCell ref="G30:H30"/>
    <mergeCell ref="J63:K63"/>
    <mergeCell ref="V45:W45"/>
    <mergeCell ref="M61:N61"/>
    <mergeCell ref="O17:S17"/>
    <mergeCell ref="O11:S11"/>
  </mergeCells>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F54"/>
  <sheetViews>
    <sheetView topLeftCell="A27" zoomScaleNormal="100" workbookViewId="0">
      <selection activeCell="D47" sqref="D47:Q48"/>
    </sheetView>
  </sheetViews>
  <sheetFormatPr baseColWidth="8" defaultColWidth="9.109375" defaultRowHeight="14.4"/>
  <cols>
    <col width="3.5546875" customWidth="1" style="718" min="1" max="1"/>
    <col width="13" customWidth="1" style="718" min="2" max="15"/>
    <col width="13" customWidth="1" style="718" min="4" max="4"/>
    <col width="13" customWidth="1" style="718" min="6" max="6"/>
    <col width="13" customWidth="1" style="718" min="8" max="8"/>
    <col width="13" customWidth="1" style="718" min="10" max="10"/>
    <col width="13" customWidth="1" style="718" min="12" max="12"/>
    <col width="4.88671875" customWidth="1" style="718" min="16" max="16"/>
    <col width="4.5546875" customWidth="1" style="718" min="17" max="17"/>
    <col width="3.5546875" customWidth="1" style="718" min="18" max="18"/>
    <col width="9.109375" customWidth="1" style="718"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694" t="inlineStr">
        <is>
          <t xml:space="preserve">  ŞALT SAHASI          </t>
        </is>
      </c>
      <c r="H2" s="70" t="n"/>
      <c r="I2" s="70" t="n"/>
      <c r="J2" s="276" t="inlineStr">
        <is>
          <t>:</t>
        </is>
      </c>
      <c r="K2" s="457">
        <f>'ANA SAYFA KESİCİ'!K2</f>
        <v/>
      </c>
      <c r="L2" s="70" t="n"/>
      <c r="M2" s="70" t="n"/>
      <c r="N2" s="70" t="n"/>
      <c r="O2" s="70" t="n"/>
      <c r="P2" s="70" t="n"/>
      <c r="Q2" s="359" t="n"/>
      <c r="R2" s="11" t="n"/>
    </row>
    <row r="3" ht="29.25" customHeight="1" s="718">
      <c r="A3" s="10" t="n"/>
      <c r="B3" s="62" t="n"/>
      <c r="C3" s="139" t="n"/>
      <c r="D3" s="139" t="n"/>
      <c r="E3" s="139" t="n"/>
      <c r="F3" s="361" t="n"/>
      <c r="G3" s="695" t="inlineStr">
        <is>
          <t xml:space="preserve">  LOKASYON</t>
        </is>
      </c>
      <c r="H3" s="139" t="n"/>
      <c r="I3" s="139" t="n"/>
      <c r="J3" s="696" t="inlineStr">
        <is>
          <t>:</t>
        </is>
      </c>
      <c r="K3" s="549">
        <f>'ANA SAYFA KESİCİ'!K5</f>
        <v/>
      </c>
      <c r="L3" s="139" t="n"/>
      <c r="M3" s="139" t="n"/>
      <c r="N3" s="139" t="n"/>
      <c r="O3" s="139" t="n"/>
      <c r="P3" s="139" t="n"/>
      <c r="Q3" s="361" t="n"/>
      <c r="R3" s="11" t="n"/>
    </row>
    <row r="4" ht="10.5" customHeight="1" s="718">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11" t="inlineStr">
        <is>
          <t>KESİCİ İZOLASYON DİRENCİ TEST SONUÇLARI</t>
        </is>
      </c>
      <c r="C5" s="130" t="n"/>
      <c r="D5" s="130" t="n"/>
      <c r="E5" s="130" t="n"/>
      <c r="F5" s="130" t="n"/>
      <c r="G5" s="130" t="n"/>
      <c r="H5" s="130" t="n"/>
      <c r="I5" s="130" t="n"/>
      <c r="J5" s="130" t="n"/>
      <c r="K5" s="130" t="n"/>
      <c r="L5" s="130" t="n"/>
      <c r="M5" s="130" t="n"/>
      <c r="N5" s="130" t="n"/>
      <c r="O5" s="130" t="n"/>
      <c r="P5" s="130" t="n"/>
      <c r="Q5" s="242" t="n"/>
      <c r="R5" s="11" t="n"/>
    </row>
    <row r="6" ht="6.75" customHeight="1" s="718">
      <c r="A6" s="10" t="n"/>
      <c r="B6" s="3" t="n"/>
      <c r="C6" s="272" t="n"/>
      <c r="D6" s="272" t="n"/>
      <c r="E6" s="272" t="n"/>
      <c r="F6" s="272" t="n"/>
      <c r="G6" s="272" t="n"/>
      <c r="H6" s="272" t="n"/>
      <c r="I6" s="272" t="n"/>
      <c r="J6" s="272" t="n"/>
      <c r="K6" s="272" t="n"/>
      <c r="L6" s="272" t="n"/>
      <c r="M6" s="272" t="n"/>
      <c r="N6" s="272" t="n"/>
      <c r="O6" s="272" t="n"/>
      <c r="P6" s="272" t="n"/>
      <c r="Q6" s="202" t="n"/>
      <c r="R6" s="11" t="n"/>
    </row>
    <row r="7" ht="6.75" customHeight="1" s="718">
      <c r="A7" s="10" t="n"/>
      <c r="B7" s="3" t="n"/>
      <c r="C7" s="272" t="n"/>
      <c r="D7" s="272" t="n"/>
      <c r="E7" s="272" t="n"/>
      <c r="F7" s="272" t="n"/>
      <c r="G7" s="272" t="n"/>
      <c r="H7" s="272" t="n"/>
      <c r="I7" s="272" t="n"/>
      <c r="J7" s="272" t="n"/>
      <c r="K7" s="272" t="n"/>
      <c r="L7" s="272" t="n"/>
      <c r="M7" s="272" t="n"/>
      <c r="N7" s="272" t="n"/>
      <c r="O7" s="272" t="n"/>
      <c r="P7" s="272" t="n"/>
      <c r="Q7" s="202" t="n"/>
      <c r="R7" s="11" t="n"/>
    </row>
    <row r="8" ht="18" customHeight="1" s="718">
      <c r="A8" s="10" t="n"/>
      <c r="B8" s="555" t="inlineStr">
        <is>
          <t>OTURUM TARİHİ :</t>
        </is>
      </c>
      <c r="C8" s="130" t="n"/>
      <c r="D8" s="130" t="n"/>
      <c r="E8" s="130" t="n"/>
      <c r="F8" s="130" t="n"/>
      <c r="G8" s="130" t="n"/>
      <c r="H8" s="130" t="n"/>
      <c r="I8" s="130" t="n"/>
      <c r="J8" s="823">
        <f>'ANA SAYFA KESİCİ'!F74</f>
        <v/>
      </c>
      <c r="K8" s="130" t="n"/>
      <c r="L8" s="130" t="n"/>
      <c r="M8" s="130" t="n"/>
      <c r="N8" s="130" t="n"/>
      <c r="O8" s="130" t="n"/>
      <c r="P8" s="130" t="n"/>
      <c r="Q8" s="242" t="n"/>
      <c r="R8" s="11" t="n"/>
    </row>
    <row r="9" ht="6.75" customHeight="1" s="718">
      <c r="A9" s="10" t="n"/>
      <c r="B9" s="3" t="n"/>
      <c r="C9" s="272" t="n"/>
      <c r="D9" s="272" t="n"/>
      <c r="E9" s="272" t="n"/>
      <c r="F9" s="272" t="n"/>
      <c r="G9" s="272" t="n"/>
      <c r="H9" s="272" t="n"/>
      <c r="I9" s="272" t="n"/>
      <c r="J9" s="272" t="n"/>
      <c r="K9" s="272" t="n"/>
      <c r="L9" s="272" t="n"/>
      <c r="M9" s="272" t="n"/>
      <c r="N9" s="272" t="n"/>
      <c r="O9" s="272" t="n"/>
      <c r="P9" s="272" t="n"/>
      <c r="Q9" s="202" t="n"/>
      <c r="R9" s="11" t="n"/>
    </row>
    <row r="10">
      <c r="A10" s="10" t="n"/>
      <c r="B10" s="576" t="inlineStr">
        <is>
          <t>Operatör :</t>
        </is>
      </c>
      <c r="C10" s="242" t="n"/>
      <c r="D10" s="577" t="inlineStr">
        <is>
          <t>Ahmet YILMAZ</t>
        </is>
      </c>
      <c r="E10" s="130" t="n"/>
      <c r="F10" s="130" t="n"/>
      <c r="G10" s="242" t="n"/>
      <c r="H10" s="576" t="inlineStr">
        <is>
          <t>Cihaz :</t>
        </is>
      </c>
      <c r="I10" s="242" t="n"/>
      <c r="J10" s="743" t="inlineStr">
        <is>
          <t>STS 5000</t>
        </is>
      </c>
      <c r="K10" s="130" t="n"/>
      <c r="L10" s="242" t="n"/>
      <c r="M10" s="743" t="inlineStr">
        <is>
          <t>Cihaz S/N :</t>
        </is>
      </c>
      <c r="N10" s="242" t="n"/>
      <c r="O10" s="743" t="inlineStr">
        <is>
          <t>SN-19B20</t>
        </is>
      </c>
      <c r="P10" s="130" t="n"/>
      <c r="Q10" s="242" t="n"/>
      <c r="R10" s="11" t="n"/>
      <c r="U10" t="inlineStr">
        <is>
          <t>r1</t>
        </is>
      </c>
      <c r="V10" t="n">
        <v>250</v>
      </c>
      <c r="W10" t="n">
        <v>200</v>
      </c>
      <c r="X10" t="n">
        <v>150</v>
      </c>
      <c r="Y10" t="n">
        <v>100</v>
      </c>
      <c r="Z10" t="n">
        <v>50</v>
      </c>
    </row>
    <row r="11" ht="7.5" customHeight="1" s="718">
      <c r="A11" s="10" t="n"/>
      <c r="B11" s="3" t="n"/>
      <c r="C11" s="272" t="n"/>
      <c r="D11" s="272" t="n"/>
      <c r="E11" s="272" t="n"/>
      <c r="F11" s="272" t="n"/>
      <c r="G11" s="272" t="n"/>
      <c r="H11" s="272" t="n"/>
      <c r="I11" s="272" t="n"/>
      <c r="J11" s="272" t="n"/>
      <c r="K11" s="272" t="n"/>
      <c r="L11" s="272" t="n"/>
      <c r="M11" s="272" t="n"/>
      <c r="N11" s="272" t="n"/>
      <c r="O11" s="272" t="n"/>
      <c r="P11" s="272" t="n"/>
      <c r="Q11" s="202" t="n"/>
      <c r="R11" s="11" t="n"/>
    </row>
    <row r="12" ht="18" customHeight="1" s="718">
      <c r="A12" s="10" t="n"/>
      <c r="B12" s="575" t="inlineStr">
        <is>
          <t>Sonuçlar</t>
        </is>
      </c>
      <c r="C12" s="130" t="n"/>
      <c r="D12" s="130" t="n"/>
      <c r="E12" s="130" t="n"/>
      <c r="F12" s="130" t="n"/>
      <c r="G12" s="130" t="n"/>
      <c r="H12" s="130" t="n"/>
      <c r="I12" s="130" t="n"/>
      <c r="J12" s="130" t="n"/>
      <c r="K12" s="130" t="n"/>
      <c r="L12" s="130" t="n"/>
      <c r="M12" s="130" t="n"/>
      <c r="N12" s="130" t="n"/>
      <c r="O12" s="130" t="n"/>
      <c r="P12" s="130" t="n"/>
      <c r="Q12" s="242" t="n"/>
      <c r="R12" s="11" t="n"/>
    </row>
    <row r="13" ht="7.5" customHeight="1" s="718">
      <c r="A13" s="10" t="n"/>
      <c r="B13" s="3" t="n"/>
      <c r="C13" s="272" t="n"/>
      <c r="D13" s="272" t="n"/>
      <c r="E13" s="272" t="n"/>
      <c r="F13" s="272" t="n"/>
      <c r="G13" s="272" t="n"/>
      <c r="H13" s="272" t="n"/>
      <c r="I13" s="272" t="n"/>
      <c r="J13" s="272" t="n"/>
      <c r="K13" s="272" t="n"/>
      <c r="L13" s="272" t="n"/>
      <c r="M13" s="272" t="n"/>
      <c r="N13" s="272" t="n"/>
      <c r="O13" s="272" t="n"/>
      <c r="P13" s="272" t="n"/>
      <c r="Q13" s="202" t="n"/>
      <c r="R13" s="11" t="n"/>
    </row>
    <row r="14" ht="18" customHeight="1" s="718">
      <c r="A14" s="10" t="n"/>
      <c r="B14" s="811" t="inlineStr">
        <is>
          <t>KESİCİ İZOLASYON</t>
        </is>
      </c>
      <c r="C14" s="130" t="n"/>
      <c r="D14" s="130" t="n"/>
      <c r="E14" s="130" t="n"/>
      <c r="F14" s="130" t="n"/>
      <c r="G14" s="130" t="n"/>
      <c r="H14" s="130" t="n"/>
      <c r="I14" s="130" t="n"/>
      <c r="J14" s="130" t="n"/>
      <c r="K14" s="130" t="n"/>
      <c r="L14" s="130" t="n"/>
      <c r="M14" s="130" t="n"/>
      <c r="N14" s="130" t="n"/>
      <c r="O14" s="130" t="n"/>
      <c r="P14" s="130" t="n"/>
      <c r="Q14" s="242" t="n"/>
      <c r="R14" s="11" t="n"/>
    </row>
    <row r="15" ht="5.25" customHeight="1" s="718">
      <c r="A15" s="10" t="n"/>
      <c r="B15" s="3" t="n"/>
      <c r="C15" s="272" t="n"/>
      <c r="D15" s="272" t="n"/>
      <c r="E15" s="272" t="n"/>
      <c r="F15" s="272" t="n"/>
      <c r="G15" s="272" t="n"/>
      <c r="H15" s="272" t="n"/>
      <c r="I15" s="272" t="n"/>
      <c r="J15" s="272" t="n"/>
      <c r="K15" s="272" t="n"/>
      <c r="L15" s="272" t="n"/>
      <c r="M15" s="272" t="n"/>
      <c r="N15" s="272" t="n"/>
      <c r="O15" s="272" t="n"/>
      <c r="P15" s="272" t="n"/>
      <c r="Q15" s="202" t="n"/>
      <c r="R15" s="11" t="n"/>
    </row>
    <row r="16">
      <c r="A16" s="10" t="n"/>
      <c r="B16" s="734" t="inlineStr">
        <is>
          <t>R min.</t>
        </is>
      </c>
      <c r="C16" s="130" t="n"/>
      <c r="D16" s="735" t="n">
        <v>50</v>
      </c>
      <c r="E16" s="130" t="n"/>
      <c r="F16" s="835" t="inlineStr">
        <is>
          <t>GΩ</t>
        </is>
      </c>
      <c r="G16" s="242" t="n"/>
      <c r="H16" s="834" t="inlineStr">
        <is>
          <t>Test Gerilimi</t>
        </is>
      </c>
      <c r="I16" s="130" t="n"/>
      <c r="J16" s="242" t="n"/>
      <c r="K16" s="596" t="inlineStr">
        <is>
          <t>Test Akımı</t>
        </is>
      </c>
      <c r="L16" s="130" t="n"/>
      <c r="M16" s="242" t="n"/>
      <c r="N16" s="596" t="inlineStr">
        <is>
          <t>Sonuç</t>
        </is>
      </c>
      <c r="O16" s="130" t="n"/>
      <c r="P16" s="130" t="n"/>
      <c r="Q16" s="242" t="n"/>
      <c r="R16" s="11" t="n"/>
    </row>
    <row r="17">
      <c r="A17" s="10" t="n"/>
      <c r="B17" s="751" t="inlineStr">
        <is>
          <t>L-1</t>
        </is>
      </c>
      <c r="C17" s="242" t="n"/>
      <c r="D17" s="607">
        <f>'ANA SAYFA KESİCİ'!G50</f>
        <v/>
      </c>
      <c r="E17" s="242" t="n"/>
      <c r="F17" s="846" t="inlineStr">
        <is>
          <t>GΩ</t>
        </is>
      </c>
      <c r="G17" s="242" t="n"/>
      <c r="H17" s="675" t="n">
        <v>10000</v>
      </c>
      <c r="I17" s="130" t="n"/>
      <c r="J17" s="858" t="inlineStr">
        <is>
          <t>VDC</t>
        </is>
      </c>
      <c r="K17" s="530">
        <f>H17/D17</f>
        <v/>
      </c>
      <c r="L17" s="130" t="n"/>
      <c r="M17" s="27" t="inlineStr">
        <is>
          <t>nA</t>
        </is>
      </c>
      <c r="N17" s="559">
        <f>IF(D17&gt;D16,1,0)</f>
        <v/>
      </c>
      <c r="O17" s="551">
        <f>IF(D17&gt;D16,"UYGUN","UYGUN DEĞİL")</f>
        <v/>
      </c>
      <c r="P17" s="130" t="n"/>
      <c r="Q17" s="242" t="n"/>
      <c r="R17" s="11" t="n"/>
    </row>
    <row r="18">
      <c r="A18" s="10" t="n"/>
      <c r="B18" s="751" t="inlineStr">
        <is>
          <t>L-2</t>
        </is>
      </c>
      <c r="C18" s="242" t="n"/>
      <c r="D18" s="607">
        <f>'ANA SAYFA KESİCİ'!G52</f>
        <v/>
      </c>
      <c r="E18" s="242" t="n"/>
      <c r="F18" s="751" t="inlineStr">
        <is>
          <t>GΩ</t>
        </is>
      </c>
      <c r="G18" s="242" t="n"/>
      <c r="H18" s="675" t="n">
        <v>10000</v>
      </c>
      <c r="I18" s="130" t="n"/>
      <c r="J18" s="858" t="inlineStr">
        <is>
          <t>VDC</t>
        </is>
      </c>
      <c r="K18" s="530">
        <f>H18/D18</f>
        <v/>
      </c>
      <c r="L18" s="130" t="n"/>
      <c r="M18" s="27" t="inlineStr">
        <is>
          <t>nA</t>
        </is>
      </c>
      <c r="N18" s="559">
        <f>IF(D18&gt;D16,1,0)</f>
        <v/>
      </c>
      <c r="O18" s="551">
        <f>IF(D18&gt;D16,"UYGUN","UYGUN DEĞİL")</f>
        <v/>
      </c>
      <c r="P18" s="130" t="n"/>
      <c r="Q18" s="242" t="n"/>
      <c r="R18" s="11" t="n"/>
    </row>
    <row r="19">
      <c r="A19" s="10" t="n"/>
      <c r="B19" s="751" t="inlineStr">
        <is>
          <t>L-3</t>
        </is>
      </c>
      <c r="C19" s="242" t="n"/>
      <c r="D19" s="607">
        <f>'ANA SAYFA KESİCİ'!G54</f>
        <v/>
      </c>
      <c r="E19" s="242" t="n"/>
      <c r="F19" s="751" t="inlineStr">
        <is>
          <t>GΩ</t>
        </is>
      </c>
      <c r="G19" s="242" t="n"/>
      <c r="H19" s="675" t="n">
        <v>10000</v>
      </c>
      <c r="I19" s="130" t="n"/>
      <c r="J19" s="858" t="inlineStr">
        <is>
          <t>VDC</t>
        </is>
      </c>
      <c r="K19" s="530">
        <f>H19/D19</f>
        <v/>
      </c>
      <c r="L19" s="130" t="n"/>
      <c r="M19" s="27" t="inlineStr">
        <is>
          <t>nA</t>
        </is>
      </c>
      <c r="N19" s="559">
        <f>IF(D19&gt;D16,1,0)</f>
        <v/>
      </c>
      <c r="O19" s="551">
        <f>IF(D19&gt;D16,"UYGUN","UYGUN DEĞİL")</f>
        <v/>
      </c>
      <c r="P19" s="130" t="n"/>
      <c r="Q19" s="242" t="n"/>
      <c r="R19" s="11" t="n"/>
    </row>
    <row r="20">
      <c r="A20" s="35" t="n"/>
      <c r="Q20" s="359" t="n"/>
      <c r="R20" s="11" t="n"/>
      <c r="X20">
        <f>N17+N18+N19</f>
        <v/>
      </c>
    </row>
    <row r="21">
      <c r="A21" s="35" t="n"/>
      <c r="Q21" s="360" t="n"/>
      <c r="R21" s="11" t="n"/>
    </row>
    <row r="22">
      <c r="A22" s="35" t="n"/>
      <c r="Q22" s="360" t="n"/>
      <c r="R22" s="11" t="n"/>
    </row>
    <row r="23">
      <c r="A23" s="35" t="n"/>
      <c r="Q23" s="360" t="n"/>
      <c r="R23" s="11" t="n"/>
    </row>
    <row r="24">
      <c r="A24" s="35" t="n"/>
      <c r="Q24" s="360" t="n"/>
      <c r="R24" s="11" t="n"/>
      <c r="X24">
        <f>(N32+N33+N34+N35+N36)/5</f>
        <v/>
      </c>
    </row>
    <row r="25">
      <c r="A25" s="35" t="n"/>
      <c r="Q25" s="360" t="n"/>
      <c r="R25" s="11" t="n"/>
    </row>
    <row r="26">
      <c r="A26" s="35" t="n"/>
      <c r="Q26" s="360" t="n"/>
      <c r="R26" s="11" t="n"/>
    </row>
    <row r="27">
      <c r="A27" s="35" t="n"/>
      <c r="Q27" s="360" t="n"/>
      <c r="R27" s="11" t="n"/>
      <c r="X27" s="700" t="inlineStr">
        <is>
          <t>Yapılan ölçümlerde kesicinin İzolasyon değerleri uygundur.</t>
        </is>
      </c>
    </row>
    <row r="28">
      <c r="A28" s="35" t="n"/>
      <c r="Q28" s="360" t="n"/>
      <c r="R28" s="11" t="n"/>
      <c r="X28" s="700" t="inlineStr">
        <is>
          <t>Yapılan ölçümlerde kesicinin İzolasyon değerleri uygun değildir.</t>
        </is>
      </c>
    </row>
    <row r="29" ht="18.75" customHeight="1" s="718">
      <c r="A29" s="10" t="n"/>
      <c r="B29" s="655" t="n"/>
      <c r="R29" s="11" t="n"/>
    </row>
    <row r="30" ht="5.25" customHeight="1" s="718">
      <c r="A30" s="10" t="n"/>
      <c r="R30" s="11" t="n"/>
    </row>
    <row r="31">
      <c r="A31" s="10" t="n"/>
      <c r="R31" s="11" t="n"/>
    </row>
    <row r="32" ht="13.5" customHeight="1" s="718">
      <c r="A32" s="10" t="n"/>
      <c r="R32" s="11" t="n"/>
    </row>
    <row r="33" ht="13.5" customHeight="1" s="718">
      <c r="A33" s="10" t="n"/>
      <c r="R33" s="11" t="n"/>
    </row>
    <row r="34" ht="13.5" customHeight="1" s="718">
      <c r="A34" s="10" t="n"/>
      <c r="R34" s="11" t="n"/>
    </row>
    <row r="35" ht="13.5" customHeight="1" s="718">
      <c r="A35" s="10" t="n"/>
      <c r="R35" s="11" t="n"/>
    </row>
    <row r="36" ht="13.5" customHeight="1" s="718">
      <c r="A36" s="10" t="n"/>
      <c r="R36" s="11" t="n"/>
    </row>
    <row r="37">
      <c r="A37" s="10" t="n"/>
      <c r="B37" s="3" t="n"/>
      <c r="C37" s="775" t="n"/>
      <c r="D37" s="775" t="n"/>
      <c r="E37" s="775" t="n"/>
      <c r="F37" s="775" t="n"/>
      <c r="G37" s="775" t="n"/>
      <c r="H37" s="775" t="n"/>
      <c r="I37" s="775" t="n"/>
      <c r="J37" s="775" t="n"/>
      <c r="K37" s="272" t="n"/>
      <c r="L37" s="775" t="n"/>
      <c r="M37" s="775" t="n"/>
      <c r="N37" s="775" t="n"/>
      <c r="O37" s="775" t="n"/>
      <c r="P37" s="775" t="n"/>
      <c r="Q37" s="310" t="n"/>
      <c r="R37" s="11" t="n"/>
    </row>
    <row r="38">
      <c r="A38" s="10" t="n"/>
      <c r="B38" s="56" t="n"/>
      <c r="C38" s="775" t="n"/>
      <c r="E38" s="775" t="n"/>
      <c r="G38" s="775" t="n"/>
      <c r="I38" s="775" t="n"/>
      <c r="K38" s="272" t="n"/>
      <c r="L38" s="699" t="n"/>
      <c r="N38" s="272" t="n"/>
      <c r="O38" s="699" t="n"/>
      <c r="Q38" s="202" t="n"/>
      <c r="R38" s="11" t="n"/>
    </row>
    <row r="39">
      <c r="A39" s="10" t="n"/>
      <c r="B39" s="56" t="n"/>
      <c r="C39" s="775" t="n"/>
      <c r="D39" s="775" t="n"/>
      <c r="E39" s="775" t="n"/>
      <c r="F39" s="775" t="n"/>
      <c r="G39" s="775" t="n"/>
      <c r="H39" s="775" t="n"/>
      <c r="I39" s="775" t="n"/>
      <c r="J39" s="775" t="n"/>
      <c r="K39" s="272" t="n"/>
      <c r="L39" s="699" t="n"/>
      <c r="M39" s="699" t="n"/>
      <c r="N39" s="272" t="n"/>
      <c r="O39" s="699" t="n"/>
      <c r="P39" s="699" t="n"/>
      <c r="Q39" s="202" t="n"/>
      <c r="R39" s="11" t="n"/>
    </row>
    <row r="40">
      <c r="A40" s="10" t="n"/>
      <c r="B40" s="56" t="n"/>
      <c r="C40" s="775" t="n"/>
      <c r="E40" s="775" t="n"/>
      <c r="G40" s="775" t="n"/>
      <c r="I40" s="775" t="n"/>
      <c r="K40" s="272" t="n"/>
      <c r="L40" s="699" t="n"/>
      <c r="N40" s="272" t="n"/>
      <c r="O40" s="699" t="n"/>
      <c r="Q40" s="202" t="n"/>
      <c r="R40" s="11" t="n"/>
    </row>
    <row r="41">
      <c r="A41" s="10" t="n"/>
      <c r="B41" s="56" t="n"/>
      <c r="C41" s="775" t="n"/>
      <c r="D41" s="775" t="n"/>
      <c r="E41" s="775" t="n"/>
      <c r="F41" s="775" t="n"/>
      <c r="G41" s="775" t="n"/>
      <c r="H41" s="775" t="n"/>
      <c r="I41" s="775" t="n"/>
      <c r="J41" s="775" t="n"/>
      <c r="K41" s="272" t="n"/>
      <c r="L41" s="699" t="n"/>
      <c r="M41" s="699" t="n"/>
      <c r="N41" s="272" t="n"/>
      <c r="O41" s="699" t="n"/>
      <c r="P41" s="699" t="n"/>
      <c r="Q41" s="202" t="n"/>
      <c r="R41" s="11" t="n"/>
    </row>
    <row r="42">
      <c r="A42" s="10" t="n"/>
      <c r="B42" s="56" t="n"/>
      <c r="C42" s="775" t="n"/>
      <c r="D42" s="775" t="n"/>
      <c r="E42" s="775" t="n"/>
      <c r="F42" s="775" t="n"/>
      <c r="G42" s="775" t="n"/>
      <c r="H42" s="775" t="n"/>
      <c r="I42" s="775" t="n"/>
      <c r="J42" s="775" t="n"/>
      <c r="K42" s="272" t="n"/>
      <c r="L42" s="699" t="n"/>
      <c r="M42" s="699" t="n"/>
      <c r="N42" s="272" t="n"/>
      <c r="O42" s="699" t="n"/>
      <c r="P42" s="699" t="n"/>
      <c r="Q42" s="202" t="n"/>
      <c r="R42" s="11" t="n"/>
    </row>
    <row r="43">
      <c r="A43" s="10" t="n"/>
      <c r="B43" s="56" t="n"/>
      <c r="C43" s="775" t="n"/>
      <c r="D43" s="775" t="n"/>
      <c r="E43" s="775" t="n"/>
      <c r="F43" s="775" t="n"/>
      <c r="G43" s="775" t="n"/>
      <c r="H43" s="775" t="n"/>
      <c r="I43" s="775" t="n"/>
      <c r="J43" s="775" t="n"/>
      <c r="K43" s="272" t="n"/>
      <c r="L43" s="699" t="n"/>
      <c r="M43" s="699" t="n"/>
      <c r="N43" s="272" t="n"/>
      <c r="O43" s="699" t="n"/>
      <c r="P43" s="699" t="n"/>
      <c r="Q43" s="202" t="n"/>
      <c r="R43" s="11" t="n"/>
    </row>
    <row r="44">
      <c r="A44" s="10" t="n"/>
      <c r="B44" s="56" t="n"/>
      <c r="C44" s="775" t="n"/>
      <c r="D44" s="775" t="n"/>
      <c r="E44" s="775" t="n"/>
      <c r="F44" s="775" t="n"/>
      <c r="G44" s="775" t="n"/>
      <c r="H44" s="775" t="n"/>
      <c r="I44" s="775" t="n"/>
      <c r="J44" s="775" t="n"/>
      <c r="K44" s="272" t="n"/>
      <c r="L44" s="699" t="n"/>
      <c r="M44" s="699" t="n"/>
      <c r="N44" s="272" t="n"/>
      <c r="O44" s="699" t="n"/>
      <c r="P44" s="699" t="n"/>
      <c r="Q44" s="202" t="n"/>
      <c r="R44" s="11" t="n"/>
    </row>
    <row r="45">
      <c r="A45" s="10" t="n"/>
      <c r="B45" s="56" t="n"/>
      <c r="C45" s="775" t="n"/>
      <c r="D45" s="775" t="n"/>
      <c r="E45" s="775" t="n"/>
      <c r="F45" s="775" t="n"/>
      <c r="G45" s="775" t="n"/>
      <c r="H45" s="775" t="n"/>
      <c r="I45" s="775" t="n"/>
      <c r="J45" s="775" t="n"/>
      <c r="K45" s="272" t="n"/>
      <c r="L45" s="699" t="n"/>
      <c r="M45" s="699" t="n"/>
      <c r="N45" s="272" t="n"/>
      <c r="O45" s="699" t="n"/>
      <c r="P45" s="699" t="n"/>
      <c r="Q45" s="202" t="n"/>
      <c r="R45" s="11" t="n"/>
    </row>
    <row r="46">
      <c r="A46" s="10" t="n"/>
      <c r="B46" s="173" t="n"/>
      <c r="C46" s="24" t="n"/>
      <c r="D46" s="24" t="n"/>
      <c r="E46" s="24" t="n"/>
      <c r="F46" s="24" t="n"/>
      <c r="G46" s="24" t="n"/>
      <c r="H46" s="24" t="n"/>
      <c r="I46" s="24" t="n"/>
      <c r="J46" s="24" t="n"/>
      <c r="K46" s="24" t="n"/>
      <c r="L46" s="24" t="n"/>
      <c r="M46" s="24" t="n"/>
      <c r="N46" s="24" t="n"/>
      <c r="O46" s="24" t="n"/>
      <c r="P46" s="24" t="n"/>
      <c r="Q46" s="310" t="n"/>
      <c r="R46" s="11" t="n"/>
    </row>
    <row r="47" ht="15.75" customHeight="1" s="718">
      <c r="A47" s="10" t="n"/>
      <c r="B47" s="587" t="inlineStr">
        <is>
          <t>Sonuç :</t>
        </is>
      </c>
      <c r="C47" s="242" t="n"/>
      <c r="D47" s="517" t="inlineStr">
        <is>
          <t>Yapılan ölçümlerde kesicinin İzolasyon değerleri uygundur.</t>
        </is>
      </c>
      <c r="E47" s="70" t="n"/>
      <c r="F47" s="70" t="n"/>
      <c r="G47" s="70" t="n"/>
      <c r="H47" s="70" t="n"/>
      <c r="I47" s="70" t="n"/>
      <c r="J47" s="70" t="n"/>
      <c r="K47" s="70" t="n"/>
      <c r="L47" s="70" t="n"/>
      <c r="M47" s="70" t="n"/>
      <c r="N47" s="70" t="n"/>
      <c r="O47" s="70" t="n"/>
      <c r="P47" s="70" t="n"/>
      <c r="Q47" s="359" t="n"/>
      <c r="R47" s="11" t="n"/>
    </row>
    <row r="48" ht="15" customHeight="1" s="718">
      <c r="A48" s="10" t="n"/>
      <c r="B48" s="173" t="n"/>
      <c r="C48" s="24" t="n"/>
      <c r="Q48" s="360" t="n"/>
      <c r="R48" s="11" t="n"/>
    </row>
    <row r="49" ht="11.25" customHeight="1" s="718">
      <c r="A49" s="10" t="n"/>
      <c r="B49" s="311" t="n"/>
      <c r="C49" s="701" t="n"/>
      <c r="Q49" s="360" t="n"/>
      <c r="R49" s="11" t="n"/>
    </row>
    <row r="50" ht="22.5" customHeight="1" s="718">
      <c r="A50" s="10" t="n"/>
      <c r="B50" s="511" t="inlineStr">
        <is>
          <t>UNVAN</t>
        </is>
      </c>
      <c r="C50" s="70" t="n"/>
      <c r="D50" s="70" t="n"/>
      <c r="E50" s="328" t="inlineStr">
        <is>
          <t>:</t>
        </is>
      </c>
      <c r="F50" s="521" t="inlineStr">
        <is>
          <t>Elektrik Mühendisi</t>
        </is>
      </c>
      <c r="G50" s="70" t="n"/>
      <c r="H50" s="70" t="n"/>
      <c r="I50" s="359" t="n"/>
      <c r="J50" s="811" t="inlineStr">
        <is>
          <t>ONAYLAYAN</t>
        </is>
      </c>
      <c r="K50" s="130" t="n"/>
      <c r="L50" s="130" t="n"/>
      <c r="M50" s="130" t="n"/>
      <c r="N50" s="130" t="n"/>
      <c r="O50" s="130" t="n"/>
      <c r="P50" s="130" t="n"/>
      <c r="Q50" s="242" t="n"/>
      <c r="R50" s="11" t="n"/>
    </row>
    <row r="51" ht="22.5" customHeight="1" s="718">
      <c r="A51" s="10" t="n"/>
      <c r="B51" s="511" t="inlineStr">
        <is>
          <t>TEST TARİHİ</t>
        </is>
      </c>
      <c r="C51" s="70" t="n"/>
      <c r="D51" s="70" t="n"/>
      <c r="E51" s="328" t="inlineStr">
        <is>
          <t>:</t>
        </is>
      </c>
      <c r="F51" s="829">
        <f>'ANA SAYFA KESİCİ'!F75:J75</f>
        <v/>
      </c>
      <c r="G51" s="70" t="n"/>
      <c r="H51" s="70" t="n"/>
      <c r="I51" s="359" t="n"/>
      <c r="J51" s="75" t="n"/>
      <c r="K51" s="76" t="n"/>
      <c r="L51" s="191" t="n"/>
      <c r="M51" s="191" t="n"/>
      <c r="N51" s="191" t="n"/>
      <c r="O51" s="191" t="n"/>
      <c r="P51" s="191" t="n"/>
      <c r="Q51" s="193" t="n"/>
      <c r="R51" s="11" t="n"/>
    </row>
    <row r="52" ht="22.5" customHeight="1" s="718">
      <c r="A52" s="10" t="n"/>
      <c r="B52" s="508" t="inlineStr">
        <is>
          <t>ODA SİCİL NO</t>
        </is>
      </c>
      <c r="C52" s="130" t="n"/>
      <c r="D52" s="130" t="n"/>
      <c r="E52" s="564" t="inlineStr">
        <is>
          <t>:</t>
        </is>
      </c>
      <c r="F52" s="565">
        <f>'ANA SAYFA KESİCİ'!F77:J77</f>
        <v/>
      </c>
      <c r="G52" s="70" t="n"/>
      <c r="H52" s="70" t="n"/>
      <c r="I52" s="359" t="n"/>
      <c r="J52" s="75" t="n"/>
      <c r="K52" s="76" t="n"/>
      <c r="L52" s="191" t="n"/>
      <c r="M52" s="191" t="n"/>
      <c r="N52" s="191" t="n"/>
      <c r="O52" s="191" t="n"/>
      <c r="P52" s="191" t="n"/>
      <c r="Q52" s="193" t="n"/>
      <c r="R52" s="11" t="n"/>
    </row>
    <row r="53" ht="22.5" customHeight="1" s="718">
      <c r="A53" s="10" t="n"/>
      <c r="B53" s="508" t="inlineStr">
        <is>
          <t>EKİPNET NO</t>
        </is>
      </c>
      <c r="C53" s="130" t="n"/>
      <c r="D53" s="130" t="n"/>
      <c r="E53" s="509" t="inlineStr">
        <is>
          <t>:</t>
        </is>
      </c>
      <c r="F53" s="510">
        <f>'ANA SAYFA KESİCİ'!F78:J78</f>
        <v/>
      </c>
      <c r="G53" s="130" t="n"/>
      <c r="H53" s="130" t="n"/>
      <c r="I53" s="242" t="n"/>
      <c r="J53" s="352" t="n"/>
      <c r="K53" s="197" t="n"/>
      <c r="L53" s="197" t="n"/>
      <c r="M53" s="197" t="n"/>
      <c r="N53" s="197" t="n"/>
      <c r="O53" s="197" t="n"/>
      <c r="P53" s="197" t="n"/>
      <c r="Q53" s="194" t="n"/>
      <c r="R53" s="11" t="n"/>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67">
    <mergeCell ref="J8:Q8"/>
    <mergeCell ref="B47:C47"/>
    <mergeCell ref="B16:C16"/>
    <mergeCell ref="X28:AF28"/>
    <mergeCell ref="F16:G16"/>
    <mergeCell ref="D19:E19"/>
    <mergeCell ref="H10:I10"/>
    <mergeCell ref="D47:Q48"/>
    <mergeCell ref="F19:G19"/>
    <mergeCell ref="F52:I52"/>
    <mergeCell ref="B53:D53"/>
    <mergeCell ref="G3:I3"/>
    <mergeCell ref="B18:C18"/>
    <mergeCell ref="B5:Q5"/>
    <mergeCell ref="H16:J16"/>
    <mergeCell ref="E38:F38"/>
    <mergeCell ref="G38:H38"/>
    <mergeCell ref="F53:I53"/>
    <mergeCell ref="K3:Q3"/>
    <mergeCell ref="M10:N10"/>
    <mergeCell ref="F18:G18"/>
    <mergeCell ref="O17:Q17"/>
    <mergeCell ref="C40:D40"/>
    <mergeCell ref="B17:C17"/>
    <mergeCell ref="N16:Q16"/>
    <mergeCell ref="E40:F40"/>
    <mergeCell ref="D17:E17"/>
    <mergeCell ref="B8:I8"/>
    <mergeCell ref="F17:G17"/>
    <mergeCell ref="B51:D51"/>
    <mergeCell ref="D10:G10"/>
    <mergeCell ref="H17:I17"/>
    <mergeCell ref="D16:E16"/>
    <mergeCell ref="L38:M38"/>
    <mergeCell ref="B19:C19"/>
    <mergeCell ref="B50:D50"/>
    <mergeCell ref="B10:C10"/>
    <mergeCell ref="O40:P40"/>
    <mergeCell ref="H19:I19"/>
    <mergeCell ref="B12:Q12"/>
    <mergeCell ref="X27:AF27"/>
    <mergeCell ref="F51:I51"/>
    <mergeCell ref="C49:Q49"/>
    <mergeCell ref="D18:E18"/>
    <mergeCell ref="K16:M16"/>
    <mergeCell ref="L40:M40"/>
    <mergeCell ref="B29:Q36"/>
    <mergeCell ref="K17:L17"/>
    <mergeCell ref="O10:Q10"/>
    <mergeCell ref="F50:I50"/>
    <mergeCell ref="O19:Q19"/>
    <mergeCell ref="G2:I2"/>
    <mergeCell ref="C38:D38"/>
    <mergeCell ref="J50:Q50"/>
    <mergeCell ref="I38:J38"/>
    <mergeCell ref="B14:Q14"/>
    <mergeCell ref="J10:L10"/>
    <mergeCell ref="O18:Q18"/>
    <mergeCell ref="B2:F3"/>
    <mergeCell ref="I40:J40"/>
    <mergeCell ref="H18:I18"/>
    <mergeCell ref="O38:P38"/>
    <mergeCell ref="K19:L19"/>
    <mergeCell ref="B52:D52"/>
    <mergeCell ref="G40:H40"/>
    <mergeCell ref="K2:Q2"/>
    <mergeCell ref="K18:L18"/>
  </mergeCells>
  <conditionalFormatting sqref="N17:N19">
    <cfRule type="iconSet" priority="2">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D54"/>
  <sheetViews>
    <sheetView topLeftCell="A33" zoomScaleNormal="100" workbookViewId="0">
      <selection activeCell="D46" sqref="D46:Q46"/>
    </sheetView>
  </sheetViews>
  <sheetFormatPr baseColWidth="8" defaultColWidth="9.109375" defaultRowHeight="14.4"/>
  <cols>
    <col width="3.5546875" customWidth="1" style="718" min="1" max="1"/>
    <col width="5.44140625" customWidth="1" style="718" min="2" max="17"/>
    <col width="3.5546875" customWidth="1" style="718" min="18" max="18"/>
    <col width="9.109375" customWidth="1" style="718"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694" t="inlineStr">
        <is>
          <t xml:space="preserve">  ŞALT SAHASI          </t>
        </is>
      </c>
      <c r="H2" s="70" t="n"/>
      <c r="I2" s="70" t="n"/>
      <c r="J2" s="276" t="inlineStr">
        <is>
          <t>:</t>
        </is>
      </c>
      <c r="K2" s="457">
        <f>'ANA SAYFA KESİCİ'!K2</f>
        <v/>
      </c>
      <c r="L2" s="70" t="n"/>
      <c r="M2" s="70" t="n"/>
      <c r="N2" s="70" t="n"/>
      <c r="O2" s="70" t="n"/>
      <c r="P2" s="70" t="n"/>
      <c r="Q2" s="359" t="n"/>
      <c r="R2" s="11" t="n"/>
    </row>
    <row r="3" ht="29.25" customHeight="1" s="718">
      <c r="A3" s="10" t="n"/>
      <c r="B3" s="62" t="n"/>
      <c r="C3" s="139" t="n"/>
      <c r="D3" s="139" t="n"/>
      <c r="E3" s="139" t="n"/>
      <c r="F3" s="361" t="n"/>
      <c r="G3" s="695" t="inlineStr">
        <is>
          <t xml:space="preserve">  LOKASYON</t>
        </is>
      </c>
      <c r="H3" s="139" t="n"/>
      <c r="I3" s="139" t="n"/>
      <c r="J3" s="696" t="inlineStr">
        <is>
          <t>:</t>
        </is>
      </c>
      <c r="K3" s="549">
        <f>'ANA SAYFA KESİCİ'!K5</f>
        <v/>
      </c>
      <c r="L3" s="139" t="n"/>
      <c r="M3" s="139" t="n"/>
      <c r="N3" s="139" t="n"/>
      <c r="O3" s="139" t="n"/>
      <c r="P3" s="139" t="n"/>
      <c r="Q3" s="361" t="n"/>
      <c r="R3" s="11" t="n"/>
    </row>
    <row r="4" ht="11.25" customHeight="1" s="718">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11" t="inlineStr">
        <is>
          <t>KESİCİ KONTAK DİRENCİ TEST SONUÇLARI</t>
        </is>
      </c>
      <c r="C5" s="130" t="n"/>
      <c r="D5" s="130" t="n"/>
      <c r="E5" s="130" t="n"/>
      <c r="F5" s="130" t="n"/>
      <c r="G5" s="130" t="n"/>
      <c r="H5" s="130" t="n"/>
      <c r="I5" s="130" t="n"/>
      <c r="J5" s="130" t="n"/>
      <c r="K5" s="130" t="n"/>
      <c r="L5" s="130" t="n"/>
      <c r="M5" s="130" t="n"/>
      <c r="N5" s="130" t="n"/>
      <c r="O5" s="130" t="n"/>
      <c r="P5" s="130" t="n"/>
      <c r="Q5" s="242" t="n"/>
      <c r="R5" s="11" t="n"/>
    </row>
    <row r="6" ht="6" customHeight="1" s="718">
      <c r="A6" s="10" t="n"/>
      <c r="B6" s="3" t="n"/>
      <c r="C6" s="272" t="n"/>
      <c r="D6" s="272" t="n"/>
      <c r="E6" s="272" t="n"/>
      <c r="F6" s="272" t="n"/>
      <c r="G6" s="272" t="n"/>
      <c r="H6" s="272" t="n"/>
      <c r="I6" s="272" t="n"/>
      <c r="J6" s="272" t="n"/>
      <c r="K6" s="272" t="n"/>
      <c r="L6" s="272" t="n"/>
      <c r="M6" s="272" t="n"/>
      <c r="N6" s="272" t="n"/>
      <c r="O6" s="272" t="n"/>
      <c r="P6" s="272" t="n"/>
      <c r="Q6" s="202" t="n"/>
      <c r="R6" s="11" t="n"/>
    </row>
    <row r="7" ht="6" customHeight="1" s="718">
      <c r="A7" s="10" t="n"/>
      <c r="B7" s="3" t="n"/>
      <c r="C7" s="272" t="n"/>
      <c r="D7" s="272" t="n"/>
      <c r="E7" s="272" t="n"/>
      <c r="F7" s="272" t="n"/>
      <c r="G7" s="272" t="n"/>
      <c r="H7" s="272" t="n"/>
      <c r="I7" s="272" t="n"/>
      <c r="J7" s="272" t="n"/>
      <c r="K7" s="272" t="n"/>
      <c r="L7" s="272" t="n"/>
      <c r="M7" s="272" t="n"/>
      <c r="N7" s="272" t="n"/>
      <c r="O7" s="272" t="n"/>
      <c r="P7" s="272" t="n"/>
      <c r="Q7" s="202" t="n"/>
      <c r="R7" s="11" t="n"/>
    </row>
    <row r="8" ht="18" customHeight="1" s="718">
      <c r="A8" s="10" t="n"/>
      <c r="B8" s="555" t="inlineStr">
        <is>
          <t>OTURUM TARİHİ :</t>
        </is>
      </c>
      <c r="C8" s="130" t="n"/>
      <c r="D8" s="130" t="n"/>
      <c r="E8" s="130" t="n"/>
      <c r="F8" s="130" t="n"/>
      <c r="G8" s="130" t="n"/>
      <c r="H8" s="130" t="n"/>
      <c r="I8" s="130" t="n"/>
      <c r="J8" s="823">
        <f>'ANA SAYFA KESİCİ'!F74</f>
        <v/>
      </c>
      <c r="K8" s="130" t="n"/>
      <c r="L8" s="130" t="n"/>
      <c r="M8" s="130" t="n"/>
      <c r="N8" s="130" t="n"/>
      <c r="O8" s="130" t="n"/>
      <c r="P8" s="130" t="n"/>
      <c r="Q8" s="242" t="n"/>
      <c r="R8" s="11" t="n"/>
    </row>
    <row r="9" ht="5.25" customHeight="1" s="718">
      <c r="A9" s="10" t="n"/>
      <c r="B9" s="3" t="n"/>
      <c r="C9" s="272" t="n"/>
      <c r="D9" s="272" t="n"/>
      <c r="E9" s="272" t="n"/>
      <c r="F9" s="272" t="n"/>
      <c r="G9" s="272" t="n"/>
      <c r="H9" s="272" t="n"/>
      <c r="I9" s="272" t="n"/>
      <c r="J9" s="272" t="n"/>
      <c r="K9" s="272" t="n"/>
      <c r="L9" s="272" t="n"/>
      <c r="M9" s="272" t="n"/>
      <c r="N9" s="272" t="n"/>
      <c r="O9" s="272" t="n"/>
      <c r="P9" s="272" t="n"/>
      <c r="Q9" s="202" t="n"/>
      <c r="R9" s="11" t="n"/>
    </row>
    <row r="10">
      <c r="A10" s="10" t="n"/>
      <c r="B10" s="576" t="inlineStr">
        <is>
          <t>Operatör :</t>
        </is>
      </c>
      <c r="C10" s="242" t="n"/>
      <c r="D10" s="577" t="inlineStr">
        <is>
          <t>Ahmet YILMAZ</t>
        </is>
      </c>
      <c r="E10" s="130" t="n"/>
      <c r="F10" s="130" t="n"/>
      <c r="G10" s="242" t="n"/>
      <c r="H10" s="576" t="inlineStr">
        <is>
          <t>Cihaz :</t>
        </is>
      </c>
      <c r="I10" s="242" t="n"/>
      <c r="J10" s="743" t="inlineStr">
        <is>
          <t>STS 5000</t>
        </is>
      </c>
      <c r="K10" s="130" t="n"/>
      <c r="L10" s="242" t="n"/>
      <c r="M10" s="743" t="inlineStr">
        <is>
          <t>Cihaz S/N :</t>
        </is>
      </c>
      <c r="N10" s="242" t="n"/>
      <c r="O10" s="743" t="inlineStr">
        <is>
          <t>SN-19B20</t>
        </is>
      </c>
      <c r="P10" s="130" t="n"/>
      <c r="Q10" s="242" t="n"/>
      <c r="R10" s="11" t="n"/>
    </row>
    <row r="11" ht="6" customHeight="1" s="718">
      <c r="A11" s="10" t="n"/>
      <c r="B11" s="3" t="n"/>
      <c r="C11" s="272" t="n"/>
      <c r="D11" s="272" t="n"/>
      <c r="E11" s="272" t="n"/>
      <c r="F11" s="272" t="n"/>
      <c r="G11" s="272" t="n"/>
      <c r="H11" s="272" t="n"/>
      <c r="I11" s="272" t="n"/>
      <c r="J11" s="272" t="n"/>
      <c r="K11" s="272" t="n"/>
      <c r="L11" s="272" t="n"/>
      <c r="M11" s="272" t="n"/>
      <c r="N11" s="272" t="n"/>
      <c r="O11" s="272" t="n"/>
      <c r="P11" s="272" t="n"/>
      <c r="Q11" s="202" t="n"/>
      <c r="R11" s="11" t="n"/>
    </row>
    <row r="12" ht="18" customHeight="1" s="718">
      <c r="A12" s="10" t="n"/>
      <c r="B12" s="575" t="inlineStr">
        <is>
          <t>Sonuçlar</t>
        </is>
      </c>
      <c r="C12" s="130" t="n"/>
      <c r="D12" s="130" t="n"/>
      <c r="E12" s="130" t="n"/>
      <c r="F12" s="130" t="n"/>
      <c r="G12" s="130" t="n"/>
      <c r="H12" s="130" t="n"/>
      <c r="I12" s="130" t="n"/>
      <c r="J12" s="130" t="n"/>
      <c r="K12" s="130" t="n"/>
      <c r="L12" s="130" t="n"/>
      <c r="M12" s="130" t="n"/>
      <c r="N12" s="130" t="n"/>
      <c r="O12" s="130" t="n"/>
      <c r="P12" s="130" t="n"/>
      <c r="Q12" s="242" t="n"/>
      <c r="R12" s="11" t="n"/>
    </row>
    <row r="13" ht="6" customHeight="1" s="718">
      <c r="A13" s="10" t="n"/>
      <c r="B13" s="3" t="n"/>
      <c r="C13" s="272" t="n"/>
      <c r="D13" s="272" t="n"/>
      <c r="E13" s="272" t="n"/>
      <c r="F13" s="272" t="n"/>
      <c r="G13" s="272" t="n"/>
      <c r="H13" s="272" t="n"/>
      <c r="I13" s="272" t="n"/>
      <c r="J13" s="272" t="n"/>
      <c r="K13" s="272" t="n"/>
      <c r="L13" s="272" t="n"/>
      <c r="M13" s="272" t="n"/>
      <c r="N13" s="272" t="n"/>
      <c r="O13" s="272" t="n"/>
      <c r="P13" s="272" t="n"/>
      <c r="Q13" s="202" t="n"/>
      <c r="R13" s="11" t="n"/>
    </row>
    <row r="14" ht="18" customHeight="1" s="718">
      <c r="A14" s="10" t="n"/>
      <c r="B14" s="574" t="inlineStr">
        <is>
          <t>Kontak Direnci µΩ</t>
        </is>
      </c>
      <c r="C14" s="130" t="n"/>
      <c r="D14" s="130" t="n"/>
      <c r="E14" s="130" t="n"/>
      <c r="F14" s="130" t="n"/>
      <c r="G14" s="130" t="n"/>
      <c r="H14" s="130" t="n"/>
      <c r="I14" s="242" t="n"/>
      <c r="J14" s="257" t="inlineStr">
        <is>
          <t xml:space="preserve">L-1 </t>
        </is>
      </c>
      <c r="K14" s="106" t="n"/>
      <c r="L14" s="106" t="n"/>
      <c r="M14" s="106" t="n"/>
      <c r="N14" s="106" t="n"/>
      <c r="O14" s="106" t="n"/>
      <c r="P14" s="702">
        <f>IF(N20&lt;150,1,0)</f>
        <v/>
      </c>
      <c r="Q14" s="242" t="n"/>
      <c r="R14" s="11" t="n"/>
    </row>
    <row r="15" ht="9" customHeight="1" s="718">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537" t="inlineStr">
        <is>
          <t>Nominal Değerler</t>
        </is>
      </c>
      <c r="F16" s="612" t="n"/>
      <c r="J16" s="538" t="inlineStr">
        <is>
          <t>Ölçülen</t>
        </is>
      </c>
      <c r="N16" s="495" t="n"/>
      <c r="Q16" s="360" t="n"/>
      <c r="R16" s="11" t="n"/>
    </row>
    <row r="17">
      <c r="A17" s="10" t="n"/>
      <c r="B17" s="481" t="inlineStr">
        <is>
          <t>Maksimum Direnç</t>
        </is>
      </c>
      <c r="F17" s="620" t="n">
        <v>150</v>
      </c>
      <c r="H17" s="258" t="inlineStr">
        <is>
          <t>µΩ</t>
        </is>
      </c>
      <c r="I17" s="272" t="n"/>
      <c r="J17" s="612" t="inlineStr">
        <is>
          <t>Akım DC</t>
        </is>
      </c>
      <c r="N17" s="619" t="n">
        <v>82</v>
      </c>
      <c r="P17" s="495" t="inlineStr">
        <is>
          <t>A</t>
        </is>
      </c>
      <c r="Q17" s="360" t="n"/>
      <c r="R17" s="11" t="n"/>
    </row>
    <row r="18">
      <c r="A18" s="10" t="n"/>
      <c r="B18" s="481" t="n"/>
      <c r="F18" s="612" t="n"/>
      <c r="J18" s="612" t="inlineStr">
        <is>
          <t>Gerilim DC</t>
        </is>
      </c>
      <c r="N18" s="620">
        <f>N20*N17/1000</f>
        <v/>
      </c>
      <c r="P18" s="495" t="inlineStr">
        <is>
          <t>mV</t>
        </is>
      </c>
      <c r="Q18" s="360" t="n"/>
      <c r="R18" s="11" t="n"/>
    </row>
    <row r="19">
      <c r="A19" s="10" t="n"/>
      <c r="B19" s="481" t="inlineStr">
        <is>
          <t>Çıkış Kademesi</t>
        </is>
      </c>
      <c r="F19" s="703" t="inlineStr">
        <is>
          <t>DC 400A</t>
        </is>
      </c>
      <c r="H19" s="272" t="n"/>
      <c r="I19" s="272" t="n"/>
      <c r="J19" s="538" t="inlineStr">
        <is>
          <t>Sonuçlar</t>
        </is>
      </c>
      <c r="N19" s="495" t="n"/>
      <c r="Q19" s="360" t="n"/>
      <c r="R19" s="11" t="n"/>
    </row>
    <row r="20">
      <c r="A20" s="10" t="n"/>
      <c r="B20" s="468" t="inlineStr">
        <is>
          <t>Akım</t>
        </is>
      </c>
      <c r="F20" s="704" t="inlineStr">
        <is>
          <t>80,00A</t>
        </is>
      </c>
      <c r="H20" s="272" t="n"/>
      <c r="I20" s="272" t="n"/>
      <c r="J20" s="612" t="inlineStr">
        <is>
          <t>Ölçülen Direnç</t>
        </is>
      </c>
      <c r="N20" s="620">
        <f>'ANA SAYFA KESİCİ'!O50</f>
        <v/>
      </c>
      <c r="P20" s="706" t="inlineStr">
        <is>
          <t>µΩ</t>
        </is>
      </c>
      <c r="Q20" s="360" t="n"/>
      <c r="R20" s="11" t="n"/>
    </row>
    <row r="21" ht="15" customHeight="1" s="718">
      <c r="A21" s="10" t="n"/>
      <c r="B21" s="47" t="n"/>
      <c r="C21" s="48" t="n"/>
      <c r="D21" s="48" t="n"/>
      <c r="E21" s="48" t="n"/>
      <c r="F21" s="48" t="n"/>
      <c r="G21" s="48" t="n"/>
      <c r="H21" s="48" t="n"/>
      <c r="I21" s="48" t="n"/>
      <c r="J21" s="639" t="inlineStr">
        <is>
          <t>Hata</t>
        </is>
      </c>
      <c r="K21" s="139" t="n"/>
      <c r="L21" s="139" t="n"/>
      <c r="M21" s="139" t="n"/>
      <c r="N21" s="486" t="n"/>
      <c r="O21" s="139" t="n"/>
      <c r="P21" s="640" t="inlineStr">
        <is>
          <t>%</t>
        </is>
      </c>
      <c r="Q21" s="361" t="n"/>
      <c r="R21" s="11" t="n"/>
    </row>
    <row r="22" ht="6" customHeight="1" s="718">
      <c r="A22" s="10" t="n"/>
      <c r="B22" s="173" t="n"/>
      <c r="C22" s="707" t="n"/>
      <c r="E22" s="775" t="n"/>
      <c r="G22" s="775" t="n"/>
      <c r="I22" s="775" t="n"/>
      <c r="K22" s="775" t="n"/>
      <c r="M22" s="775" t="n"/>
      <c r="O22" s="775" t="n"/>
      <c r="Q22" s="310" t="n"/>
      <c r="R22" s="11" t="n"/>
    </row>
    <row r="23" ht="18" customHeight="1" s="718">
      <c r="A23" s="10" t="n"/>
      <c r="B23" s="574" t="inlineStr">
        <is>
          <t>Kontak Direnci µΩ</t>
        </is>
      </c>
      <c r="C23" s="130" t="n"/>
      <c r="D23" s="130" t="n"/>
      <c r="E23" s="130" t="n"/>
      <c r="F23" s="130" t="n"/>
      <c r="G23" s="130" t="n"/>
      <c r="H23" s="130" t="n"/>
      <c r="I23" s="242" t="n"/>
      <c r="J23" s="257" t="inlineStr">
        <is>
          <t>L-2</t>
        </is>
      </c>
      <c r="K23" s="106" t="n"/>
      <c r="L23" s="106" t="n"/>
      <c r="M23" s="106" t="n"/>
      <c r="N23" s="106" t="n"/>
      <c r="O23" s="106" t="n"/>
      <c r="P23" s="702">
        <f>IF(N29&lt;150,1,0)</f>
        <v/>
      </c>
      <c r="Q23" s="242"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700" t="inlineStr">
        <is>
          <t>Kesicinin L1 kontağına ait geçiş direci uygundur.</t>
        </is>
      </c>
    </row>
    <row r="25">
      <c r="A25" s="10" t="n"/>
      <c r="B25" s="537" t="inlineStr">
        <is>
          <t>Nominal Değerler</t>
        </is>
      </c>
      <c r="F25" s="612" t="n"/>
      <c r="J25" s="538" t="inlineStr">
        <is>
          <t>Ölçülen</t>
        </is>
      </c>
      <c r="N25" s="704" t="n"/>
      <c r="P25" s="495" t="n"/>
      <c r="Q25" s="360" t="n"/>
      <c r="R25" s="11" t="n"/>
      <c r="V25" s="700" t="inlineStr">
        <is>
          <t>Kesicinin L1 kontağına ait geçiş direci uygun değildir.</t>
        </is>
      </c>
    </row>
    <row r="26">
      <c r="A26" s="10" t="n"/>
      <c r="B26" s="481" t="inlineStr">
        <is>
          <t>Nominal Direnç</t>
        </is>
      </c>
      <c r="F26" s="620" t="n">
        <v>150</v>
      </c>
      <c r="H26" s="258" t="inlineStr">
        <is>
          <t>µΩ</t>
        </is>
      </c>
      <c r="I26" s="272" t="n"/>
      <c r="J26" s="612" t="inlineStr">
        <is>
          <t>Akım DC</t>
        </is>
      </c>
      <c r="N26" s="619" t="n">
        <v>82</v>
      </c>
      <c r="P26" s="495" t="inlineStr">
        <is>
          <t>A</t>
        </is>
      </c>
      <c r="Q26" s="360" t="n"/>
      <c r="R26" s="11" t="n"/>
      <c r="V26" s="700" t="inlineStr">
        <is>
          <t>Kesicinin L2 kontağına ait geçiş direci uygundur.</t>
        </is>
      </c>
    </row>
    <row r="27">
      <c r="A27" s="10" t="n"/>
      <c r="B27" s="481" t="n"/>
      <c r="F27" s="612" t="n"/>
      <c r="J27" s="612" t="inlineStr">
        <is>
          <t>Gerilim DC</t>
        </is>
      </c>
      <c r="N27" s="620">
        <f>N29*N26/1000</f>
        <v/>
      </c>
      <c r="P27" s="495" t="inlineStr">
        <is>
          <t>mV</t>
        </is>
      </c>
      <c r="Q27" s="360" t="n"/>
      <c r="R27" s="11" t="n"/>
      <c r="V27" s="700" t="inlineStr">
        <is>
          <t>Kesicinin L2 kontağına ait geçiş direci uygun değildir.</t>
        </is>
      </c>
    </row>
    <row r="28">
      <c r="A28" s="10" t="n"/>
      <c r="B28" s="481" t="inlineStr">
        <is>
          <t>Çıkış Kademesi</t>
        </is>
      </c>
      <c r="F28" s="703" t="inlineStr">
        <is>
          <t>DC 400A</t>
        </is>
      </c>
      <c r="H28" s="272" t="n"/>
      <c r="I28" s="272" t="n"/>
      <c r="J28" s="538" t="inlineStr">
        <is>
          <t>Sonuçlar</t>
        </is>
      </c>
      <c r="N28" s="495" t="n"/>
      <c r="Q28" s="360" t="n"/>
      <c r="R28" s="11" t="n"/>
      <c r="V28" s="700" t="inlineStr">
        <is>
          <t>Kesicinin L3 kontağına ait geçiş direci uygundur.</t>
        </is>
      </c>
    </row>
    <row r="29">
      <c r="A29" s="10" t="n"/>
      <c r="B29" s="468" t="inlineStr">
        <is>
          <t>Akım</t>
        </is>
      </c>
      <c r="F29" s="704" t="inlineStr">
        <is>
          <t>80,00A</t>
        </is>
      </c>
      <c r="H29" s="272" t="n"/>
      <c r="I29" s="272" t="n"/>
      <c r="J29" s="612" t="inlineStr">
        <is>
          <t>Ölçülen Direnç</t>
        </is>
      </c>
      <c r="N29" s="620">
        <f>'ANA SAYFA KESİCİ'!O52</f>
        <v/>
      </c>
      <c r="P29" s="706" t="inlineStr">
        <is>
          <t>µΩ</t>
        </is>
      </c>
      <c r="Q29" s="360" t="n"/>
      <c r="R29" s="11" t="n"/>
      <c r="V29" s="700" t="inlineStr">
        <is>
          <t>Kesicinin L3 kontağına ait geçiş direci uygun değildir.</t>
        </is>
      </c>
    </row>
    <row r="30" ht="15" customHeight="1" s="718">
      <c r="A30" s="10" t="n"/>
      <c r="B30" s="47" t="n"/>
      <c r="C30" s="48" t="n"/>
      <c r="D30" s="48" t="n"/>
      <c r="E30" s="48" t="n"/>
      <c r="F30" s="48" t="n"/>
      <c r="G30" s="48" t="n"/>
      <c r="H30" s="48" t="n"/>
      <c r="I30" s="48" t="n"/>
      <c r="J30" s="639" t="n"/>
      <c r="K30" s="139" t="n"/>
      <c r="L30" s="139" t="n"/>
      <c r="M30" s="139" t="n"/>
      <c r="N30" s="486" t="n"/>
      <c r="O30" s="139" t="n"/>
      <c r="P30" s="640" t="inlineStr">
        <is>
          <t>%</t>
        </is>
      </c>
      <c r="Q30" s="361" t="n"/>
      <c r="R30" s="11" t="n"/>
    </row>
    <row r="31" ht="7.5" customHeight="1" s="718">
      <c r="A31" s="10" t="n"/>
      <c r="B31" s="3" t="n"/>
      <c r="C31" s="272" t="n"/>
      <c r="D31" s="272" t="n"/>
      <c r="E31" s="272" t="n"/>
      <c r="F31" s="272" t="n"/>
      <c r="G31" s="272" t="n"/>
      <c r="H31" s="272" t="n"/>
      <c r="I31" s="272" t="n"/>
      <c r="J31" s="272" t="n"/>
      <c r="K31" s="272" t="n"/>
      <c r="L31" s="272" t="n"/>
      <c r="M31" s="272" t="n"/>
      <c r="N31" s="272" t="n"/>
      <c r="O31" s="272" t="n"/>
      <c r="P31" s="272" t="n"/>
      <c r="Q31" s="202" t="n"/>
      <c r="R31" s="11" t="n"/>
    </row>
    <row r="32" ht="18" customHeight="1" s="718">
      <c r="A32" s="10" t="n"/>
      <c r="B32" s="574" t="inlineStr">
        <is>
          <t>Kontak Direnci µΩ</t>
        </is>
      </c>
      <c r="C32" s="130" t="n"/>
      <c r="D32" s="130" t="n"/>
      <c r="E32" s="130" t="n"/>
      <c r="F32" s="130" t="n"/>
      <c r="G32" s="130" t="n"/>
      <c r="H32" s="130" t="n"/>
      <c r="I32" s="242" t="n"/>
      <c r="J32" s="257" t="inlineStr">
        <is>
          <t xml:space="preserve">L-3 </t>
        </is>
      </c>
      <c r="K32" s="106" t="n"/>
      <c r="L32" s="106" t="n"/>
      <c r="M32" s="106" t="n"/>
      <c r="N32" s="106" t="n"/>
      <c r="O32" s="106" t="n"/>
      <c r="P32" s="702">
        <f>IF(N38&lt;150,1,0)</f>
        <v/>
      </c>
      <c r="Q32" s="242"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537" t="inlineStr">
        <is>
          <t>Nominal Değerler</t>
        </is>
      </c>
      <c r="F34" s="612" t="n"/>
      <c r="J34" s="538" t="inlineStr">
        <is>
          <t>Ölçülen</t>
        </is>
      </c>
      <c r="N34" s="704" t="n"/>
      <c r="P34" s="495" t="n"/>
      <c r="Q34" s="360" t="n"/>
      <c r="R34" s="11" t="n"/>
    </row>
    <row r="35">
      <c r="A35" s="10" t="n"/>
      <c r="B35" s="481" t="inlineStr">
        <is>
          <t>Nominal Direnç</t>
        </is>
      </c>
      <c r="F35" s="620" t="n">
        <v>150</v>
      </c>
      <c r="H35" s="258" t="inlineStr">
        <is>
          <t>µΩ</t>
        </is>
      </c>
      <c r="I35" s="272" t="n"/>
      <c r="J35" s="612" t="inlineStr">
        <is>
          <t>Akım DC</t>
        </is>
      </c>
      <c r="N35" s="619" t="n">
        <v>82</v>
      </c>
      <c r="P35" s="495" t="inlineStr">
        <is>
          <t>A</t>
        </is>
      </c>
      <c r="Q35" s="360" t="n"/>
      <c r="R35" s="11" t="n"/>
    </row>
    <row r="36">
      <c r="A36" s="10" t="n"/>
      <c r="B36" s="481" t="n"/>
      <c r="F36" s="612" t="n"/>
      <c r="J36" s="612" t="inlineStr">
        <is>
          <t>Gerilim DC</t>
        </is>
      </c>
      <c r="N36" s="620">
        <f>N38*N35/1000</f>
        <v/>
      </c>
      <c r="P36" s="495" t="inlineStr">
        <is>
          <t>mV</t>
        </is>
      </c>
      <c r="Q36" s="360" t="n"/>
      <c r="R36" s="11" t="n"/>
    </row>
    <row r="37" ht="15.75" customHeight="1" s="718">
      <c r="A37" s="10" t="n"/>
      <c r="B37" s="481" t="inlineStr">
        <is>
          <t>Çıkış Kademesi</t>
        </is>
      </c>
      <c r="F37" s="703" t="inlineStr">
        <is>
          <t>DC 400A</t>
        </is>
      </c>
      <c r="H37" s="272" t="n"/>
      <c r="I37" s="272" t="n"/>
      <c r="J37" s="538" t="inlineStr">
        <is>
          <t>Sonuçlar</t>
        </is>
      </c>
      <c r="N37" s="495" t="n"/>
      <c r="Q37" s="360" t="n"/>
      <c r="R37" s="11" t="n"/>
    </row>
    <row r="38" ht="15" customHeight="1" s="718">
      <c r="A38" s="10" t="n"/>
      <c r="B38" s="468" t="inlineStr">
        <is>
          <t>Akım</t>
        </is>
      </c>
      <c r="F38" s="704" t="inlineStr">
        <is>
          <t>80,00A</t>
        </is>
      </c>
      <c r="H38" s="272" t="n"/>
      <c r="I38" s="272" t="n"/>
      <c r="J38" s="612" t="inlineStr">
        <is>
          <t>Ölçülen Direnç</t>
        </is>
      </c>
      <c r="N38" s="620">
        <f>'ANA SAYFA KESİCİ'!O54</f>
        <v/>
      </c>
      <c r="P38" s="706" t="inlineStr">
        <is>
          <t>µΩ</t>
        </is>
      </c>
      <c r="Q38" s="360" t="n"/>
      <c r="R38" s="11" t="n"/>
    </row>
    <row r="39" ht="15" customHeight="1" s="718">
      <c r="A39" s="10" t="n"/>
      <c r="B39" s="47" t="n"/>
      <c r="C39" s="48" t="n"/>
      <c r="D39" s="48" t="n"/>
      <c r="E39" s="48" t="n"/>
      <c r="F39" s="48" t="n"/>
      <c r="G39" s="48" t="n"/>
      <c r="H39" s="48" t="n"/>
      <c r="I39" s="48" t="n"/>
      <c r="J39" s="639" t="n"/>
      <c r="K39" s="139" t="n"/>
      <c r="L39" s="139" t="n"/>
      <c r="M39" s="139" t="n"/>
      <c r="N39" s="486" t="n"/>
      <c r="O39" s="139" t="n"/>
      <c r="P39" s="640" t="inlineStr">
        <is>
          <t>%</t>
        </is>
      </c>
      <c r="Q39" s="361" t="n"/>
      <c r="R39" s="11" t="n"/>
    </row>
    <row r="40" ht="15" customHeight="1" s="718">
      <c r="A40" s="10" t="n"/>
      <c r="B40" s="3" t="n"/>
      <c r="C40" s="272" t="n"/>
      <c r="D40" s="272" t="n"/>
      <c r="E40" s="272" t="n"/>
      <c r="F40" s="272" t="n"/>
      <c r="G40" s="272" t="n"/>
      <c r="H40" s="272" t="n"/>
      <c r="I40" s="272" t="n"/>
      <c r="J40" s="612" t="n"/>
      <c r="K40" s="612" t="n"/>
      <c r="L40" s="612" t="n"/>
      <c r="M40" s="612" t="n"/>
      <c r="N40" s="775" t="n"/>
      <c r="O40" s="775" t="n"/>
      <c r="P40" s="612" t="n"/>
      <c r="Q40" s="495" t="n"/>
      <c r="R40" s="11" t="n"/>
    </row>
    <row r="41" ht="15" customHeight="1" s="718">
      <c r="A41" s="10" t="n"/>
      <c r="B41" s="3" t="n"/>
      <c r="C41" s="272" t="n"/>
      <c r="D41" s="272" t="n"/>
      <c r="E41" s="272" t="n"/>
      <c r="F41" s="272" t="n"/>
      <c r="G41" s="272" t="n"/>
      <c r="H41" s="272" t="n"/>
      <c r="I41" s="272" t="n"/>
      <c r="J41" s="612" t="n"/>
      <c r="K41" s="612" t="n"/>
      <c r="L41" s="612" t="n"/>
      <c r="M41" s="612" t="n"/>
      <c r="N41" s="775" t="n"/>
      <c r="O41" s="775" t="n"/>
      <c r="P41" s="612" t="n"/>
      <c r="Q41" s="495" t="n"/>
      <c r="R41" s="11" t="n"/>
    </row>
    <row r="42" ht="15" customHeight="1" s="718">
      <c r="A42" s="10" t="n"/>
      <c r="B42" s="3" t="n"/>
      <c r="C42" s="272" t="n"/>
      <c r="D42" s="272" t="n"/>
      <c r="E42" s="272" t="n"/>
      <c r="F42" s="272" t="n"/>
      <c r="G42" s="272" t="n"/>
      <c r="H42" s="272" t="n"/>
      <c r="I42" s="272" t="n"/>
      <c r="J42" s="612" t="n"/>
      <c r="K42" s="612" t="n"/>
      <c r="L42" s="612" t="n"/>
      <c r="M42" s="612" t="n"/>
      <c r="N42" s="775" t="n"/>
      <c r="O42" s="775" t="n"/>
      <c r="P42" s="612" t="n"/>
      <c r="Q42" s="495" t="n"/>
      <c r="R42" s="11" t="n"/>
    </row>
    <row r="43" ht="15" customHeight="1" s="718">
      <c r="A43" s="10" t="n"/>
      <c r="B43" s="3" t="n"/>
      <c r="C43" s="272" t="n"/>
      <c r="D43" s="272" t="n"/>
      <c r="E43" s="272" t="n"/>
      <c r="F43" s="272" t="n"/>
      <c r="G43" s="272" t="n"/>
      <c r="H43" s="272" t="n"/>
      <c r="I43" s="272" t="n"/>
      <c r="J43" s="612" t="n"/>
      <c r="K43" s="612" t="n"/>
      <c r="L43" s="612" t="n"/>
      <c r="M43" s="612" t="n"/>
      <c r="N43" s="775" t="n"/>
      <c r="O43" s="775" t="n"/>
      <c r="P43" s="612" t="n"/>
      <c r="Q43" s="495" t="n"/>
      <c r="R43" s="11" t="n"/>
    </row>
    <row r="44" ht="15" customHeight="1" s="718">
      <c r="A44" s="10" t="n"/>
      <c r="B44" s="3" t="n"/>
      <c r="C44" s="272" t="n"/>
      <c r="D44" s="272" t="n"/>
      <c r="E44" s="272" t="n"/>
      <c r="F44" s="272" t="n"/>
      <c r="G44" s="272" t="n"/>
      <c r="H44" s="272" t="n"/>
      <c r="I44" s="272" t="n"/>
      <c r="J44" s="612" t="n"/>
      <c r="K44" s="612" t="n"/>
      <c r="L44" s="612" t="n"/>
      <c r="M44" s="612" t="n"/>
      <c r="N44" s="775" t="n"/>
      <c r="O44" s="775" t="n"/>
      <c r="P44" s="612" t="n"/>
      <c r="Q44" s="495" t="n"/>
      <c r="R44" s="11" t="n"/>
    </row>
    <row r="45" ht="15" customHeight="1" s="718">
      <c r="A45" s="10" t="n"/>
      <c r="B45" s="514" t="inlineStr">
        <is>
          <t>Sonuç:</t>
        </is>
      </c>
      <c r="C45" s="70" t="n"/>
      <c r="D45" s="709">
        <f>IF(P14&lt;1,V25,V24)</f>
        <v/>
      </c>
      <c r="E45" s="70" t="n"/>
      <c r="F45" s="70" t="n"/>
      <c r="G45" s="70" t="n"/>
      <c r="H45" s="70" t="n"/>
      <c r="I45" s="70" t="n"/>
      <c r="J45" s="70" t="n"/>
      <c r="K45" s="70" t="n"/>
      <c r="L45" s="70" t="n"/>
      <c r="M45" s="70" t="n"/>
      <c r="N45" s="70" t="n"/>
      <c r="O45" s="70" t="n"/>
      <c r="P45" s="70" t="n"/>
      <c r="Q45" s="359" t="n"/>
      <c r="R45" s="11" t="n"/>
    </row>
    <row r="46" ht="15" customHeight="1" s="718">
      <c r="A46" s="10" t="n"/>
      <c r="B46" s="259" t="n"/>
      <c r="C46" s="49" t="n"/>
      <c r="D46" s="711">
        <f>IF(P23&lt;1,V27,V26)</f>
        <v/>
      </c>
      <c r="Q46" s="360" t="n"/>
      <c r="R46" s="11" t="n"/>
    </row>
    <row r="47" ht="15" customHeight="1" s="718">
      <c r="A47" s="10" t="n"/>
      <c r="B47" s="259" t="n"/>
      <c r="C47" s="49" t="n"/>
      <c r="D47" s="711">
        <f>IF(P32&lt;1,V29,V28)</f>
        <v/>
      </c>
      <c r="Q47" s="360" t="n"/>
      <c r="R47" s="11" t="n"/>
    </row>
    <row r="48" ht="15" customHeight="1" s="718">
      <c r="A48" s="10" t="n"/>
      <c r="B48" s="259" t="n"/>
      <c r="C48" s="49" t="n"/>
      <c r="D48" s="711" t="n"/>
      <c r="Q48" s="360" t="n"/>
      <c r="R48" s="11" t="n"/>
    </row>
    <row r="49" ht="9" customHeight="1" s="718">
      <c r="A49" s="10" t="n"/>
      <c r="B49" s="50" t="n"/>
      <c r="C49" s="51" t="n"/>
      <c r="D49" s="711" t="n"/>
      <c r="Q49" s="360" t="n"/>
      <c r="R49" s="11" t="n"/>
    </row>
    <row r="50" ht="22.5" customHeight="1" s="718">
      <c r="A50" s="10" t="n"/>
      <c r="B50" s="511" t="inlineStr">
        <is>
          <t>UNVAN</t>
        </is>
      </c>
      <c r="C50" s="70" t="n"/>
      <c r="D50" s="70" t="n"/>
      <c r="E50" s="328" t="inlineStr">
        <is>
          <t>:</t>
        </is>
      </c>
      <c r="F50" s="521" t="inlineStr">
        <is>
          <t>Elektrik Mühendisi</t>
        </is>
      </c>
      <c r="G50" s="70" t="n"/>
      <c r="H50" s="70" t="n"/>
      <c r="I50" s="359" t="n"/>
      <c r="J50" s="811" t="inlineStr">
        <is>
          <t>ONAYLAYAN</t>
        </is>
      </c>
      <c r="K50" s="130" t="n"/>
      <c r="L50" s="130" t="n"/>
      <c r="M50" s="130" t="n"/>
      <c r="N50" s="130" t="n"/>
      <c r="O50" s="130" t="n"/>
      <c r="P50" s="130" t="n"/>
      <c r="Q50" s="242" t="n"/>
      <c r="R50" s="11" t="n"/>
    </row>
    <row r="51" ht="22.5" customHeight="1" s="718">
      <c r="A51" s="10" t="n"/>
      <c r="B51" s="511" t="inlineStr">
        <is>
          <t>TEST TARİHİ</t>
        </is>
      </c>
      <c r="C51" s="70" t="n"/>
      <c r="D51" s="70" t="n"/>
      <c r="E51" s="328" t="inlineStr">
        <is>
          <t>:</t>
        </is>
      </c>
      <c r="F51" s="829">
        <f>'ANA SAYFA KESİCİ'!F75:J75</f>
        <v/>
      </c>
      <c r="G51" s="70" t="n"/>
      <c r="H51" s="70" t="n"/>
      <c r="I51" s="359" t="n"/>
      <c r="J51" s="75" t="n"/>
      <c r="K51" s="76" t="n"/>
      <c r="L51" s="191" t="n"/>
      <c r="M51" s="191" t="n"/>
      <c r="N51" s="191" t="n"/>
      <c r="O51" s="191" t="n"/>
      <c r="P51" s="191" t="n"/>
      <c r="Q51" s="193" t="n"/>
      <c r="R51" s="11" t="n"/>
    </row>
    <row r="52" ht="22.5" customHeight="1" s="718">
      <c r="A52" s="10" t="n"/>
      <c r="B52" s="508" t="inlineStr">
        <is>
          <t>ODA SİCİL NO</t>
        </is>
      </c>
      <c r="C52" s="130" t="n"/>
      <c r="D52" s="130" t="n"/>
      <c r="E52" s="564" t="inlineStr">
        <is>
          <t>:</t>
        </is>
      </c>
      <c r="F52" s="565">
        <f>'ANA SAYFA KESİCİ'!F77:J77</f>
        <v/>
      </c>
      <c r="G52" s="70" t="n"/>
      <c r="H52" s="70" t="n"/>
      <c r="I52" s="359" t="n"/>
      <c r="J52" s="75" t="n"/>
      <c r="K52" s="76" t="n"/>
      <c r="L52" s="191" t="n"/>
      <c r="M52" s="191" t="n"/>
      <c r="N52" s="191" t="n"/>
      <c r="O52" s="191" t="n"/>
      <c r="P52" s="191" t="n"/>
      <c r="Q52" s="193" t="n"/>
      <c r="R52" s="11" t="n"/>
    </row>
    <row r="53" ht="22.5" customHeight="1" s="718">
      <c r="A53" s="10" t="n"/>
      <c r="B53" s="508" t="inlineStr">
        <is>
          <t>EKİPNET NO</t>
        </is>
      </c>
      <c r="C53" s="130" t="n"/>
      <c r="D53" s="130" t="n"/>
      <c r="E53" s="509" t="inlineStr">
        <is>
          <t>:</t>
        </is>
      </c>
      <c r="F53" s="510">
        <f>'ANA SAYFA KESİCİ'!F78:J78</f>
        <v/>
      </c>
      <c r="G53" s="130" t="n"/>
      <c r="H53" s="130" t="n"/>
      <c r="I53" s="242" t="n"/>
      <c r="J53" s="352" t="n"/>
      <c r="K53" s="197" t="n"/>
      <c r="L53" s="197" t="n"/>
      <c r="M53" s="197" t="n"/>
      <c r="N53" s="197" t="n"/>
      <c r="O53" s="197" t="n"/>
      <c r="P53" s="197" t="n"/>
      <c r="Q53" s="194" t="n"/>
      <c r="R53" s="11" t="n"/>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F53:I53"/>
    <mergeCell ref="J17:M17"/>
    <mergeCell ref="M10:N10"/>
    <mergeCell ref="F16:I16"/>
    <mergeCell ref="F25:I25"/>
    <mergeCell ref="B8:I8"/>
    <mergeCell ref="N39:O39"/>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P36:Q36"/>
    <mergeCell ref="D49:Q49"/>
    <mergeCell ref="B25:E25"/>
    <mergeCell ref="B14:I14"/>
    <mergeCell ref="B23:I23"/>
    <mergeCell ref="F34:I34"/>
    <mergeCell ref="N16:Q16"/>
    <mergeCell ref="F17:G17"/>
    <mergeCell ref="B27:E27"/>
    <mergeCell ref="B18:E18"/>
    <mergeCell ref="J34:M34"/>
    <mergeCell ref="F28:G28"/>
    <mergeCell ref="J27:M27"/>
    <mergeCell ref="J36:M36"/>
    <mergeCell ref="N30:O30"/>
    <mergeCell ref="P30:Q30"/>
    <mergeCell ref="J20:M20"/>
    <mergeCell ref="B29:E29"/>
    <mergeCell ref="P14:Q14"/>
    <mergeCell ref="B37:E37"/>
    <mergeCell ref="J8:Q8"/>
    <mergeCell ref="V24:AD24"/>
    <mergeCell ref="J21:M21"/>
    <mergeCell ref="G3:I3"/>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F50:I50"/>
    <mergeCell ref="B17:E17"/>
    <mergeCell ref="J10:L10"/>
    <mergeCell ref="J26:M26"/>
    <mergeCell ref="B2:F3"/>
    <mergeCell ref="J35:M35"/>
    <mergeCell ref="B45:C45"/>
    <mergeCell ref="B19:E19"/>
    <mergeCell ref="B34:E34"/>
    <mergeCell ref="J16:M16"/>
    <mergeCell ref="J25:M25"/>
    <mergeCell ref="V29:AD29"/>
    <mergeCell ref="B28:E28"/>
    <mergeCell ref="B32:I32"/>
    <mergeCell ref="N19:Q19"/>
    <mergeCell ref="N28:Q28"/>
    <mergeCell ref="P29:Q29"/>
    <mergeCell ref="P38:Q38"/>
    <mergeCell ref="B20:E20"/>
    <mergeCell ref="D45:Q45"/>
    <mergeCell ref="N21:O21"/>
    <mergeCell ref="P21:Q21"/>
    <mergeCell ref="J39:M39"/>
    <mergeCell ref="V26:AD26"/>
    <mergeCell ref="I22:J22"/>
    <mergeCell ref="J29:M29"/>
    <mergeCell ref="F26:G26"/>
    <mergeCell ref="K22:L22"/>
    <mergeCell ref="P23:Q23"/>
    <mergeCell ref="F35:G35"/>
    <mergeCell ref="J37:M37"/>
    <mergeCell ref="M22:N22"/>
    <mergeCell ref="D48:Q48"/>
    <mergeCell ref="N37:Q37"/>
    <mergeCell ref="V25:AD25"/>
    <mergeCell ref="F38:G38"/>
    <mergeCell ref="B10:C10"/>
    <mergeCell ref="B12:Q12"/>
    <mergeCell ref="F51:I51"/>
    <mergeCell ref="P18:Q18"/>
    <mergeCell ref="F37:G37"/>
    <mergeCell ref="J50:Q50"/>
    <mergeCell ref="N34:O34"/>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J64"/>
  <sheetViews>
    <sheetView topLeftCell="A3" zoomScale="130" zoomScaleNormal="130" workbookViewId="0">
      <selection activeCell="N19" sqref="N19:Q19"/>
    </sheetView>
  </sheetViews>
  <sheetFormatPr baseColWidth="8" defaultColWidth="9.109375" defaultRowHeight="14.4"/>
  <cols>
    <col width="3.5546875" customWidth="1" style="718" min="1" max="1"/>
    <col width="5.44140625" customWidth="1" style="718" min="2" max="17"/>
    <col width="3.5546875" customWidth="1" style="718" min="18" max="18"/>
    <col width="9.109375" customWidth="1" style="718"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694" t="inlineStr">
        <is>
          <t xml:space="preserve">  ŞALT SAHASI          </t>
        </is>
      </c>
      <c r="H2" s="70" t="n"/>
      <c r="I2" s="70" t="n"/>
      <c r="J2" s="276" t="inlineStr">
        <is>
          <t>:</t>
        </is>
      </c>
      <c r="K2" s="457">
        <f>'ANA SAYFA KESİCİ'!K2</f>
        <v/>
      </c>
      <c r="L2" s="70" t="n"/>
      <c r="M2" s="70" t="n"/>
      <c r="N2" s="70" t="n"/>
      <c r="O2" s="70" t="n"/>
      <c r="P2" s="70" t="n"/>
      <c r="Q2" s="359" t="n"/>
      <c r="R2" s="11" t="n"/>
    </row>
    <row r="3" ht="29.25" customHeight="1" s="718">
      <c r="A3" s="10" t="n"/>
      <c r="B3" s="62" t="n"/>
      <c r="C3" s="139" t="n"/>
      <c r="D3" s="139" t="n"/>
      <c r="E3" s="139" t="n"/>
      <c r="F3" s="361" t="n"/>
      <c r="G3" s="695" t="inlineStr">
        <is>
          <t xml:space="preserve">  LOKASYON</t>
        </is>
      </c>
      <c r="H3" s="139" t="n"/>
      <c r="I3" s="139" t="n"/>
      <c r="J3" s="696" t="inlineStr">
        <is>
          <t>:</t>
        </is>
      </c>
      <c r="K3" s="549">
        <f>'ANA SAYFA KESİCİ'!K5</f>
        <v/>
      </c>
      <c r="L3" s="139" t="n"/>
      <c r="M3" s="139" t="n"/>
      <c r="N3" s="139" t="n"/>
      <c r="O3" s="139" t="n"/>
      <c r="P3" s="139" t="n"/>
      <c r="Q3" s="361" t="n"/>
      <c r="R3" s="11" t="n"/>
    </row>
    <row r="4" ht="10.5" customHeight="1" s="718">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11" t="inlineStr">
        <is>
          <t>KESİCİ AÇMA-KAPAMA SÜRELERİ TEST SONUÇLARI</t>
        </is>
      </c>
      <c r="C5" s="130" t="n"/>
      <c r="D5" s="130" t="n"/>
      <c r="E5" s="130" t="n"/>
      <c r="F5" s="130" t="n"/>
      <c r="G5" s="130" t="n"/>
      <c r="H5" s="130" t="n"/>
      <c r="I5" s="130" t="n"/>
      <c r="J5" s="130" t="n"/>
      <c r="K5" s="130" t="n"/>
      <c r="L5" s="130" t="n"/>
      <c r="M5" s="130" t="n"/>
      <c r="N5" s="130" t="n"/>
      <c r="O5" s="130" t="n"/>
      <c r="P5" s="130" t="n"/>
      <c r="Q5" s="242" t="n"/>
      <c r="R5" s="11" t="n"/>
    </row>
    <row r="6" ht="6.75" customHeight="1" s="718">
      <c r="A6" s="10" t="n"/>
      <c r="B6" s="3" t="n"/>
      <c r="C6" s="272" t="n"/>
      <c r="D6" s="272" t="n"/>
      <c r="E6" s="272" t="n"/>
      <c r="F6" s="272" t="n"/>
      <c r="G6" s="272" t="n"/>
      <c r="H6" s="272" t="n"/>
      <c r="I6" s="272" t="n"/>
      <c r="J6" s="272" t="n"/>
      <c r="K6" s="272" t="n"/>
      <c r="L6" s="272" t="n"/>
      <c r="M6" s="272" t="n"/>
      <c r="N6" s="272" t="n"/>
      <c r="O6" s="272" t="n"/>
      <c r="P6" s="272" t="n"/>
      <c r="Q6" s="202" t="n"/>
      <c r="R6" s="11" t="n"/>
    </row>
    <row r="7" ht="18" customHeight="1" s="718">
      <c r="A7" s="10" t="n"/>
      <c r="B7" s="555" t="inlineStr">
        <is>
          <t>OTURUM TARİHİ :</t>
        </is>
      </c>
      <c r="C7" s="130" t="n"/>
      <c r="D7" s="130" t="n"/>
      <c r="E7" s="130" t="n"/>
      <c r="F7" s="130" t="n"/>
      <c r="G7" s="130" t="n"/>
      <c r="H7" s="130" t="n"/>
      <c r="I7" s="130" t="n"/>
      <c r="J7" s="823">
        <f>'ANA SAYFA KESİCİ'!F74</f>
        <v/>
      </c>
      <c r="K7" s="130" t="n"/>
      <c r="L7" s="130" t="n"/>
      <c r="M7" s="130" t="n"/>
      <c r="N7" s="130" t="n"/>
      <c r="O7" s="130" t="n"/>
      <c r="P7" s="130" t="n"/>
      <c r="Q7" s="242" t="n"/>
      <c r="R7" s="11" t="n"/>
    </row>
    <row r="8" ht="6.75" customHeight="1" s="718">
      <c r="A8" s="10" t="n"/>
      <c r="B8" s="3" t="n"/>
      <c r="C8" s="272" t="n"/>
      <c r="D8" s="272" t="n"/>
      <c r="E8" s="272" t="n"/>
      <c r="F8" s="272" t="n"/>
      <c r="G8" s="272" t="n"/>
      <c r="H8" s="272" t="n"/>
      <c r="I8" s="272" t="n"/>
      <c r="J8" s="272" t="n"/>
      <c r="K8" s="272" t="n"/>
      <c r="L8" s="272" t="n"/>
      <c r="M8" s="272" t="n"/>
      <c r="N8" s="272" t="n"/>
      <c r="O8" s="272" t="n"/>
      <c r="P8" s="272" t="n"/>
      <c r="Q8" s="202" t="n"/>
      <c r="R8" s="11" t="n"/>
      <c r="T8" t="n">
        <v>1</v>
      </c>
    </row>
    <row r="9">
      <c r="A9" s="10" t="n"/>
      <c r="B9" s="576" t="inlineStr">
        <is>
          <t>Operatör :</t>
        </is>
      </c>
      <c r="C9" s="242" t="n"/>
      <c r="D9" s="577" t="inlineStr">
        <is>
          <t>Ahmet YILMAZ</t>
        </is>
      </c>
      <c r="E9" s="130" t="n"/>
      <c r="F9" s="130" t="n"/>
      <c r="G9" s="242" t="n"/>
      <c r="H9" s="576" t="inlineStr">
        <is>
          <t>Cihaz :</t>
        </is>
      </c>
      <c r="I9" s="242" t="n"/>
      <c r="J9" s="743" t="inlineStr">
        <is>
          <t>STS 5000</t>
        </is>
      </c>
      <c r="K9" s="130" t="n"/>
      <c r="L9" s="242" t="n"/>
      <c r="M9" s="743" t="inlineStr">
        <is>
          <t>Cihaz S/N :</t>
        </is>
      </c>
      <c r="N9" s="242" t="n"/>
      <c r="O9" s="743" t="inlineStr">
        <is>
          <t>SN-19B20</t>
        </is>
      </c>
      <c r="P9" s="130" t="n"/>
      <c r="Q9" s="242" t="n"/>
      <c r="R9" s="11" t="n"/>
      <c r="V9" t="n">
        <v>3</v>
      </c>
    </row>
    <row r="10" ht="6.75" customHeight="1" s="718">
      <c r="A10" s="10" t="n"/>
      <c r="B10" s="559" t="n"/>
      <c r="C10" s="744" t="n"/>
      <c r="D10" s="562" t="n"/>
      <c r="E10" s="562" t="n"/>
      <c r="F10" s="562" t="n"/>
      <c r="G10" s="562" t="n"/>
      <c r="H10" s="744" t="n"/>
      <c r="I10" s="744" t="n"/>
      <c r="J10" s="676" t="n"/>
      <c r="K10" s="676" t="n"/>
      <c r="L10" s="676" t="n"/>
      <c r="M10" s="676" t="n"/>
      <c r="N10" s="676" t="n"/>
      <c r="O10" s="676" t="n"/>
      <c r="P10" s="676" t="n"/>
      <c r="Q10" s="676" t="n"/>
      <c r="R10" s="95" t="n"/>
    </row>
    <row r="11" ht="14.25" customHeight="1" s="718">
      <c r="A11" s="10" t="n"/>
      <c r="B11" s="811" t="inlineStr">
        <is>
          <t>KESİCİ BİLGİLERİ</t>
        </is>
      </c>
      <c r="C11" s="130" t="n"/>
      <c r="D11" s="130" t="n"/>
      <c r="E11" s="130" t="n"/>
      <c r="F11" s="130" t="n"/>
      <c r="G11" s="130" t="n"/>
      <c r="H11" s="130" t="n"/>
      <c r="I11" s="130" t="n"/>
      <c r="J11" s="130" t="n"/>
      <c r="K11" s="130" t="n"/>
      <c r="L11" s="130" t="n"/>
      <c r="M11" s="130" t="n"/>
      <c r="N11" s="130" t="n"/>
      <c r="O11" s="130" t="n"/>
      <c r="P11" s="130" t="n"/>
      <c r="Q11" s="242" t="n"/>
      <c r="R11" s="260" t="n"/>
      <c r="T11" t="n">
        <v>20</v>
      </c>
    </row>
    <row r="12" ht="5.25" customHeight="1" s="718">
      <c r="A12" s="10" t="n"/>
      <c r="B12" s="3" t="n"/>
      <c r="C12" s="272" t="n"/>
      <c r="D12" s="272" t="n"/>
      <c r="E12" s="272" t="n"/>
      <c r="F12" s="272" t="n"/>
      <c r="G12" s="272" t="n"/>
      <c r="H12" s="272" t="n"/>
      <c r="I12" s="272" t="n"/>
      <c r="J12" s="272" t="n"/>
      <c r="K12" s="430" t="n"/>
      <c r="L12" s="430" t="n"/>
      <c r="M12" s="775" t="n"/>
      <c r="N12" s="272" t="n"/>
      <c r="O12" s="272" t="n"/>
      <c r="P12" s="272" t="n"/>
      <c r="Q12" s="202" t="n"/>
      <c r="R12" s="261" t="n"/>
    </row>
    <row r="13" ht="14.25" customHeight="1" s="718">
      <c r="A13" s="10" t="n"/>
      <c r="B13" s="449" t="inlineStr">
        <is>
          <t>Kesici Markası</t>
        </is>
      </c>
      <c r="F13" s="118" t="inlineStr">
        <is>
          <t>:</t>
        </is>
      </c>
      <c r="G13" s="712">
        <f>'ANA SAYFA KESİCİ'!G11</f>
        <v/>
      </c>
      <c r="H13" s="812" t="n"/>
      <c r="I13" s="812" t="n"/>
      <c r="J13" s="450" t="inlineStr">
        <is>
          <t>Kesici Tipi</t>
        </is>
      </c>
      <c r="M13" s="122" t="inlineStr">
        <is>
          <t xml:space="preserve">: </t>
        </is>
      </c>
      <c r="N13" s="715">
        <f>'ANA SAYFA KESİCİ'!O11</f>
        <v/>
      </c>
      <c r="O13" s="812" t="n"/>
      <c r="P13" s="812" t="n"/>
      <c r="Q13" s="813" t="n"/>
      <c r="R13" s="95" t="n"/>
    </row>
    <row r="14" ht="5.25" customHeight="1" s="718">
      <c r="A14" s="10" t="n"/>
      <c r="B14" s="449" t="n"/>
      <c r="C14" s="450" t="n"/>
      <c r="D14" s="450" t="n"/>
      <c r="E14" s="450" t="n"/>
      <c r="F14" s="93" t="n"/>
      <c r="G14" s="272" t="n"/>
      <c r="H14" s="272" t="n"/>
      <c r="I14" s="272" t="n"/>
      <c r="J14" s="430" t="n"/>
      <c r="K14" s="430" t="n"/>
      <c r="L14" s="775" t="n"/>
      <c r="M14" s="272" t="n"/>
      <c r="N14" s="272" t="n"/>
      <c r="O14" s="272" t="n"/>
      <c r="P14" s="272" t="n"/>
      <c r="Q14" s="202" t="n"/>
      <c r="R14" s="95" t="n"/>
    </row>
    <row r="15" ht="14.25" customHeight="1" s="718">
      <c r="A15" s="10" t="n"/>
      <c r="B15" s="400" t="inlineStr">
        <is>
          <t>Anma Akımı (A)</t>
        </is>
      </c>
      <c r="F15" s="118" t="inlineStr">
        <is>
          <t>:</t>
        </is>
      </c>
      <c r="G15" s="716">
        <f>'ANA SAYFA KESİCİ'!G13</f>
        <v/>
      </c>
      <c r="H15" s="812" t="n"/>
      <c r="I15" s="812" t="n"/>
      <c r="J15" s="430" t="inlineStr">
        <is>
          <t>İmal Yılı</t>
        </is>
      </c>
      <c r="M15" s="117" t="inlineStr">
        <is>
          <t>:</t>
        </is>
      </c>
      <c r="N15" s="859">
        <f>'ANA SAYFA KESİCİ'!O13</f>
        <v/>
      </c>
      <c r="O15" s="812" t="n"/>
      <c r="P15" s="812" t="n"/>
      <c r="Q15" s="813" t="n"/>
      <c r="R15" s="95" t="n"/>
      <c r="W15" t="inlineStr">
        <is>
          <t>Uygun</t>
        </is>
      </c>
    </row>
    <row r="16" ht="5.25" customHeight="1" s="718">
      <c r="A16" s="10" t="n"/>
      <c r="B16" s="449" t="n"/>
      <c r="C16" s="450" t="n"/>
      <c r="D16" s="450" t="n"/>
      <c r="E16" s="450" t="n"/>
      <c r="F16" s="93" t="n"/>
      <c r="G16" s="272" t="n"/>
      <c r="H16" s="272" t="n"/>
      <c r="I16" s="272" t="n"/>
      <c r="J16" s="430" t="n"/>
      <c r="K16" s="430" t="n"/>
      <c r="L16" s="775" t="n"/>
      <c r="M16" s="272" t="n"/>
      <c r="N16" s="272" t="n"/>
      <c r="O16" s="272" t="n"/>
      <c r="P16" s="272" t="n"/>
      <c r="Q16" s="202" t="n"/>
      <c r="R16" s="95" t="n"/>
    </row>
    <row r="17" ht="14.25" customHeight="1" s="718">
      <c r="A17" s="10" t="n"/>
      <c r="B17" s="449" t="inlineStr">
        <is>
          <t>Gerilim Seviyesi (V)</t>
        </is>
      </c>
      <c r="F17" s="118" t="inlineStr">
        <is>
          <t xml:space="preserve">:  </t>
        </is>
      </c>
      <c r="G17" s="716">
        <f>'ANA SAYFA KESİCİ'!G15</f>
        <v/>
      </c>
      <c r="H17" s="812" t="n"/>
      <c r="I17" s="812" t="n"/>
      <c r="J17" s="430" t="inlineStr">
        <is>
          <t>Seri Numarası</t>
        </is>
      </c>
      <c r="M17" s="117" t="inlineStr">
        <is>
          <t>:</t>
        </is>
      </c>
      <c r="N17" s="717">
        <f>'ANA SAYFA KESİCİ'!O15</f>
        <v/>
      </c>
      <c r="O17" s="812" t="n"/>
      <c r="P17" s="812" t="n"/>
      <c r="Q17" s="813" t="n"/>
      <c r="R17" s="95" t="n"/>
      <c r="W17" t="inlineStr">
        <is>
          <t>Uygun Değil</t>
        </is>
      </c>
    </row>
    <row r="18" ht="5.25" customHeight="1" s="718">
      <c r="A18" s="10" t="n"/>
      <c r="B18" s="449" t="n"/>
      <c r="C18" s="450" t="n"/>
      <c r="D18" s="450" t="n"/>
      <c r="E18" s="450" t="n"/>
      <c r="F18" s="93" t="n"/>
      <c r="G18" s="272" t="n"/>
      <c r="H18" s="272" t="n"/>
      <c r="I18" s="272" t="n"/>
      <c r="J18" s="430" t="n"/>
      <c r="K18" s="430" t="n"/>
      <c r="L18" s="775" t="n"/>
      <c r="M18" s="272" t="n"/>
      <c r="N18" s="272" t="n"/>
      <c r="O18" s="272" t="n"/>
      <c r="P18" s="272" t="n"/>
      <c r="Q18" s="202" t="n"/>
      <c r="R18" s="95" t="n"/>
    </row>
    <row r="19" ht="14.25" customHeight="1" s="718">
      <c r="A19" s="10" t="n"/>
      <c r="B19" s="429" t="inlineStr">
        <is>
          <t>Motor Gerilimi</t>
        </is>
      </c>
      <c r="F19" s="117" t="inlineStr">
        <is>
          <t>:</t>
        </is>
      </c>
      <c r="G19" s="716">
        <f>'ANA SAYFA KESİCİ'!G17</f>
        <v/>
      </c>
      <c r="H19" s="812" t="n"/>
      <c r="I19" s="812" t="n"/>
      <c r="J19" s="430" t="inlineStr">
        <is>
          <t>Bobin Gerilimi</t>
        </is>
      </c>
      <c r="M19" s="117" t="inlineStr">
        <is>
          <t>:</t>
        </is>
      </c>
      <c r="N19" s="717">
        <f>'ANA SAYFA KESİCİ'!O17</f>
        <v/>
      </c>
      <c r="O19" s="812" t="n"/>
      <c r="P19" s="812" t="n"/>
      <c r="Q19" s="813" t="n"/>
      <c r="R19" s="95" t="n"/>
      <c r="S19" s="775" t="inlineStr">
        <is>
          <t>Max.</t>
        </is>
      </c>
      <c r="T19" s="775" t="inlineStr">
        <is>
          <t>Max.</t>
        </is>
      </c>
      <c r="U19" s="775" t="inlineStr">
        <is>
          <t>Max.</t>
        </is>
      </c>
      <c r="V19" s="775" t="n"/>
    </row>
    <row r="20" ht="5.25" customHeight="1" s="718">
      <c r="A20" s="10" t="n"/>
      <c r="B20" s="429" t="n"/>
      <c r="C20" s="430" t="n"/>
      <c r="D20" s="430" t="n"/>
      <c r="E20" s="430" t="n"/>
      <c r="F20" s="272" t="n"/>
      <c r="G20" s="775" t="n"/>
      <c r="H20" s="775" t="n"/>
      <c r="I20" s="775" t="n"/>
      <c r="J20" s="430" t="n"/>
      <c r="K20" s="430" t="n"/>
      <c r="L20" s="430" t="n"/>
      <c r="M20" s="272" t="n"/>
      <c r="N20" s="775" t="n"/>
      <c r="O20" s="775" t="n"/>
      <c r="P20" s="775" t="n"/>
      <c r="Q20" s="310" t="n"/>
      <c r="R20" s="11" t="n"/>
      <c r="S20" s="775" t="n"/>
      <c r="T20" s="775" t="n"/>
      <c r="U20" s="775" t="n"/>
      <c r="V20" s="775" t="n"/>
    </row>
    <row r="21" ht="18" customHeight="1" s="718">
      <c r="A21" s="10" t="n"/>
      <c r="B21" s="811" t="inlineStr">
        <is>
          <t>KESİCİ AÇMA / KAPAMA ZAMANI</t>
        </is>
      </c>
      <c r="C21" s="130" t="n"/>
      <c r="D21" s="130" t="n"/>
      <c r="E21" s="130" t="n"/>
      <c r="F21" s="130" t="n"/>
      <c r="G21" s="130" t="n"/>
      <c r="H21" s="130" t="n"/>
      <c r="I21" s="130" t="n"/>
      <c r="J21" s="130" t="n"/>
      <c r="K21" s="130" t="n"/>
      <c r="L21" s="130" t="n"/>
      <c r="M21" s="130" t="n"/>
      <c r="N21" s="130" t="n"/>
      <c r="O21" s="130" t="n"/>
      <c r="P21" s="130" t="n"/>
      <c r="Q21" s="242" t="n"/>
      <c r="R21" s="11" t="n"/>
      <c r="S21" s="699" t="n">
        <v>80</v>
      </c>
      <c r="T21" s="699" t="n">
        <v>120</v>
      </c>
      <c r="U21" s="775" t="n">
        <v>5</v>
      </c>
      <c r="V21" s="775" t="n"/>
      <c r="W21" t="n">
        <v>0</v>
      </c>
    </row>
    <row r="22" ht="8.25" customHeight="1" s="718">
      <c r="A22" s="10" t="n"/>
      <c r="B22" s="654" t="n"/>
      <c r="C22" s="652" t="n"/>
      <c r="D22" s="652" t="n"/>
      <c r="E22" s="652" t="n"/>
      <c r="F22" s="652" t="n"/>
      <c r="G22" s="652" t="n"/>
      <c r="H22" s="652" t="n"/>
      <c r="I22" s="652" t="n"/>
      <c r="J22" s="652" t="n"/>
      <c r="K22" s="655" t="n"/>
      <c r="L22" s="655" t="n"/>
      <c r="M22" s="655" t="n"/>
      <c r="N22" s="655" t="n"/>
      <c r="O22" s="655" t="n"/>
      <c r="P22" s="655" t="n"/>
      <c r="Q22" s="656" t="n"/>
      <c r="R22" s="11" t="n"/>
      <c r="S22" s="775" t="n"/>
      <c r="T22" s="775" t="n"/>
      <c r="U22" s="775" t="n"/>
      <c r="V22" s="775" t="n"/>
    </row>
    <row r="23" ht="18" customHeight="1" s="718">
      <c r="A23" s="35" t="n"/>
      <c r="B23" s="811" t="inlineStr">
        <is>
          <t>Açma</t>
        </is>
      </c>
      <c r="C23" s="130" t="n"/>
      <c r="D23" s="130" t="n"/>
      <c r="E23" s="130" t="n"/>
      <c r="F23" s="130" t="n"/>
      <c r="G23" s="130" t="n"/>
      <c r="H23" s="130" t="n"/>
      <c r="I23" s="242" t="n"/>
      <c r="J23" s="811" t="inlineStr">
        <is>
          <t>Kapama</t>
        </is>
      </c>
      <c r="K23" s="130" t="n"/>
      <c r="L23" s="130" t="n"/>
      <c r="M23" s="130" t="n"/>
      <c r="N23" s="130" t="n"/>
      <c r="O23" s="130" t="n"/>
      <c r="P23" s="130" t="n"/>
      <c r="Q23" s="242" t="n"/>
      <c r="R23" s="11" t="n"/>
      <c r="S23" s="775" t="n"/>
      <c r="T23" s="775" t="n"/>
      <c r="U23" s="775" t="n"/>
      <c r="V23" s="775" t="n"/>
    </row>
    <row r="24" ht="12" customHeight="1" s="718">
      <c r="A24" s="35" t="n"/>
      <c r="B24" s="272" t="n"/>
      <c r="C24" s="272" t="n"/>
      <c r="D24" s="272" t="n"/>
      <c r="E24" s="272" t="n"/>
      <c r="F24" s="272" t="n"/>
      <c r="G24" s="272" t="n"/>
      <c r="J24" s="272" t="n"/>
      <c r="K24" s="272" t="n"/>
      <c r="L24" s="272" t="n"/>
      <c r="M24" s="272" t="n"/>
      <c r="Q24" s="360" t="n"/>
      <c r="R24" s="11" t="n"/>
      <c r="S24" s="775" t="n">
        <v>40</v>
      </c>
      <c r="T24" s="775" t="n">
        <v>30</v>
      </c>
      <c r="U24" s="775" t="n">
        <v>20</v>
      </c>
      <c r="V24" s="775" t="n">
        <v>10</v>
      </c>
    </row>
    <row r="25">
      <c r="A25" s="35" t="n"/>
      <c r="B25" s="551" t="inlineStr">
        <is>
          <t>A-1</t>
        </is>
      </c>
      <c r="C25" s="675">
        <f>'ANA SAYFA KESİCİ'!C61:D61</f>
        <v/>
      </c>
      <c r="D25" s="130" t="n"/>
      <c r="E25" s="27" t="inlineStr">
        <is>
          <t>ms</t>
        </is>
      </c>
      <c r="F25" s="736" t="inlineStr">
        <is>
          <t>Bobin Gerilimi</t>
        </is>
      </c>
      <c r="G25" s="70" t="n"/>
      <c r="H25" s="551">
        <f>'ANA SAYFA KESİCİ'!O17</f>
        <v/>
      </c>
      <c r="I25" s="359" t="n"/>
      <c r="J25" s="743" t="inlineStr">
        <is>
          <t>A-1</t>
        </is>
      </c>
      <c r="K25" s="725">
        <f>'ANA SAYFA KESİCİ'!J61</f>
        <v/>
      </c>
      <c r="L25" s="70" t="n"/>
      <c r="M25" s="46" t="inlineStr">
        <is>
          <t>ms</t>
        </is>
      </c>
      <c r="N25" s="736" t="inlineStr">
        <is>
          <t>Bobin Gerilimi</t>
        </is>
      </c>
      <c r="O25" s="70" t="n"/>
      <c r="P25" s="551">
        <f>'ANA SAYFA KESİCİ'!O17</f>
        <v/>
      </c>
      <c r="Q25" s="359" t="n"/>
      <c r="R25" s="11" t="n"/>
      <c r="S25" s="775" t="n">
        <v>40</v>
      </c>
      <c r="T25" s="775" t="n">
        <v>30</v>
      </c>
      <c r="U25" s="775" t="n">
        <v>20</v>
      </c>
      <c r="V25" s="775" t="n">
        <v>10</v>
      </c>
    </row>
    <row r="26">
      <c r="A26" s="35" t="n"/>
      <c r="B26" s="551" t="inlineStr">
        <is>
          <t>B-1</t>
        </is>
      </c>
      <c r="C26" s="675">
        <f>'ANA SAYFA KESİCİ'!C63:D63</f>
        <v/>
      </c>
      <c r="D26" s="130" t="n"/>
      <c r="E26" s="27" t="inlineStr">
        <is>
          <t>ms</t>
        </is>
      </c>
      <c r="F26" s="62" t="n"/>
      <c r="G26" s="139" t="n"/>
      <c r="H26" s="139" t="n"/>
      <c r="I26" s="361" t="n"/>
      <c r="J26" s="743" t="inlineStr">
        <is>
          <t>B-1</t>
        </is>
      </c>
      <c r="K26" s="675">
        <f>'ANA SAYFA KESİCİ'!J63</f>
        <v/>
      </c>
      <c r="L26" s="130" t="n"/>
      <c r="M26" s="27" t="inlineStr">
        <is>
          <t>ms</t>
        </is>
      </c>
      <c r="N26" s="62" t="n"/>
      <c r="O26" s="139" t="n"/>
      <c r="P26" s="139" t="n"/>
      <c r="Q26" s="361" t="n"/>
      <c r="R26" s="11" t="n"/>
    </row>
    <row r="27">
      <c r="A27" s="35" t="n"/>
      <c r="B27" s="551" t="inlineStr">
        <is>
          <t>C-1</t>
        </is>
      </c>
      <c r="C27" s="675">
        <f>'ANA SAYFA KESİCİ'!C65:D65</f>
        <v/>
      </c>
      <c r="D27" s="130" t="n"/>
      <c r="E27" s="27" t="inlineStr">
        <is>
          <t>ms</t>
        </is>
      </c>
      <c r="F27" s="736" t="inlineStr">
        <is>
          <t>Bobin    Akımı</t>
        </is>
      </c>
      <c r="G27" s="70" t="n"/>
      <c r="H27" s="860">
        <f>'ANA SAYFA KESİCİ'!F65</f>
        <v/>
      </c>
      <c r="I27" s="563" t="inlineStr">
        <is>
          <t>A</t>
        </is>
      </c>
      <c r="J27" s="743" t="inlineStr">
        <is>
          <t>C-1</t>
        </is>
      </c>
      <c r="K27" s="675">
        <f>'ANA SAYFA KESİCİ'!J65</f>
        <v/>
      </c>
      <c r="L27" s="130" t="n"/>
      <c r="M27" s="27" t="inlineStr">
        <is>
          <t>ms</t>
        </is>
      </c>
      <c r="N27" s="736" t="inlineStr">
        <is>
          <t>Bobin    Akımı</t>
        </is>
      </c>
      <c r="O27" s="70" t="n"/>
      <c r="P27" s="860">
        <f>'ANA SAYFA KESİCİ'!M65</f>
        <v/>
      </c>
      <c r="Q27" s="563" t="inlineStr">
        <is>
          <t>A</t>
        </is>
      </c>
      <c r="R27" s="11" t="n"/>
    </row>
    <row r="28">
      <c r="A28" s="35" t="n"/>
      <c r="B28" s="861" t="inlineStr">
        <is>
          <t>Faz Uyuşmazlığı</t>
        </is>
      </c>
      <c r="C28" s="130" t="n"/>
      <c r="D28" s="130" t="n"/>
      <c r="E28" s="242" t="n"/>
      <c r="F28" s="62" t="n"/>
      <c r="G28" s="139" t="n"/>
      <c r="H28" s="139" t="n"/>
      <c r="I28" s="361" t="n"/>
      <c r="J28" s="861" t="inlineStr">
        <is>
          <t>Faz Uyuşmazlığı</t>
        </is>
      </c>
      <c r="K28" s="130" t="n"/>
      <c r="L28" s="130" t="n"/>
      <c r="M28" s="242" t="n"/>
      <c r="N28" s="62" t="n"/>
      <c r="O28" s="139" t="n"/>
      <c r="P28" s="139" t="n"/>
      <c r="Q28" s="361" t="n"/>
      <c r="R28" s="11" t="n"/>
      <c r="W28" s="700" t="inlineStr">
        <is>
          <t>Kesicinin L1 fazına ait izolasyon direnç değeri uygun değildir.</t>
        </is>
      </c>
    </row>
    <row r="29" ht="15" customHeight="1" s="718">
      <c r="A29" s="10" t="n"/>
      <c r="B29" s="734">
        <f>'ANA SAYFA KESİCİ'!F61</f>
        <v/>
      </c>
      <c r="C29" s="130" t="n"/>
      <c r="D29" s="130" t="n"/>
      <c r="E29" s="268" t="inlineStr">
        <is>
          <t>ms</t>
        </is>
      </c>
      <c r="F29" s="862">
        <f>IF(B29&gt;5,W17,W15)</f>
        <v/>
      </c>
      <c r="G29" s="130" t="n"/>
      <c r="H29" s="130" t="n"/>
      <c r="I29" s="242" t="n"/>
      <c r="J29" s="731">
        <f>'ANA SAYFA KESİCİ'!M61</f>
        <v/>
      </c>
      <c r="K29" s="130" t="n"/>
      <c r="L29" s="130" t="n"/>
      <c r="M29" s="269" t="inlineStr">
        <is>
          <t>ms</t>
        </is>
      </c>
      <c r="N29" s="862">
        <f>IF(J29&gt;5,W17,W15)</f>
        <v/>
      </c>
      <c r="O29" s="130" t="n"/>
      <c r="P29" s="130" t="n"/>
      <c r="Q29" s="242" t="n"/>
      <c r="R29" s="11" t="n"/>
      <c r="W29" s="700" t="n"/>
      <c r="X29" s="700" t="n"/>
      <c r="Y29" s="700" t="n"/>
      <c r="Z29" s="700" t="n"/>
      <c r="AA29" s="700" t="n"/>
      <c r="AB29" s="700" t="n"/>
      <c r="AC29" s="700" t="n"/>
      <c r="AD29" s="700" t="n"/>
    </row>
    <row r="30" ht="9" customHeight="1" s="718">
      <c r="A30" s="10" t="n"/>
      <c r="B30" s="173" t="n"/>
      <c r="C30" s="578" t="n"/>
      <c r="D30" s="578" t="n"/>
      <c r="E30" s="578" t="n"/>
      <c r="F30" s="578" t="n"/>
      <c r="G30" s="578" t="n"/>
      <c r="H30" s="578" t="n"/>
      <c r="O30" s="578" t="n"/>
      <c r="P30" s="578" t="n"/>
      <c r="Q30" s="310" t="n"/>
      <c r="R30" s="11" t="n"/>
      <c r="W30" s="700" t="inlineStr">
        <is>
          <t>Kesicinin L2 fazına ait izolasyon direnç değeri uygundur.</t>
        </is>
      </c>
    </row>
    <row r="31" ht="15" customHeight="1" s="718">
      <c r="A31" s="10" t="n"/>
      <c r="B31" s="192" t="n"/>
      <c r="C31" s="191" t="n"/>
      <c r="D31" s="191" t="n"/>
      <c r="E31" s="191" t="n"/>
      <c r="F31" s="191" t="n"/>
      <c r="G31" s="191" t="n"/>
      <c r="H31" s="191" t="n"/>
      <c r="O31" s="191" t="n"/>
      <c r="P31" s="191" t="n"/>
      <c r="Q31" s="193" t="n"/>
      <c r="R31" s="11" t="n"/>
      <c r="W31" s="700" t="inlineStr">
        <is>
          <t>Kesicinin L2 fazına ait izolasyon direnç değeri uygun değildir.</t>
        </is>
      </c>
    </row>
    <row r="32">
      <c r="A32" s="10" t="n"/>
      <c r="B32" s="3" t="n"/>
      <c r="C32" s="272" t="n"/>
      <c r="D32" s="272" t="n"/>
      <c r="E32" s="272" t="n"/>
      <c r="F32" s="272" t="n"/>
      <c r="G32" s="272" t="n"/>
      <c r="H32" s="272" t="n"/>
      <c r="O32" s="272" t="n"/>
      <c r="P32" s="272" t="n"/>
      <c r="Q32" s="202" t="n"/>
      <c r="R32" s="11" t="n"/>
      <c r="W32" s="700" t="inlineStr">
        <is>
          <t>Kesicinin L3 fazına ait izolasyon direnç değeri uygundur.</t>
        </is>
      </c>
    </row>
    <row r="33">
      <c r="A33" s="10" t="n"/>
      <c r="B33" s="3" t="n"/>
      <c r="C33" s="272" t="n"/>
      <c r="D33" s="272" t="n"/>
      <c r="E33" s="272" t="n"/>
      <c r="F33" s="272" t="n"/>
      <c r="G33" s="272" t="n"/>
      <c r="H33" s="272" t="n"/>
      <c r="O33" s="272" t="n"/>
      <c r="P33" s="272" t="n"/>
      <c r="Q33" s="202" t="n"/>
      <c r="R33" s="11" t="n"/>
      <c r="W33" s="700" t="inlineStr">
        <is>
          <t>Kesicinin L3 fazına ait izolasyon direnç değeri uygun değildir.</t>
        </is>
      </c>
    </row>
    <row r="34">
      <c r="A34" s="10" t="n"/>
      <c r="B34" s="25" t="n"/>
      <c r="C34" s="26" t="n"/>
      <c r="D34" s="26" t="n"/>
      <c r="E34" s="26" t="n"/>
      <c r="F34" s="272" t="n"/>
      <c r="G34" s="272" t="n"/>
      <c r="H34" s="272" t="n"/>
      <c r="I34" s="272" t="n"/>
      <c r="J34" s="272" t="n"/>
      <c r="K34" s="272" t="n"/>
      <c r="L34" s="272" t="n"/>
      <c r="M34" s="272" t="n"/>
      <c r="N34" s="272" t="n"/>
      <c r="O34" s="272" t="n"/>
      <c r="P34" s="272" t="n"/>
      <c r="Q34" s="202" t="n"/>
      <c r="R34" s="11" t="n"/>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row>
    <row r="37" ht="72" customHeight="1" s="718">
      <c r="A37" s="10" t="n"/>
      <c r="B37" s="3" t="n"/>
      <c r="C37" s="272" t="n"/>
      <c r="D37" s="272" t="n"/>
      <c r="E37" s="272" t="n"/>
      <c r="F37" s="24" t="n"/>
      <c r="G37" s="272" t="n"/>
      <c r="H37" s="272" t="n"/>
      <c r="I37" s="272" t="n"/>
      <c r="J37" s="272" t="n"/>
      <c r="K37" s="272" t="n"/>
      <c r="L37" s="272" t="n"/>
      <c r="M37" s="272" t="n"/>
      <c r="N37" s="272" t="n"/>
      <c r="O37" s="272" t="n"/>
      <c r="P37" s="272" t="n"/>
      <c r="Q37" s="202" t="n"/>
      <c r="R37" s="11" t="n"/>
    </row>
    <row r="38" ht="26.25" customHeight="1" s="718">
      <c r="A38" s="10" t="n"/>
      <c r="B38" s="3" t="n"/>
      <c r="C38" s="272" t="n"/>
      <c r="D38" s="272" t="n"/>
      <c r="E38" s="272" t="n"/>
      <c r="F38" s="24" t="n"/>
      <c r="G38" s="272" t="n"/>
      <c r="H38" s="272" t="n"/>
      <c r="I38" s="272" t="n"/>
      <c r="J38" s="272" t="n"/>
      <c r="K38" s="272" t="n"/>
      <c r="L38" s="272" t="n"/>
      <c r="M38" s="272" t="n"/>
      <c r="N38" s="272" t="n"/>
      <c r="O38" s="272" t="n"/>
      <c r="P38" s="272" t="n"/>
      <c r="Q38" s="202" t="n"/>
      <c r="R38" s="11" t="n"/>
      <c r="W38" s="518" t="inlineStr">
        <is>
          <t>Kesicinin Açma süreleri ve bobin akım değerleri uygundur.</t>
        </is>
      </c>
    </row>
    <row r="39" ht="15.6" customHeight="1" s="718">
      <c r="A39" s="35" t="n"/>
      <c r="B39" s="863" t="inlineStr">
        <is>
          <t>TEDAŞ-MLZ/95-008.A İlgili Teknik Şartnamesi Gereği</t>
        </is>
      </c>
      <c r="Q39" s="360" t="n"/>
      <c r="R39" s="11" t="n"/>
      <c r="V39" s="253" t="n"/>
      <c r="W39" s="518" t="inlineStr">
        <is>
          <t>Kesicinin Açma süreleri uygun değildir.</t>
        </is>
      </c>
    </row>
    <row r="40" ht="15" customHeight="1" s="718">
      <c r="A40" s="35" t="n"/>
      <c r="B40" s="864" t="inlineStr">
        <is>
          <t>Açma süresi: 80 milisaniyeden az</t>
        </is>
      </c>
      <c r="Q40" s="360" t="n"/>
      <c r="R40" s="11" t="n"/>
      <c r="V40" s="253" t="n"/>
      <c r="W40" s="518" t="inlineStr">
        <is>
          <t>Kesicinin Kapama süreleri ve bobin akım değerleri uygundur.</t>
        </is>
      </c>
    </row>
    <row r="41" ht="15" customHeight="1" s="718">
      <c r="A41" s="35" t="n"/>
      <c r="B41" s="864" t="inlineStr">
        <is>
          <t>Kapama süresi: 120 milisaniyeden az</t>
        </is>
      </c>
      <c r="Q41" s="360" t="n"/>
      <c r="R41" s="11" t="n"/>
      <c r="V41" s="253" t="n"/>
      <c r="W41" s="518" t="inlineStr">
        <is>
          <t>Kesicinin Kapama süreleri uygun değildir.</t>
        </is>
      </c>
    </row>
    <row r="42" ht="15" customHeight="1" s="718">
      <c r="A42" s="35" t="n"/>
      <c r="B42" s="864" t="inlineStr">
        <is>
          <t>Açma süresi faz uyuşmazlığı: 5 milisaniyeden az</t>
        </is>
      </c>
      <c r="Q42" s="360" t="n"/>
      <c r="R42" s="11" t="n"/>
      <c r="W42" s="518" t="inlineStr">
        <is>
          <t>Kesicinin Açma-Kapama Süresi Faz Uyuşmazlığı uygundur.</t>
        </is>
      </c>
    </row>
    <row r="43" ht="15" customHeight="1" s="718">
      <c r="A43" s="35" t="n"/>
      <c r="B43" s="864" t="inlineStr">
        <is>
          <t>Kapama süresi faz uyuşmazlığı: 5 milisaniyeden az</t>
        </is>
      </c>
      <c r="Q43" s="360" t="n"/>
      <c r="R43" s="11" t="n"/>
      <c r="V43" s="253" t="n"/>
      <c r="W43" s="518" t="inlineStr">
        <is>
          <t>Kesicinin Açma-Kapama Süresi Faz Uyuşmazlığı uygun değildir.</t>
        </is>
      </c>
    </row>
    <row r="44" ht="4.5" customHeight="1" s="718">
      <c r="A44" s="10" t="n"/>
      <c r="B44" s="56" t="n"/>
      <c r="C44" s="775" t="n"/>
      <c r="D44" s="775" t="n"/>
      <c r="E44" s="775" t="n"/>
      <c r="F44" s="775" t="n"/>
      <c r="G44" s="775" t="n"/>
      <c r="H44" s="775" t="n"/>
      <c r="I44" s="775" t="n"/>
      <c r="J44" s="775" t="n"/>
      <c r="K44" s="272" t="n"/>
      <c r="L44" s="272" t="n"/>
      <c r="M44" s="272" t="n"/>
      <c r="N44" s="272" t="n"/>
      <c r="O44" s="272" t="n"/>
      <c r="P44" s="272" t="n"/>
      <c r="Q44" s="310" t="n"/>
      <c r="R44" s="11" t="n"/>
    </row>
    <row r="45" ht="15.75" customHeight="1" s="718">
      <c r="A45" s="10" t="n"/>
      <c r="B45" s="587" t="inlineStr">
        <is>
          <t>Sonuç :</t>
        </is>
      </c>
      <c r="C45" s="242" t="n"/>
      <c r="D45" s="865">
        <f>IF(OR(C25&gt;S21,C26&gt;S21,C27&gt;S21),W39,W38)</f>
        <v/>
      </c>
      <c r="E45" s="70" t="n"/>
      <c r="F45" s="70" t="n"/>
      <c r="G45" s="70" t="n"/>
      <c r="H45" s="70" t="n"/>
      <c r="I45" s="70" t="n"/>
      <c r="J45" s="70" t="n"/>
      <c r="K45" s="70" t="n"/>
      <c r="L45" s="70" t="n"/>
      <c r="M45" s="70" t="n"/>
      <c r="N45" s="70" t="n"/>
      <c r="O45" s="70" t="n"/>
      <c r="P45" s="70" t="n"/>
      <c r="Q45" s="359" t="n"/>
      <c r="R45" s="11" t="n"/>
    </row>
    <row r="46" ht="15" customHeight="1" s="718">
      <c r="A46" s="10" t="n"/>
      <c r="B46" s="173" t="n"/>
      <c r="C46" s="24" t="n"/>
      <c r="D46" s="519">
        <f>IF(OR(K25&gt;T21,K26&gt;T21,K27&gt;T21),W41,W40)</f>
        <v/>
      </c>
      <c r="Q46" s="360" t="n"/>
      <c r="R46" s="11" t="n"/>
    </row>
    <row r="47" ht="15" customHeight="1" s="718">
      <c r="A47" s="10" t="n"/>
      <c r="B47" s="173" t="n"/>
      <c r="C47" s="24" t="n"/>
      <c r="D47" s="519">
        <f>IF(OR(B29&gt;U21,J29&gt;U21),W43,W42)</f>
        <v/>
      </c>
      <c r="Q47" s="360" t="n"/>
      <c r="R47" s="11" t="n"/>
    </row>
    <row r="48" ht="22.5" customHeight="1" s="718">
      <c r="A48" s="10" t="n"/>
      <c r="B48" s="511" t="inlineStr">
        <is>
          <t>UNVAN</t>
        </is>
      </c>
      <c r="C48" s="70" t="n"/>
      <c r="D48" s="70" t="n"/>
      <c r="E48" s="328" t="inlineStr">
        <is>
          <t>:</t>
        </is>
      </c>
      <c r="F48" s="521" t="inlineStr">
        <is>
          <t>Elektrik Mühendisi</t>
        </is>
      </c>
      <c r="G48" s="70" t="n"/>
      <c r="H48" s="70" t="n"/>
      <c r="I48" s="359" t="n"/>
      <c r="J48" s="811" t="inlineStr">
        <is>
          <t>ONAYLAYAN</t>
        </is>
      </c>
      <c r="K48" s="130" t="n"/>
      <c r="L48" s="130" t="n"/>
      <c r="M48" s="130" t="n"/>
      <c r="N48" s="130" t="n"/>
      <c r="O48" s="130" t="n"/>
      <c r="P48" s="130" t="n"/>
      <c r="Q48" s="242" t="n"/>
      <c r="R48" s="11" t="n"/>
    </row>
    <row r="49" ht="22.5" customHeight="1" s="718">
      <c r="A49" s="10" t="n"/>
      <c r="B49" s="511" t="inlineStr">
        <is>
          <t>TEST TARİHİ</t>
        </is>
      </c>
      <c r="C49" s="70" t="n"/>
      <c r="D49" s="70" t="n"/>
      <c r="E49" s="328" t="inlineStr">
        <is>
          <t>:</t>
        </is>
      </c>
      <c r="F49" s="829">
        <f>'ANA SAYFA KESİCİ'!F75</f>
        <v/>
      </c>
      <c r="G49" s="70" t="n"/>
      <c r="H49" s="70" t="n"/>
      <c r="I49" s="359" t="n"/>
      <c r="J49" s="75" t="n"/>
      <c r="K49" s="76" t="n"/>
      <c r="L49" s="191" t="n"/>
      <c r="M49" s="191" t="n"/>
      <c r="N49" s="191" t="n"/>
      <c r="O49" s="191" t="n"/>
      <c r="P49" s="191" t="n"/>
      <c r="Q49" s="193" t="n"/>
      <c r="R49" s="11" t="n"/>
    </row>
    <row r="50" ht="22.5" customHeight="1" s="718">
      <c r="A50" s="10" t="n"/>
      <c r="B50" s="508" t="inlineStr">
        <is>
          <t>ODA SİCİL NO</t>
        </is>
      </c>
      <c r="C50" s="130" t="n"/>
      <c r="D50" s="130" t="n"/>
      <c r="E50" s="564" t="inlineStr">
        <is>
          <t>:</t>
        </is>
      </c>
      <c r="F50" s="565">
        <f>'ANA SAYFA KESİCİ'!F77</f>
        <v/>
      </c>
      <c r="G50" s="70" t="n"/>
      <c r="H50" s="70" t="n"/>
      <c r="I50" s="359" t="n"/>
      <c r="J50" s="75" t="n"/>
      <c r="K50" s="76" t="n"/>
      <c r="L50" s="191" t="n"/>
      <c r="M50" s="191" t="n"/>
      <c r="N50" s="191" t="n"/>
      <c r="O50" s="191" t="n"/>
      <c r="P50" s="191" t="n"/>
      <c r="Q50" s="193" t="n"/>
      <c r="R50" s="11" t="n"/>
    </row>
    <row r="51" ht="22.5" customHeight="1" s="718">
      <c r="A51" s="10" t="n"/>
      <c r="B51" s="508" t="inlineStr">
        <is>
          <t>EKİPNET NO</t>
        </is>
      </c>
      <c r="C51" s="130" t="n"/>
      <c r="D51" s="130" t="n"/>
      <c r="E51" s="509" t="inlineStr">
        <is>
          <t>:</t>
        </is>
      </c>
      <c r="F51" s="510">
        <f>'ANA SAYFA KESİCİ'!F78</f>
        <v/>
      </c>
      <c r="G51" s="130" t="n"/>
      <c r="H51" s="130" t="n"/>
      <c r="I51" s="242" t="n"/>
      <c r="J51" s="352" t="n"/>
      <c r="K51" s="197" t="n"/>
      <c r="L51" s="197" t="n"/>
      <c r="M51" s="197" t="n"/>
      <c r="N51" s="197" t="n"/>
      <c r="O51" s="197" t="n"/>
      <c r="P51" s="197" t="n"/>
      <c r="Q51" s="194" t="n"/>
      <c r="R51" s="11" t="n"/>
    </row>
    <row r="52" ht="15" customHeight="1" s="718" thickBot="1">
      <c r="A52" s="15" t="n"/>
      <c r="B52" s="16" t="n"/>
      <c r="C52" s="16" t="n"/>
      <c r="D52" s="16" t="n"/>
      <c r="E52" s="16" t="n"/>
      <c r="F52" s="16" t="n"/>
      <c r="G52" s="16" t="n"/>
      <c r="H52" s="16" t="n"/>
      <c r="I52" s="16" t="n"/>
      <c r="J52" s="16" t="n"/>
      <c r="K52" s="16" t="n"/>
      <c r="L52" s="16" t="n"/>
      <c r="M52" s="16" t="n"/>
      <c r="N52" s="16" t="n"/>
      <c r="O52" s="16" t="n"/>
      <c r="P52" s="16" t="n"/>
      <c r="Q52" s="16" t="n"/>
      <c r="R52" s="17" t="n"/>
    </row>
    <row r="53"/>
    <row r="54"/>
    <row r="55"/>
    <row r="56" ht="18" customHeight="1" s="718">
      <c r="S56" s="76" t="n"/>
    </row>
    <row r="57">
      <c r="S57" s="272" t="n"/>
    </row>
    <row r="58">
      <c r="S58" s="238" t="n"/>
    </row>
    <row r="59">
      <c r="S59" s="272" t="n"/>
    </row>
    <row r="60">
      <c r="S60" s="271" t="n"/>
    </row>
    <row r="61">
      <c r="S61" s="272" t="n"/>
    </row>
    <row r="62">
      <c r="S62" s="272" t="n"/>
    </row>
    <row r="63">
      <c r="S63" s="272" t="n"/>
    </row>
    <row r="64">
      <c r="S64" s="272"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F48:I48"/>
    <mergeCell ref="B15:E15"/>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F50:I50"/>
    <mergeCell ref="B17:E17"/>
    <mergeCell ref="N25:O26"/>
    <mergeCell ref="W39:AJ39"/>
    <mergeCell ref="J19:L19"/>
    <mergeCell ref="N17:Q17"/>
    <mergeCell ref="B2:F3"/>
    <mergeCell ref="B45:C45"/>
    <mergeCell ref="Y23:Z23"/>
    <mergeCell ref="B19:E19"/>
    <mergeCell ref="J9:L9"/>
    <mergeCell ref="B28:E28"/>
    <mergeCell ref="W38:AJ38"/>
    <mergeCell ref="I27:I2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B29:D29">
    <cfRule type="cellIs" priority="3" operator="greaterThan" dxfId="8">
      <formula>5</formula>
    </cfRule>
  </conditionalFormatting>
  <conditionalFormatting sqref="C25:D27">
    <cfRule type="cellIs" priority="2" operator="greaterThan" dxfId="8">
      <formula>80</formula>
    </cfRule>
  </conditionalFormatting>
  <conditionalFormatting sqref="J29:L29">
    <cfRule type="cellIs" priority="4" operator="greaterThan" dxfId="9">
      <formula>5</formula>
    </cfRule>
  </conditionalFormatting>
  <conditionalFormatting sqref="K25:L27">
    <cfRule type="cellIs" priority="1" operator="greaterThan" dxfId="8">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Z56"/>
  <sheetViews>
    <sheetView topLeftCell="A5" workbookViewId="0">
      <selection activeCell="B47" sqref="B47:Q50"/>
    </sheetView>
  </sheetViews>
  <sheetFormatPr baseColWidth="8" defaultColWidth="9.109375" defaultRowHeight="14.4"/>
  <cols>
    <col width="2.88671875" customWidth="1" style="718" min="1" max="1"/>
    <col width="5.44140625" customWidth="1" style="718" min="2" max="16"/>
    <col width="6.44140625" customWidth="1" style="718" min="17" max="17"/>
    <col width="2.88671875" customWidth="1" style="718" min="18" max="18"/>
    <col width="9.109375" customWidth="1" style="718" min="19" max="16384"/>
  </cols>
  <sheetData>
    <row r="1" ht="11.25" customHeight="1" s="718">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61"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64" t="n"/>
      <c r="G3" s="544" t="inlineStr">
        <is>
          <t xml:space="preserve">  LOKASYON</t>
        </is>
      </c>
      <c r="H3" s="139" t="n"/>
      <c r="I3" s="696" t="inlineStr">
        <is>
          <t>:</t>
        </is>
      </c>
      <c r="J3" s="549">
        <f>'ANA SAYFA'!K5</f>
        <v/>
      </c>
      <c r="K3" s="139" t="n"/>
      <c r="L3" s="139" t="n"/>
      <c r="M3" s="139" t="n"/>
      <c r="N3" s="139" t="n"/>
      <c r="O3" s="139" t="n"/>
      <c r="P3" s="139" t="n"/>
      <c r="Q3" s="361" t="n"/>
      <c r="R3" s="11" t="n"/>
    </row>
    <row r="4" ht="10.5" customHeight="1" s="718">
      <c r="A4" s="10" t="n"/>
      <c r="B4" s="44" t="n"/>
      <c r="C4" s="45" t="n"/>
      <c r="D4" s="45" t="n"/>
      <c r="E4" s="45" t="n"/>
      <c r="F4" s="45" t="n"/>
      <c r="G4" s="45" t="n"/>
      <c r="H4" s="45" t="n"/>
      <c r="I4" s="45" t="n"/>
      <c r="J4" s="45" t="n"/>
      <c r="K4" s="45" t="n"/>
      <c r="L4" s="45" t="n"/>
      <c r="M4" s="45" t="n"/>
      <c r="N4" s="45" t="n"/>
      <c r="O4" s="45" t="n"/>
      <c r="P4" s="45" t="n"/>
      <c r="Q4" s="27" t="n"/>
      <c r="R4" s="11" t="n"/>
    </row>
    <row r="5" ht="18" customHeight="1" s="718">
      <c r="A5" s="10" t="n"/>
      <c r="B5" s="631" t="inlineStr">
        <is>
          <t>Dosya Adı :</t>
        </is>
      </c>
      <c r="C5" s="130" t="n"/>
      <c r="D5" s="130" t="n"/>
      <c r="E5" s="754" t="inlineStr">
        <is>
          <t>İZOLASYON YAĞI TEST SONUÇLARI</t>
        </is>
      </c>
      <c r="F5" s="130" t="n"/>
      <c r="G5" s="130" t="n"/>
      <c r="H5" s="130" t="n"/>
      <c r="I5" s="130" t="n"/>
      <c r="J5" s="130" t="n"/>
      <c r="K5" s="242" t="n"/>
      <c r="L5" s="866" t="inlineStr">
        <is>
          <t>Güç:</t>
        </is>
      </c>
      <c r="M5" s="130" t="n"/>
      <c r="N5" s="242" t="n"/>
      <c r="O5" s="587">
        <f>'ANA SAYFA'!G13</f>
        <v/>
      </c>
      <c r="P5" s="242" t="n"/>
      <c r="Q5" s="754" t="inlineStr">
        <is>
          <t>kVA</t>
        </is>
      </c>
      <c r="R5" s="11" t="n"/>
    </row>
    <row r="6" ht="6.75" customHeight="1" s="718">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576" t="inlineStr">
        <is>
          <t>Üretici :</t>
        </is>
      </c>
      <c r="C7" s="242" t="n"/>
      <c r="D7" s="745">
        <f>'ANA SAYFA'!G11</f>
        <v/>
      </c>
      <c r="E7" s="70" t="n"/>
      <c r="F7" s="359" t="n"/>
      <c r="G7" s="867" t="inlineStr">
        <is>
          <t>Model :</t>
        </is>
      </c>
      <c r="H7" s="242" t="n"/>
      <c r="I7" s="745">
        <f>'ANA SAYFA'!O13</f>
        <v/>
      </c>
      <c r="J7" s="70" t="n"/>
      <c r="K7" s="359" t="n"/>
      <c r="L7" s="576" t="inlineStr">
        <is>
          <t>Seri Numarası :</t>
        </is>
      </c>
      <c r="M7" s="130" t="n"/>
      <c r="N7" s="242" t="n"/>
      <c r="O7" s="743">
        <f>'ANA SAYFA'!O15</f>
        <v/>
      </c>
      <c r="P7" s="130" t="n"/>
      <c r="Q7" s="242" t="n"/>
      <c r="R7" s="11" t="n"/>
    </row>
    <row r="8">
      <c r="A8" s="10" t="n"/>
      <c r="B8" s="743" t="inlineStr">
        <is>
          <t>Yağ Markası:</t>
        </is>
      </c>
      <c r="C8" s="242" t="n"/>
      <c r="D8" s="743">
        <f>'ANA SAYFA'!G17</f>
        <v/>
      </c>
      <c r="E8" s="130" t="n"/>
      <c r="F8" s="242" t="n"/>
      <c r="G8" s="573" t="inlineStr">
        <is>
          <t>Yağ Ağırlığı:</t>
        </is>
      </c>
      <c r="H8" s="242" t="n"/>
      <c r="I8" s="743">
        <f>'ANA SAYFA'!O17</f>
        <v/>
      </c>
      <c r="J8" s="130" t="n"/>
      <c r="K8" s="242" t="n"/>
      <c r="L8" s="576" t="inlineStr">
        <is>
          <t>Gerilim Seviyesi:</t>
        </is>
      </c>
      <c r="M8" s="130" t="n"/>
      <c r="N8" s="242" t="n"/>
      <c r="O8" s="743">
        <f>'ANA SAYFA'!G15</f>
        <v/>
      </c>
      <c r="P8" s="130" t="n"/>
      <c r="Q8" s="242" t="n"/>
      <c r="R8" s="11" t="n"/>
    </row>
    <row r="9" ht="6.75" customHeight="1" s="718">
      <c r="A9" s="10" t="n"/>
      <c r="B9" s="3" t="n"/>
      <c r="C9" s="272" t="n"/>
      <c r="D9" s="272" t="n"/>
      <c r="E9" s="272" t="n"/>
      <c r="F9" s="272" t="n"/>
      <c r="G9" s="272" t="n"/>
      <c r="H9" s="272" t="n"/>
      <c r="I9" s="272" t="n"/>
      <c r="J9" s="272" t="n"/>
      <c r="K9" s="272" t="n"/>
      <c r="L9" s="272" t="n"/>
      <c r="M9" s="272" t="n"/>
      <c r="N9" s="272" t="n"/>
      <c r="O9" s="272" t="n"/>
      <c r="P9" s="272" t="n"/>
      <c r="Q9" s="202" t="n"/>
      <c r="R9" s="11" t="n"/>
    </row>
    <row r="10" ht="18" customHeight="1" s="718">
      <c r="A10" s="10" t="n"/>
      <c r="B10" s="555" t="inlineStr">
        <is>
          <t>RAPOR TARİHİ :</t>
        </is>
      </c>
      <c r="C10" s="130" t="n"/>
      <c r="D10" s="130" t="n"/>
      <c r="E10" s="130" t="n"/>
      <c r="F10" s="130" t="n"/>
      <c r="G10" s="130" t="n"/>
      <c r="H10" s="130" t="n"/>
      <c r="I10" s="130" t="n"/>
      <c r="J10" s="823">
        <f>'ANA SAYFA'!F78</f>
        <v/>
      </c>
      <c r="K10" s="130" t="n"/>
      <c r="L10" s="130" t="n"/>
      <c r="M10" s="130" t="n"/>
      <c r="N10" s="130" t="n"/>
      <c r="O10" s="130" t="n"/>
      <c r="P10" s="130" t="n"/>
      <c r="Q10" s="242" t="n"/>
      <c r="R10" s="11" t="n"/>
    </row>
    <row r="11" hidden="1" ht="6.75" customHeight="1" s="718">
      <c r="A11" s="10" t="n"/>
      <c r="B11" s="3" t="n"/>
      <c r="C11" s="272" t="n"/>
      <c r="D11" s="272" t="n"/>
      <c r="E11" s="272" t="n"/>
      <c r="F11" s="272" t="n"/>
      <c r="G11" s="272" t="n"/>
      <c r="H11" s="272" t="n"/>
      <c r="I11" s="272" t="n"/>
      <c r="J11" s="272" t="n"/>
      <c r="K11" s="272" t="n"/>
      <c r="L11" s="272" t="n"/>
      <c r="M11" s="272" t="n"/>
      <c r="N11" s="272" t="n"/>
      <c r="O11" s="272" t="n"/>
      <c r="P11" s="272" t="n"/>
      <c r="Q11" s="202" t="n"/>
      <c r="R11" s="11" t="n"/>
      <c r="T11" t="n">
        <v>30</v>
      </c>
    </row>
    <row r="12" ht="18" customHeight="1" s="718">
      <c r="A12" s="10" t="n"/>
      <c r="B12" s="575" t="inlineStr">
        <is>
          <t>Sonuçlar</t>
        </is>
      </c>
      <c r="C12" s="130" t="n"/>
      <c r="D12" s="130" t="n"/>
      <c r="E12" s="130" t="n"/>
      <c r="F12" s="130" t="n"/>
      <c r="G12" s="130" t="n"/>
      <c r="H12" s="130" t="n"/>
      <c r="I12" s="130" t="n"/>
      <c r="J12" s="130" t="n"/>
      <c r="K12" s="130" t="n"/>
      <c r="L12" s="130" t="n"/>
      <c r="M12" s="130" t="n"/>
      <c r="N12" s="130" t="n"/>
      <c r="O12" s="130" t="n"/>
      <c r="P12" s="130" t="n"/>
      <c r="Q12" s="242" t="n"/>
      <c r="R12" s="11" t="n"/>
    </row>
    <row r="13" ht="7.5" customHeight="1" s="718">
      <c r="A13" s="10" t="n"/>
      <c r="B13" s="3" t="n"/>
      <c r="C13" s="272" t="n"/>
      <c r="D13" s="272" t="n"/>
      <c r="E13" s="272" t="n"/>
      <c r="F13" s="272" t="n"/>
      <c r="G13" s="272" t="n"/>
      <c r="H13" s="272" t="n"/>
      <c r="I13" s="272" t="n"/>
      <c r="J13" s="272" t="n"/>
      <c r="K13" s="272" t="n"/>
      <c r="L13" s="272" t="n"/>
      <c r="M13" s="272" t="n"/>
      <c r="N13" s="272" t="n"/>
      <c r="O13" s="272" t="n"/>
      <c r="P13" s="272" t="n"/>
      <c r="Q13" s="202" t="n"/>
      <c r="R13" s="11" t="n"/>
    </row>
    <row r="14" ht="18.75" customHeight="1" s="718">
      <c r="A14" s="10" t="n"/>
      <c r="B14" s="811" t="inlineStr">
        <is>
          <t>DİELEKTRİK DAYANIM TESTİ ( VDE0370 )</t>
        </is>
      </c>
      <c r="C14" s="130" t="n"/>
      <c r="D14" s="130" t="n"/>
      <c r="E14" s="130" t="n"/>
      <c r="F14" s="130" t="n"/>
      <c r="G14" s="130" t="n"/>
      <c r="H14" s="130" t="n"/>
      <c r="I14" s="130" t="n"/>
      <c r="J14" s="130" t="n"/>
      <c r="K14" s="130" t="n"/>
      <c r="L14" s="130" t="n"/>
      <c r="M14" s="130" t="n"/>
      <c r="N14" s="130" t="n"/>
      <c r="O14" s="130" t="n"/>
      <c r="P14" s="130" t="n"/>
      <c r="Q14" s="242" t="n"/>
      <c r="R14" s="11" t="n"/>
    </row>
    <row r="15" ht="9.75" customHeight="1" s="718">
      <c r="A15" s="10" t="n"/>
      <c r="B15" s="44" t="n"/>
      <c r="C15" s="45" t="n"/>
      <c r="D15" s="45" t="n"/>
      <c r="E15" s="45" t="n"/>
      <c r="F15" s="45" t="n"/>
      <c r="G15" s="45" t="n"/>
      <c r="H15" s="45" t="n"/>
      <c r="I15" s="45" t="n"/>
      <c r="J15" s="45" t="n"/>
      <c r="K15" s="45" t="n"/>
      <c r="L15" s="45" t="n"/>
      <c r="M15" s="45" t="n"/>
      <c r="N15" s="45" t="n"/>
      <c r="O15" s="45" t="n"/>
      <c r="P15" s="45" t="n"/>
      <c r="Q15" s="46" t="n"/>
      <c r="R15" s="11" t="n"/>
    </row>
    <row r="16" ht="16.5" customHeight="1" s="718">
      <c r="A16" s="10" t="n"/>
      <c r="B16" s="750" t="inlineStr">
        <is>
          <t>DENEY 1</t>
        </is>
      </c>
      <c r="C16" s="242" t="n"/>
      <c r="D16" s="607" t="n">
        <v>60</v>
      </c>
      <c r="E16" s="242" t="n"/>
      <c r="F16" s="751" t="inlineStr">
        <is>
          <t>kV</t>
        </is>
      </c>
      <c r="G16" s="242" t="n"/>
      <c r="H16" s="775" t="n"/>
      <c r="J16" s="272" t="n"/>
      <c r="K16" s="578" t="n"/>
      <c r="M16" s="272" t="n"/>
      <c r="N16" s="752" t="n"/>
      <c r="Q16" s="470" t="n"/>
      <c r="R16" s="11" t="n"/>
    </row>
    <row r="17" ht="9.75" customHeight="1" s="718">
      <c r="A17" s="35" t="n"/>
      <c r="B17" s="174" t="n"/>
      <c r="C17" s="174" t="n"/>
      <c r="D17" s="178" t="n"/>
      <c r="E17" s="178" t="n"/>
      <c r="F17" s="699" t="n"/>
      <c r="G17" s="699" t="n"/>
      <c r="H17" s="775" t="n"/>
      <c r="I17" s="775" t="n"/>
      <c r="J17" s="272" t="n"/>
      <c r="K17" s="578" t="n"/>
      <c r="L17" s="578" t="n"/>
      <c r="M17" s="272" t="n"/>
      <c r="N17" s="752" t="n"/>
      <c r="O17" s="752" t="n"/>
      <c r="Q17" s="469" t="n"/>
      <c r="R17" s="95" t="n"/>
    </row>
    <row r="18" ht="16.5" customHeight="1" s="718">
      <c r="A18" s="35" t="n"/>
      <c r="B18" s="630" t="inlineStr">
        <is>
          <t>DENEY 2</t>
        </is>
      </c>
      <c r="C18" s="242" t="n"/>
      <c r="D18" s="607" t="n">
        <v>60</v>
      </c>
      <c r="E18" s="242" t="n"/>
      <c r="F18" s="751" t="inlineStr">
        <is>
          <t>kV</t>
        </is>
      </c>
      <c r="G18" s="242" t="n"/>
      <c r="H18" s="775" t="n"/>
      <c r="J18" s="272" t="n"/>
      <c r="K18" s="578" t="n"/>
      <c r="M18" s="272" t="n"/>
      <c r="N18" s="752" t="n"/>
      <c r="Q18" s="469" t="n"/>
      <c r="R18" s="95" t="n"/>
    </row>
    <row r="19" ht="9.75" customHeight="1" s="718">
      <c r="A19" s="35" t="n"/>
      <c r="B19" s="174" t="n"/>
      <c r="C19" s="174" t="n"/>
      <c r="D19" s="178" t="n"/>
      <c r="E19" s="178" t="n"/>
      <c r="F19" s="699" t="n"/>
      <c r="G19" s="699" t="n"/>
      <c r="H19" s="775" t="n"/>
      <c r="I19" s="775" t="n"/>
      <c r="J19" s="272" t="n"/>
      <c r="K19" s="578" t="n"/>
      <c r="L19" s="578" t="n"/>
      <c r="M19" s="272" t="n"/>
      <c r="N19" s="752" t="n"/>
      <c r="O19" s="752" t="n"/>
      <c r="Q19" s="469" t="n"/>
      <c r="R19" s="95" t="n"/>
    </row>
    <row r="20" ht="16.5" customHeight="1" s="718">
      <c r="A20" s="35" t="n"/>
      <c r="B20" s="630" t="inlineStr">
        <is>
          <t>DENEY 3</t>
        </is>
      </c>
      <c r="C20" s="242" t="n"/>
      <c r="D20" s="607" t="n">
        <v>60</v>
      </c>
      <c r="E20" s="242" t="n"/>
      <c r="F20" s="751" t="inlineStr">
        <is>
          <t>kV</t>
        </is>
      </c>
      <c r="G20" s="242" t="n"/>
      <c r="H20" s="775" t="n"/>
      <c r="J20" s="272" t="n"/>
      <c r="K20" s="578" t="n"/>
      <c r="M20" s="272" t="n"/>
      <c r="N20" s="752" t="n"/>
      <c r="Q20" s="469" t="n"/>
      <c r="R20" s="95" t="n"/>
      <c r="W20" s="180" t="n">
        <v>30</v>
      </c>
    </row>
    <row r="21" ht="9.75" customHeight="1" s="718">
      <c r="A21" s="35" t="n"/>
      <c r="B21" s="174" t="n"/>
      <c r="C21" s="174" t="n"/>
      <c r="D21" s="178" t="n"/>
      <c r="E21" s="178" t="n"/>
      <c r="F21" s="699" t="n"/>
      <c r="G21" s="699" t="n"/>
      <c r="H21" s="775" t="n"/>
      <c r="I21" s="775" t="n"/>
      <c r="J21" s="272" t="n"/>
      <c r="K21" s="578" t="n"/>
      <c r="L21" s="578" t="n"/>
      <c r="M21" s="272" t="n"/>
      <c r="N21" s="752" t="n"/>
      <c r="O21" s="752" t="n"/>
      <c r="Q21" s="469" t="n"/>
      <c r="R21" s="95" t="n"/>
    </row>
    <row r="22" ht="16.5" customHeight="1" s="718">
      <c r="A22" s="35" t="n"/>
      <c r="B22" s="630" t="inlineStr">
        <is>
          <t>DENEY 4</t>
        </is>
      </c>
      <c r="C22" s="242" t="n"/>
      <c r="D22" s="607" t="n">
        <v>60</v>
      </c>
      <c r="E22" s="242" t="n"/>
      <c r="F22" s="751" t="inlineStr">
        <is>
          <t>kV</t>
        </is>
      </c>
      <c r="G22" s="242" t="n"/>
      <c r="H22" s="775" t="n"/>
      <c r="J22" s="272" t="n"/>
      <c r="K22" s="578" t="n"/>
      <c r="M22" s="272" t="n"/>
      <c r="N22" s="752" t="n"/>
      <c r="Q22" s="469" t="n"/>
      <c r="R22" s="95" t="n"/>
    </row>
    <row r="23" ht="9.75" customHeight="1" s="718">
      <c r="A23" s="35" t="n"/>
      <c r="B23" s="174" t="n"/>
      <c r="C23" s="174" t="n"/>
      <c r="D23" s="178" t="n"/>
      <c r="E23" s="178" t="n"/>
      <c r="F23" s="699" t="n"/>
      <c r="G23" s="699" t="n"/>
      <c r="H23" s="775" t="n"/>
      <c r="I23" s="775" t="n"/>
      <c r="J23" s="272" t="n"/>
      <c r="K23" s="578" t="n"/>
      <c r="L23" s="578" t="n"/>
      <c r="M23" s="272" t="n"/>
      <c r="N23" s="752" t="n"/>
      <c r="O23" s="752" t="n"/>
      <c r="Q23" s="469" t="n"/>
      <c r="R23" s="95" t="n"/>
    </row>
    <row r="24" ht="16.5" customHeight="1" s="718">
      <c r="A24" s="35" t="n"/>
      <c r="B24" s="630" t="inlineStr">
        <is>
          <t>DENEY 5</t>
        </is>
      </c>
      <c r="C24" s="242" t="n"/>
      <c r="D24" s="607" t="n">
        <v>60</v>
      </c>
      <c r="E24" s="242" t="n"/>
      <c r="F24" s="751" t="inlineStr">
        <is>
          <t>kV</t>
        </is>
      </c>
      <c r="G24" s="242" t="n"/>
      <c r="H24" s="775" t="n"/>
      <c r="J24" s="272" t="n"/>
      <c r="K24" s="578" t="n"/>
      <c r="M24" s="272" t="n"/>
      <c r="N24" s="752" t="n"/>
      <c r="Q24" s="469" t="n"/>
      <c r="R24" s="95" t="n"/>
    </row>
    <row r="25" ht="9.75" customHeight="1" s="718">
      <c r="A25" s="35" t="n"/>
      <c r="B25" s="174" t="n"/>
      <c r="C25" s="174" t="n"/>
      <c r="D25" s="178" t="n"/>
      <c r="E25" s="178" t="n"/>
      <c r="F25" s="699" t="n"/>
      <c r="G25" s="699" t="n"/>
      <c r="H25" s="775" t="n"/>
      <c r="I25" s="775" t="n"/>
      <c r="J25" s="272" t="n"/>
      <c r="K25" s="578" t="n"/>
      <c r="L25" s="578" t="n"/>
      <c r="M25" s="272" t="n"/>
      <c r="N25" s="752" t="n"/>
      <c r="O25" s="752" t="n"/>
      <c r="Q25" s="469" t="n"/>
      <c r="R25" s="95" t="n"/>
    </row>
    <row r="26" ht="16.5" customHeight="1" s="718">
      <c r="A26" s="35" t="n"/>
      <c r="B26" s="630" t="inlineStr">
        <is>
          <t>DENEY 6</t>
        </is>
      </c>
      <c r="C26" s="242" t="n"/>
      <c r="D26" s="607" t="n">
        <v>60</v>
      </c>
      <c r="E26" s="242" t="n"/>
      <c r="F26" s="751" t="inlineStr">
        <is>
          <t>kV</t>
        </is>
      </c>
      <c r="G26" s="242" t="n"/>
      <c r="H26" s="775" t="n"/>
      <c r="J26" s="272" t="n"/>
      <c r="K26" s="578" t="n"/>
      <c r="M26" s="272" t="n"/>
      <c r="N26" s="752" t="n"/>
      <c r="Q26" s="469" t="n"/>
      <c r="R26" s="95" t="n"/>
    </row>
    <row r="27" ht="9.75" customHeight="1" s="718">
      <c r="A27" s="35" t="n"/>
      <c r="B27" s="174" t="n"/>
      <c r="C27" s="174" t="n"/>
      <c r="D27" s="699" t="n"/>
      <c r="E27" s="699" t="n"/>
      <c r="F27" s="699" t="n"/>
      <c r="G27" s="699" t="n"/>
      <c r="H27" s="775" t="n"/>
      <c r="I27" s="775" t="n"/>
      <c r="J27" s="272" t="n"/>
      <c r="K27" s="578" t="n"/>
      <c r="L27" s="578" t="n"/>
      <c r="M27" s="272" t="n"/>
      <c r="N27" s="752" t="n"/>
      <c r="O27" s="752" t="n"/>
      <c r="Q27" s="469" t="n"/>
      <c r="R27" s="95" t="n"/>
    </row>
    <row r="28" ht="16.5" customHeight="1" s="718">
      <c r="A28" s="35" t="n"/>
      <c r="B28" s="563" t="inlineStr">
        <is>
          <t>Vort</t>
        </is>
      </c>
      <c r="C28" s="242" t="n"/>
      <c r="D28" s="607">
        <f>(D16+D18+D20+D22+D24+D26)/6</f>
        <v/>
      </c>
      <c r="E28" s="242" t="n"/>
      <c r="F28" s="524" t="inlineStr">
        <is>
          <t>kV</t>
        </is>
      </c>
      <c r="G28" s="242" t="n"/>
      <c r="H28" s="32" t="n"/>
      <c r="I28" s="24" t="n"/>
      <c r="J28" s="24" t="n"/>
      <c r="K28" s="32" t="n"/>
      <c r="L28" s="32" t="n"/>
      <c r="M28" s="32" t="n"/>
      <c r="N28" s="32" t="n"/>
      <c r="O28" s="32" t="n"/>
      <c r="P28" s="32" t="n"/>
      <c r="Q28" s="775" t="n"/>
      <c r="R28" s="95" t="n"/>
    </row>
    <row r="29" ht="15" customHeight="1" s="718" thickBot="1">
      <c r="A29" s="10" t="n"/>
      <c r="B29" s="481" t="n"/>
      <c r="C29" s="612" t="n"/>
      <c r="D29" s="178" t="n"/>
      <c r="E29" s="178" t="n"/>
      <c r="F29" s="578" t="n"/>
      <c r="G29" s="578" t="n"/>
      <c r="H29" s="32" t="n"/>
      <c r="I29" s="24" t="n"/>
      <c r="J29" s="24" t="n"/>
      <c r="K29" s="32" t="n"/>
      <c r="L29" s="32" t="n"/>
      <c r="M29" s="32" t="n"/>
      <c r="N29" s="32" t="n"/>
      <c r="O29" s="32" t="n"/>
      <c r="P29" s="32" t="n"/>
      <c r="Q29" s="310" t="n"/>
      <c r="R29" s="11" t="n"/>
    </row>
    <row r="30" ht="15" customHeight="1" s="718" thickBot="1">
      <c r="A30" s="10" t="n"/>
      <c r="B30" s="868" t="inlineStr">
        <is>
          <t>Testin Adı</t>
        </is>
      </c>
      <c r="C30" s="869" t="n"/>
      <c r="D30" s="870" t="n"/>
      <c r="E30" s="871" t="inlineStr">
        <is>
          <t>Değer</t>
        </is>
      </c>
      <c r="F30" s="869" t="n"/>
      <c r="G30" s="870" t="n"/>
      <c r="H30" s="872" t="inlineStr">
        <is>
          <t>Birim</t>
        </is>
      </c>
      <c r="I30" s="869" t="n"/>
      <c r="J30" s="870" t="n"/>
      <c r="K30" s="872" t="inlineStr">
        <is>
          <t>Standardı</t>
        </is>
      </c>
      <c r="L30" s="869" t="n"/>
      <c r="M30" s="870" t="n"/>
      <c r="N30" s="873" t="inlineStr">
        <is>
          <t>Sınır Değerler</t>
        </is>
      </c>
      <c r="O30" s="869" t="n"/>
      <c r="P30" s="869" t="n"/>
      <c r="Q30" s="874" t="n"/>
      <c r="R30" s="11" t="n"/>
    </row>
    <row r="31" ht="6" customHeight="1" s="718">
      <c r="A31" s="10" t="n"/>
      <c r="B31" s="56" t="n"/>
      <c r="C31" s="752" t="n"/>
      <c r="D31" s="752" t="n"/>
      <c r="E31" s="181" t="n"/>
      <c r="F31" s="181" t="n"/>
      <c r="G31" s="181" t="n"/>
      <c r="H31" s="182" t="n"/>
      <c r="I31" s="182" t="n"/>
      <c r="J31" s="182" t="n"/>
      <c r="K31" s="182" t="n"/>
      <c r="L31" s="182" t="n"/>
      <c r="M31" s="182" t="n"/>
      <c r="N31" s="182" t="n"/>
      <c r="O31" s="182" t="n"/>
      <c r="P31" s="182" t="n"/>
      <c r="Q31" s="183" t="n"/>
      <c r="R31" s="11" t="n"/>
    </row>
    <row r="32">
      <c r="A32" s="10" t="n"/>
      <c r="B32" s="577" t="inlineStr">
        <is>
          <t>Asidite</t>
        </is>
      </c>
      <c r="C32" s="130" t="n"/>
      <c r="D32" s="242" t="n"/>
      <c r="E32" s="524" t="n">
        <v>0.094</v>
      </c>
      <c r="F32" s="130" t="n"/>
      <c r="G32" s="242" t="n"/>
      <c r="H32" s="524" t="inlineStr">
        <is>
          <t>mgKOH/g</t>
        </is>
      </c>
      <c r="I32" s="130" t="n"/>
      <c r="J32" s="242" t="n"/>
      <c r="K32" s="524" t="inlineStr">
        <is>
          <t>ASTMD664</t>
        </is>
      </c>
      <c r="L32" s="130" t="n"/>
      <c r="M32" s="242" t="n"/>
      <c r="N32" s="762" t="inlineStr">
        <is>
          <t>max 0,300 mgKOH/g</t>
        </is>
      </c>
      <c r="O32" s="130" t="n"/>
      <c r="P32" s="130" t="n"/>
      <c r="Q32" s="242" t="n"/>
      <c r="R32" s="11" t="n"/>
    </row>
    <row r="33" ht="6" customHeight="1" s="718">
      <c r="A33" s="10" t="n"/>
      <c r="B33" s="481" t="n"/>
      <c r="C33" s="612" t="n"/>
      <c r="D33" s="612" t="n"/>
      <c r="E33" s="578" t="n"/>
      <c r="F33" s="578" t="n"/>
      <c r="G33" s="578" t="n"/>
      <c r="H33" s="578" t="n"/>
      <c r="I33" s="578" t="n"/>
      <c r="J33" s="578" t="n"/>
      <c r="K33" s="578" t="n"/>
      <c r="L33" s="578" t="n"/>
      <c r="M33" s="578" t="n"/>
      <c r="N33" s="184" t="n"/>
      <c r="O33" s="184" t="n"/>
      <c r="P33" s="184" t="n"/>
      <c r="Q33" s="185" t="n"/>
      <c r="R33" s="11" t="n"/>
    </row>
    <row r="34" ht="15" customHeight="1" s="718">
      <c r="A34" s="10" t="n"/>
      <c r="B34" s="769" t="inlineStr">
        <is>
          <t>Yoğunluk</t>
        </is>
      </c>
      <c r="C34" s="130" t="n"/>
      <c r="D34" s="242" t="n"/>
      <c r="E34" s="875" t="n">
        <v>0.886</v>
      </c>
      <c r="F34" s="130" t="n"/>
      <c r="G34" s="242" t="n"/>
      <c r="H34" s="227" t="inlineStr">
        <is>
          <t>g/cm3</t>
        </is>
      </c>
      <c r="I34" s="130" t="n"/>
      <c r="J34" s="242" t="n"/>
      <c r="K34" s="524" t="inlineStr">
        <is>
          <t>ASTMD1298</t>
        </is>
      </c>
      <c r="L34" s="130" t="n"/>
      <c r="M34" s="242" t="n"/>
      <c r="N34" s="762" t="inlineStr">
        <is>
          <t>0,800-0,950 g/cm3</t>
        </is>
      </c>
      <c r="O34" s="130" t="n"/>
      <c r="P34" s="130" t="n"/>
      <c r="Q34" s="242" t="n"/>
      <c r="R34" s="11" t="n"/>
    </row>
    <row r="35" ht="6" customHeight="1" s="718">
      <c r="A35" s="10" t="n"/>
      <c r="B35" s="186" t="n"/>
      <c r="C35" s="187" t="n"/>
      <c r="D35" s="187" t="n"/>
      <c r="E35" s="578" t="n"/>
      <c r="F35" s="578" t="n"/>
      <c r="G35" s="578" t="n"/>
      <c r="H35" s="578" t="n"/>
      <c r="I35" s="578" t="n"/>
      <c r="J35" s="578" t="n"/>
      <c r="K35" s="578" t="n"/>
      <c r="L35" s="578" t="n"/>
      <c r="M35" s="578" t="n"/>
      <c r="N35" s="184" t="n"/>
      <c r="O35" s="184" t="n"/>
      <c r="P35" s="184" t="n"/>
      <c r="Q35" s="185" t="n"/>
      <c r="R35" s="11" t="n"/>
    </row>
    <row r="36">
      <c r="A36" s="10" t="n"/>
      <c r="B36" s="577" t="inlineStr">
        <is>
          <t>Çözünmüş Su</t>
        </is>
      </c>
      <c r="C36" s="130" t="n"/>
      <c r="D36" s="242" t="n"/>
      <c r="E36" s="524" t="n">
        <v>10.5</v>
      </c>
      <c r="F36" s="130" t="n"/>
      <c r="G36" s="242" t="n"/>
      <c r="H36" s="524" t="inlineStr">
        <is>
          <t>ppm</t>
        </is>
      </c>
      <c r="I36" s="130" t="n"/>
      <c r="J36" s="242" t="n"/>
      <c r="K36" s="524" t="inlineStr">
        <is>
          <t>ASTMD1533</t>
        </is>
      </c>
      <c r="L36" s="130" t="n"/>
      <c r="M36" s="242" t="n"/>
      <c r="N36" s="762" t="inlineStr">
        <is>
          <t>max 30 ppm</t>
        </is>
      </c>
      <c r="O36" s="130" t="n"/>
      <c r="P36" s="130" t="n"/>
      <c r="Q36" s="242" t="n"/>
      <c r="R36" s="11" t="n"/>
      <c r="Z36" s="188" t="n"/>
    </row>
    <row r="37" ht="6" customHeight="1" s="718">
      <c r="A37" s="10" t="n"/>
      <c r="B37" s="481" t="n"/>
      <c r="C37" s="612" t="n"/>
      <c r="D37" s="612" t="n"/>
      <c r="E37" s="578" t="n"/>
      <c r="F37" s="578" t="n"/>
      <c r="G37" s="578" t="n"/>
      <c r="H37" s="578" t="n"/>
      <c r="I37" s="578" t="n"/>
      <c r="J37" s="578" t="n"/>
      <c r="K37" s="578" t="n"/>
      <c r="L37" s="578" t="n"/>
      <c r="M37" s="578" t="n"/>
      <c r="N37" s="578" t="n"/>
      <c r="O37" s="578" t="n"/>
      <c r="P37" s="578" t="n"/>
      <c r="Q37" s="189" t="n"/>
      <c r="R37" s="11" t="n"/>
    </row>
    <row r="38">
      <c r="A38" s="10" t="n"/>
      <c r="B38" s="769" t="inlineStr">
        <is>
          <t>Görünüş</t>
        </is>
      </c>
      <c r="C38" s="130" t="n"/>
      <c r="D38" s="242" t="n"/>
      <c r="E38" s="876" t="inlineStr">
        <is>
          <t>AÇIK SARI</t>
        </is>
      </c>
      <c r="F38" s="130" t="n"/>
      <c r="G38" s="130" t="n"/>
      <c r="H38" s="130" t="n"/>
      <c r="I38" s="130" t="n"/>
      <c r="J38" s="130" t="n"/>
      <c r="K38" s="130" t="n"/>
      <c r="L38" s="130" t="n"/>
      <c r="M38" s="130" t="n"/>
      <c r="N38" s="130" t="n"/>
      <c r="O38" s="130" t="n"/>
      <c r="P38" s="130" t="n"/>
      <c r="Q38" s="242" t="n"/>
      <c r="R38" s="11" t="n"/>
    </row>
    <row r="39" ht="15.6" customHeight="1" s="718">
      <c r="A39" s="10" t="n"/>
      <c r="B39" s="877" t="inlineStr">
        <is>
          <t>KULLANILAN CİHAZLARA AİT BİLGİLER</t>
        </is>
      </c>
      <c r="Q39" s="360" t="n"/>
      <c r="R39" s="11" t="n"/>
    </row>
    <row r="40">
      <c r="A40" s="10" t="n"/>
      <c r="B40" s="3" t="n"/>
      <c r="C40" s="775" t="inlineStr">
        <is>
          <t>SA-60 DİELEKTRİK DAYANIM TEST CİHAZI</t>
        </is>
      </c>
      <c r="Q40" s="202" t="n"/>
      <c r="R40" s="11" t="n"/>
    </row>
    <row r="41" ht="15" customHeight="1" s="718">
      <c r="A41" s="10" t="n"/>
      <c r="B41" s="75" t="n"/>
      <c r="C41" s="784" t="inlineStr">
        <is>
          <t>SERİ NO: 97142  KAL. NO: 537602 / TARİH: 27.05.2025</t>
        </is>
      </c>
      <c r="Q41" s="77" t="n"/>
      <c r="R41" s="11" t="n"/>
    </row>
    <row r="42">
      <c r="A42" s="10" t="n"/>
      <c r="B42" s="3" t="n"/>
      <c r="C42" s="775" t="inlineStr">
        <is>
          <t>MEZÜR</t>
        </is>
      </c>
      <c r="Q42" s="202" t="n"/>
      <c r="R42" s="11" t="n"/>
    </row>
    <row r="43">
      <c r="A43" s="10" t="n"/>
      <c r="B43" s="56" t="n"/>
      <c r="C43" s="775" t="inlineStr">
        <is>
          <t>KAL. NO: 389202 / TARİH: 16.04.2025</t>
        </is>
      </c>
      <c r="Q43" s="202" t="n"/>
      <c r="R43" s="11" t="n"/>
    </row>
    <row r="44">
      <c r="A44" s="10" t="n"/>
      <c r="B44" s="56" t="n"/>
      <c r="C44" s="775" t="inlineStr">
        <is>
          <t>DENSİMETRE</t>
        </is>
      </c>
      <c r="Q44" s="310" t="n"/>
      <c r="R44" s="11" t="n"/>
    </row>
    <row r="45">
      <c r="A45" s="10" t="n"/>
      <c r="B45" s="56" t="n"/>
      <c r="C45" s="775" t="inlineStr">
        <is>
          <t>KAL.NO: 389201 / TARİH:  17.04.2025</t>
        </is>
      </c>
      <c r="Q45" s="310" t="n"/>
      <c r="R45" s="11" t="n"/>
    </row>
    <row r="46">
      <c r="A46" s="10" t="n"/>
      <c r="B46" s="485" t="n"/>
      <c r="C46" s="776" t="inlineStr">
        <is>
          <t>COU-LO AQUAMAX KF Moisture Meter</t>
        </is>
      </c>
      <c r="D46" s="139" t="n"/>
      <c r="E46" s="139" t="n"/>
      <c r="F46" s="139" t="n"/>
      <c r="G46" s="139" t="n"/>
      <c r="H46" s="139" t="n"/>
      <c r="I46" s="139" t="n"/>
      <c r="J46" s="139" t="n"/>
      <c r="K46" s="139" t="n"/>
      <c r="L46" s="139" t="n"/>
      <c r="M46" s="139" t="n"/>
      <c r="N46" s="139" t="n"/>
      <c r="O46" s="139" t="n"/>
      <c r="P46" s="139" t="n"/>
      <c r="Q46" s="487" t="n"/>
      <c r="R46" s="11" t="n"/>
    </row>
    <row r="47" ht="15.75" customHeight="1" s="718">
      <c r="A47" s="10" t="n"/>
      <c r="B47" s="878" t="inlineStr">
        <is>
          <t>Sonuç : Yapılan ölçümler sonucu izolasyon yağının test değerleri uygun bulunmuştur.</t>
        </is>
      </c>
      <c r="C47" s="70" t="n"/>
      <c r="D47" s="70" t="n"/>
      <c r="E47" s="70" t="n"/>
      <c r="F47" s="70" t="n"/>
      <c r="G47" s="70" t="n"/>
      <c r="H47" s="70" t="n"/>
      <c r="I47" s="70" t="n"/>
      <c r="J47" s="70" t="n"/>
      <c r="K47" s="70" t="n"/>
      <c r="L47" s="70" t="n"/>
      <c r="M47" s="70" t="n"/>
      <c r="N47" s="70" t="n"/>
      <c r="O47" s="70" t="n"/>
      <c r="P47" s="70" t="n"/>
      <c r="Q47" s="359" t="n"/>
      <c r="R47" s="11" t="n"/>
    </row>
    <row r="48" ht="15" customHeight="1" s="718">
      <c r="A48" s="10" t="n"/>
      <c r="B48" s="85" t="n"/>
      <c r="Q48" s="360" t="n"/>
      <c r="R48" s="11" t="n"/>
    </row>
    <row r="49" ht="15" customHeight="1" s="718">
      <c r="A49" s="10" t="n"/>
      <c r="B49" s="85" t="n"/>
      <c r="Q49" s="360" t="n"/>
      <c r="R49" s="11" t="n"/>
    </row>
    <row r="50" ht="15" customHeight="1" s="718">
      <c r="A50" s="10" t="n"/>
      <c r="B50" s="85" t="n"/>
      <c r="Q50" s="360" t="n"/>
      <c r="R50" s="11" t="n"/>
    </row>
    <row r="51">
      <c r="A51" s="10" t="n"/>
      <c r="B51" s="311" t="inlineStr">
        <is>
          <t>Not:</t>
        </is>
      </c>
      <c r="C51" s="774" t="inlineStr">
        <is>
          <t>Yağ örneği firmamız çalışanları tarafından alınmıştır.</t>
        </is>
      </c>
      <c r="D51" s="139" t="n"/>
      <c r="E51" s="139" t="n"/>
      <c r="F51" s="139" t="n"/>
      <c r="G51" s="139" t="n"/>
      <c r="H51" s="139" t="n"/>
      <c r="I51" s="139" t="n"/>
      <c r="J51" s="139" t="n"/>
      <c r="K51" s="139" t="n"/>
      <c r="L51" s="139" t="n"/>
      <c r="M51" s="139" t="n"/>
      <c r="N51" s="139" t="n"/>
      <c r="O51" s="139" t="n"/>
      <c r="P51" s="139" t="n"/>
      <c r="Q51" s="361" t="n"/>
      <c r="R51" s="11" t="n"/>
    </row>
    <row r="52" ht="22.5" customHeight="1" s="718">
      <c r="A52" s="10" t="n"/>
      <c r="B52" s="511" t="inlineStr">
        <is>
          <t>UNVAN</t>
        </is>
      </c>
      <c r="C52" s="70" t="n"/>
      <c r="D52" s="70" t="n"/>
      <c r="E52" s="328" t="inlineStr">
        <is>
          <t>:</t>
        </is>
      </c>
      <c r="F52" s="521">
        <f>'ANA SAYFA'!F80:J80</f>
        <v/>
      </c>
      <c r="G52" s="70" t="n"/>
      <c r="H52" s="70" t="n"/>
      <c r="I52" s="359" t="n"/>
      <c r="J52" s="811" t="inlineStr">
        <is>
          <t>ONAYLAYAN</t>
        </is>
      </c>
      <c r="K52" s="130" t="n"/>
      <c r="L52" s="130" t="n"/>
      <c r="M52" s="130" t="n"/>
      <c r="N52" s="130" t="n"/>
      <c r="O52" s="130" t="n"/>
      <c r="P52" s="130" t="n"/>
      <c r="Q52" s="242" t="n"/>
      <c r="R52" s="11" t="n"/>
    </row>
    <row r="53" ht="22.5" customHeight="1" s="718">
      <c r="A53" s="10" t="n"/>
      <c r="B53" s="511" t="inlineStr">
        <is>
          <t>TEST TARİHİ</t>
        </is>
      </c>
      <c r="C53" s="70" t="n"/>
      <c r="D53" s="70" t="n"/>
      <c r="E53" s="328" t="inlineStr">
        <is>
          <t>:</t>
        </is>
      </c>
      <c r="F53" s="829">
        <f>'ANA SAYFA'!F79:J79+1</f>
        <v/>
      </c>
      <c r="G53" s="70" t="n"/>
      <c r="H53" s="70" t="n"/>
      <c r="I53" s="359" t="n"/>
      <c r="J53" s="75" t="n"/>
      <c r="K53" s="76" t="n"/>
      <c r="L53" s="191" t="n"/>
      <c r="M53" s="191" t="n"/>
      <c r="N53" s="191" t="n"/>
      <c r="O53" s="191" t="n"/>
      <c r="P53" s="191" t="n"/>
      <c r="Q53" s="193" t="n"/>
      <c r="R53" s="11" t="n"/>
    </row>
    <row r="54" ht="22.5" customHeight="1" s="718">
      <c r="A54" s="10" t="n"/>
      <c r="B54" s="508" t="inlineStr">
        <is>
          <t>ODA SİCİL NO</t>
        </is>
      </c>
      <c r="C54" s="130" t="n"/>
      <c r="D54" s="130" t="n"/>
      <c r="E54" s="564" t="inlineStr">
        <is>
          <t>:</t>
        </is>
      </c>
      <c r="F54" s="565">
        <f>'ANA SAYFA'!F81:J81</f>
        <v/>
      </c>
      <c r="G54" s="70" t="n"/>
      <c r="H54" s="70" t="n"/>
      <c r="I54" s="359" t="n"/>
      <c r="J54" s="75" t="n"/>
      <c r="K54" s="76" t="n"/>
      <c r="L54" s="191" t="n"/>
      <c r="M54" s="191" t="n"/>
      <c r="N54" s="191" t="n"/>
      <c r="O54" s="191" t="n"/>
      <c r="P54" s="191" t="n"/>
      <c r="Q54" s="193" t="n"/>
      <c r="R54" s="11" t="n"/>
    </row>
    <row r="55" ht="22.5" customHeight="1" s="718">
      <c r="A55" s="10" t="n"/>
      <c r="B55" s="508" t="inlineStr">
        <is>
          <t>EKİPNET NO</t>
        </is>
      </c>
      <c r="C55" s="130" t="n"/>
      <c r="D55" s="130" t="n"/>
      <c r="E55" s="509" t="inlineStr">
        <is>
          <t>:</t>
        </is>
      </c>
      <c r="F55" s="510">
        <f>'ANA SAYFA'!F82:J82</f>
        <v/>
      </c>
      <c r="G55" s="130" t="n"/>
      <c r="H55" s="130" t="n"/>
      <c r="I55" s="242" t="n"/>
      <c r="J55" s="352" t="n"/>
      <c r="K55" s="197" t="n"/>
      <c r="L55" s="197" t="n"/>
      <c r="M55" s="197" t="n"/>
      <c r="N55" s="197" t="n"/>
      <c r="O55" s="197" t="n"/>
      <c r="P55" s="197" t="n"/>
      <c r="Q55" s="194" t="n"/>
      <c r="R55" s="11" t="n"/>
    </row>
    <row r="56" ht="12" customHeight="1" s="718"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04">
    <mergeCell ref="D20:E20"/>
    <mergeCell ref="K32:M32"/>
    <mergeCell ref="N20:O20"/>
    <mergeCell ref="F16:G16"/>
    <mergeCell ref="K24:L24"/>
    <mergeCell ref="N34:Q34"/>
    <mergeCell ref="B22:C22"/>
    <mergeCell ref="B53:D53"/>
    <mergeCell ref="D22:E22"/>
    <mergeCell ref="B47:Q50"/>
    <mergeCell ref="N22:O22"/>
    <mergeCell ref="C45:P45"/>
    <mergeCell ref="K26:L26"/>
    <mergeCell ref="B34:D34"/>
    <mergeCell ref="N36:Q36"/>
    <mergeCell ref="F53:I53"/>
    <mergeCell ref="I8:K8"/>
    <mergeCell ref="B30:D30"/>
    <mergeCell ref="C40:P40"/>
    <mergeCell ref="E5:K5"/>
    <mergeCell ref="H30:J30"/>
    <mergeCell ref="B10:I10"/>
    <mergeCell ref="K34:M34"/>
    <mergeCell ref="B54:D54"/>
    <mergeCell ref="B24:C24"/>
    <mergeCell ref="D24:E24"/>
    <mergeCell ref="K36:M36"/>
    <mergeCell ref="N24:O24"/>
    <mergeCell ref="J2:Q2"/>
    <mergeCell ref="B26:C26"/>
    <mergeCell ref="D26:E26"/>
    <mergeCell ref="N26:O26"/>
    <mergeCell ref="B16:C16"/>
    <mergeCell ref="N16:O16"/>
    <mergeCell ref="F52:I52"/>
    <mergeCell ref="C42:P42"/>
    <mergeCell ref="L8:N8"/>
    <mergeCell ref="E30:G30"/>
    <mergeCell ref="B18:C18"/>
    <mergeCell ref="G7:H7"/>
    <mergeCell ref="F20:G20"/>
    <mergeCell ref="F18:G18"/>
    <mergeCell ref="F54:I54"/>
    <mergeCell ref="C44:P44"/>
    <mergeCell ref="E32:G32"/>
    <mergeCell ref="B36:D36"/>
    <mergeCell ref="B5:D5"/>
    <mergeCell ref="C46:P46"/>
    <mergeCell ref="O7:Q7"/>
    <mergeCell ref="F28:G28"/>
    <mergeCell ref="K16:L16"/>
    <mergeCell ref="B7:C7"/>
    <mergeCell ref="G2:H2"/>
    <mergeCell ref="E34:G34"/>
    <mergeCell ref="J10:Q10"/>
    <mergeCell ref="D7:F7"/>
    <mergeCell ref="H32:J32"/>
    <mergeCell ref="E36:G36"/>
    <mergeCell ref="O5:P5"/>
    <mergeCell ref="N18:O18"/>
    <mergeCell ref="D8:F8"/>
    <mergeCell ref="N32:Q32"/>
    <mergeCell ref="H16:I16"/>
    <mergeCell ref="B28:C28"/>
    <mergeCell ref="D28:E28"/>
    <mergeCell ref="F22:G22"/>
    <mergeCell ref="H22:I22"/>
    <mergeCell ref="E38:Q38"/>
    <mergeCell ref="B20:C20"/>
    <mergeCell ref="H34:J34"/>
    <mergeCell ref="K18:L18"/>
    <mergeCell ref="I7:K7"/>
    <mergeCell ref="H20:I20"/>
    <mergeCell ref="H36:J36"/>
    <mergeCell ref="L5:N5"/>
    <mergeCell ref="N30:Q30"/>
    <mergeCell ref="G8:H8"/>
    <mergeCell ref="B38:D38"/>
    <mergeCell ref="F24:G24"/>
    <mergeCell ref="C51:Q51"/>
    <mergeCell ref="K20:L20"/>
    <mergeCell ref="C41:P41"/>
    <mergeCell ref="O8:Q8"/>
    <mergeCell ref="F26:G26"/>
    <mergeCell ref="B55:D55"/>
    <mergeCell ref="K22:L22"/>
    <mergeCell ref="G3:H3"/>
    <mergeCell ref="B8:C8"/>
    <mergeCell ref="D16:E16"/>
    <mergeCell ref="C43:P43"/>
    <mergeCell ref="B32:D32"/>
    <mergeCell ref="F55:I55"/>
    <mergeCell ref="B12:Q12"/>
    <mergeCell ref="D18:E18"/>
    <mergeCell ref="B39:Q39"/>
    <mergeCell ref="K30:M30"/>
    <mergeCell ref="L7:N7"/>
    <mergeCell ref="B14:Q14"/>
    <mergeCell ref="J3:Q3"/>
    <mergeCell ref="H24:I24"/>
    <mergeCell ref="H18:I18"/>
    <mergeCell ref="B52:D52"/>
    <mergeCell ref="J52:Q52"/>
    <mergeCell ref="H26:I26"/>
  </mergeCells>
  <conditionalFormatting sqref="E38:Q38">
    <cfRule type="cellIs" priority="1" operator="equal" dxfId="5">
      <formula>"KOYU KAHVERENGİ"</formula>
    </cfRule>
    <cfRule type="cellIs" priority="2" operator="equal" dxfId="4">
      <formula>"KAHVERENGİ"</formula>
    </cfRule>
    <cfRule type="cellIs" priority="3" operator="equal" dxfId="3">
      <formula>"AÇIK KAHVERENGİ"</formula>
    </cfRule>
    <cfRule type="cellIs" priority="4" operator="equal" dxfId="2">
      <formula>"KOYU SARI"</formula>
    </cfRule>
    <cfRule type="cellIs" priority="5" operator="equal" dxfId="1">
      <formula>"AÇIK SARI"</formula>
    </cfRule>
    <cfRule type="cellIs" priority="6" operator="equal" dxfId="0">
      <formula>"SARI"</formula>
    </cfRule>
  </conditionalFormatting>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Z56"/>
  <sheetViews>
    <sheetView workbookViewId="0">
      <selection activeCell="V22" sqref="V22"/>
    </sheetView>
  </sheetViews>
  <sheetFormatPr baseColWidth="8" defaultColWidth="9.109375" defaultRowHeight="14.4"/>
  <cols>
    <col width="2.88671875" customWidth="1" style="718" min="1" max="1"/>
    <col width="5.44140625" customWidth="1" style="718" min="2" max="16"/>
    <col width="6.44140625" customWidth="1" style="718" min="17" max="17"/>
    <col width="2.88671875" customWidth="1" style="718" min="18" max="18"/>
    <col width="9.109375" customWidth="1" style="718" min="19" max="16384"/>
  </cols>
  <sheetData>
    <row r="1" ht="11.25" customHeight="1" s="718">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61" t="n"/>
      <c r="G2" s="458" t="inlineStr">
        <is>
          <t xml:space="preserve">  ŞALT SAHASI          </t>
        </is>
      </c>
      <c r="H2" s="70" t="n"/>
      <c r="I2" s="276" t="inlineStr">
        <is>
          <t>:</t>
        </is>
      </c>
      <c r="J2" s="749">
        <f>'KAPAK SAYFASI'!D9</f>
        <v/>
      </c>
      <c r="K2" s="70" t="n"/>
      <c r="L2" s="70" t="n"/>
      <c r="M2" s="70" t="n"/>
      <c r="N2" s="70" t="n"/>
      <c r="O2" s="70" t="n"/>
      <c r="P2" s="70" t="n"/>
      <c r="Q2" s="359" t="n"/>
      <c r="R2" s="11" t="n"/>
    </row>
    <row r="3" ht="29.25" customHeight="1" s="718">
      <c r="A3" s="10" t="n"/>
      <c r="B3" s="62" t="n"/>
      <c r="C3" s="139" t="n"/>
      <c r="D3" s="139" t="n"/>
      <c r="E3" s="139" t="n"/>
      <c r="F3" s="64" t="n"/>
      <c r="G3" s="544" t="inlineStr">
        <is>
          <t xml:space="preserve">  LOKASYON</t>
        </is>
      </c>
      <c r="H3" s="139" t="n"/>
      <c r="I3" s="696" t="inlineStr">
        <is>
          <t>:</t>
        </is>
      </c>
      <c r="J3" s="549">
        <f>'KAPAK SAYFASI'!D11</f>
        <v/>
      </c>
      <c r="K3" s="139" t="n"/>
      <c r="L3" s="139" t="n"/>
      <c r="M3" s="139" t="n"/>
      <c r="N3" s="139" t="n"/>
      <c r="O3" s="139" t="n"/>
      <c r="P3" s="139" t="n"/>
      <c r="Q3" s="361" t="n"/>
      <c r="R3" s="11" t="n"/>
    </row>
    <row r="4" ht="10.5" customHeight="1" s="718">
      <c r="A4" s="10" t="n"/>
      <c r="B4" s="44" t="n"/>
      <c r="C4" s="45" t="n"/>
      <c r="D4" s="45" t="n"/>
      <c r="E4" s="45" t="n"/>
      <c r="F4" s="45" t="n"/>
      <c r="G4" s="45" t="n"/>
      <c r="H4" s="45" t="n"/>
      <c r="I4" s="45" t="n"/>
      <c r="J4" s="45" t="n"/>
      <c r="K4" s="45" t="n"/>
      <c r="L4" s="45" t="n"/>
      <c r="M4" s="45" t="n"/>
      <c r="N4" s="45" t="n"/>
      <c r="O4" s="45" t="n"/>
      <c r="P4" s="45" t="n"/>
      <c r="Q4" s="46" t="n"/>
      <c r="R4" s="11" t="n"/>
    </row>
    <row r="5" ht="18" customHeight="1" s="718">
      <c r="A5" s="10" t="n"/>
      <c r="B5" s="792" t="n"/>
      <c r="C5" s="70" t="n"/>
      <c r="D5" s="70" t="n"/>
      <c r="E5" s="794" t="n"/>
      <c r="F5" s="70" t="n"/>
      <c r="G5" s="70" t="n"/>
      <c r="H5" s="70" t="n"/>
      <c r="I5" s="70" t="n"/>
      <c r="J5" s="70" t="n"/>
      <c r="K5" s="70" t="n"/>
      <c r="L5" s="795" t="n"/>
      <c r="M5" s="70" t="n"/>
      <c r="N5" s="70" t="n"/>
      <c r="O5" s="796" t="n"/>
      <c r="P5" s="70" t="n"/>
      <c r="Q5" s="337" t="n"/>
      <c r="R5" s="11" t="n"/>
    </row>
    <row r="6" ht="6.75" customHeight="1" s="718">
      <c r="A6" s="10" t="n"/>
      <c r="B6" s="338" t="n"/>
      <c r="C6" s="339" t="n"/>
      <c r="D6" s="339" t="n"/>
      <c r="E6" s="339" t="n"/>
      <c r="F6" s="339" t="n"/>
      <c r="G6" s="339" t="n"/>
      <c r="H6" s="339" t="n"/>
      <c r="I6" s="339" t="n"/>
      <c r="J6" s="339" t="n"/>
      <c r="K6" s="339" t="n"/>
      <c r="L6" s="339" t="n"/>
      <c r="M6" s="339" t="n"/>
      <c r="N6" s="339" t="n"/>
      <c r="O6" s="339" t="n"/>
      <c r="P6" s="339" t="n"/>
      <c r="Q6" s="340" t="n"/>
      <c r="R6" s="11" t="n"/>
    </row>
    <row r="7" ht="15" customHeight="1" s="718">
      <c r="A7" s="10" t="n"/>
      <c r="B7" s="347" t="n"/>
      <c r="C7" s="348" t="n"/>
      <c r="D7" s="348" t="n"/>
      <c r="E7" s="348" t="n"/>
      <c r="F7" s="348" t="n"/>
      <c r="G7" s="348" t="n"/>
      <c r="H7" s="348" t="n"/>
      <c r="I7" s="348" t="n"/>
      <c r="J7" s="348" t="n"/>
      <c r="K7" s="348" t="n"/>
      <c r="L7" s="348" t="n"/>
      <c r="M7" s="348" t="n"/>
      <c r="N7" s="348" t="n"/>
      <c r="O7" s="348" t="n"/>
      <c r="P7" s="348" t="n"/>
      <c r="Q7" s="349" t="n"/>
      <c r="R7" s="11" t="n"/>
    </row>
    <row r="8">
      <c r="A8" s="10" t="n"/>
      <c r="B8" s="879" t="inlineStr">
        <is>
          <t>FİRMA YETKİLİLERİNİN DİKKATİNE</t>
        </is>
      </c>
      <c r="Q8" s="360" t="n"/>
      <c r="R8" s="11" t="n"/>
    </row>
    <row r="9" ht="6.75" customHeight="1" s="718">
      <c r="A9" s="10" t="n"/>
      <c r="B9" s="85" t="n"/>
      <c r="Q9" s="360" t="n"/>
      <c r="R9" s="11" t="n"/>
    </row>
    <row r="10" ht="18.75" customHeight="1" s="718">
      <c r="A10" s="10" t="n"/>
      <c r="B10" s="880" t="inlineStr">
        <is>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360" t="n"/>
      <c r="R10" s="11" t="n"/>
    </row>
    <row r="11" hidden="1" ht="6.75" customHeight="1" s="718">
      <c r="A11" s="10" t="n"/>
      <c r="B11" s="85" t="n"/>
      <c r="Q11" s="360" t="n"/>
      <c r="R11" s="11" t="n"/>
      <c r="T11" t="n">
        <v>30</v>
      </c>
    </row>
    <row r="12" ht="18.75" customHeight="1" s="718">
      <c r="A12" s="10" t="n"/>
      <c r="B12" s="85" t="n"/>
      <c r="Q12" s="360" t="n"/>
      <c r="R12" s="11" t="n"/>
    </row>
    <row r="13" ht="7.5" customHeight="1" s="718">
      <c r="A13" s="10" t="n"/>
      <c r="B13" s="85" t="n"/>
      <c r="Q13" s="360" t="n"/>
      <c r="R13" s="11" t="n"/>
    </row>
    <row r="14" ht="18.75" customHeight="1" s="718">
      <c r="A14" s="10" t="n"/>
      <c r="B14" s="85" t="n"/>
      <c r="Q14" s="360" t="n"/>
      <c r="R14" s="11" t="n"/>
    </row>
    <row r="15" ht="9.75" customHeight="1" s="718">
      <c r="A15" s="10" t="n"/>
      <c r="B15" s="85" t="n"/>
      <c r="Q15" s="360" t="n"/>
      <c r="R15" s="11" t="n"/>
    </row>
    <row r="16" ht="16.5" customHeight="1" s="718">
      <c r="A16" s="10" t="n"/>
      <c r="B16" s="85" t="n"/>
      <c r="Q16" s="360" t="n"/>
      <c r="R16" s="11" t="n"/>
    </row>
    <row r="17" ht="9.75" customHeight="1" s="718">
      <c r="A17" s="10" t="n"/>
      <c r="B17" s="85" t="n"/>
      <c r="Q17" s="360" t="n"/>
      <c r="R17" s="11" t="n"/>
    </row>
    <row r="18" ht="16.5" customHeight="1" s="718">
      <c r="A18" s="10" t="n"/>
      <c r="B18" s="85" t="n"/>
      <c r="Q18" s="360" t="n"/>
      <c r="R18" s="11" t="n"/>
    </row>
    <row r="19" ht="9.75" customHeight="1" s="718">
      <c r="A19" s="10" t="n"/>
      <c r="B19" s="85" t="n"/>
      <c r="Q19" s="360" t="n"/>
      <c r="R19" s="11" t="n"/>
    </row>
    <row r="20" ht="16.5" customHeight="1" s="718">
      <c r="A20" s="10" t="n"/>
      <c r="B20" s="85" t="n"/>
      <c r="Q20" s="360" t="n"/>
      <c r="R20" s="11" t="n"/>
      <c r="W20" s="180" t="n">
        <v>30</v>
      </c>
    </row>
    <row r="21" ht="9.75" customHeight="1" s="718">
      <c r="A21" s="10" t="n"/>
      <c r="B21" s="85" t="n"/>
      <c r="Q21" s="360" t="n"/>
      <c r="R21" s="11" t="n"/>
    </row>
    <row r="22" ht="16.5" customHeight="1" s="718">
      <c r="A22" s="10" t="n"/>
      <c r="B22" s="85" t="n"/>
      <c r="Q22" s="360" t="n"/>
      <c r="R22" s="11" t="n"/>
    </row>
    <row r="23" ht="9.75" customHeight="1" s="718">
      <c r="A23" s="10" t="n"/>
      <c r="B23" s="85" t="n"/>
      <c r="Q23" s="360" t="n"/>
      <c r="R23" s="11" t="n"/>
    </row>
    <row r="24" ht="16.5" customHeight="1" s="718">
      <c r="A24" s="10" t="n"/>
      <c r="B24" s="85" t="n"/>
      <c r="Q24" s="360" t="n"/>
      <c r="R24" s="11" t="n"/>
    </row>
    <row r="25" ht="9.75" customHeight="1" s="718">
      <c r="A25" s="10" t="n"/>
      <c r="B25" s="85" t="n"/>
      <c r="Q25" s="360" t="n"/>
      <c r="R25" s="11" t="n"/>
    </row>
    <row r="26" ht="16.5" customHeight="1" s="718">
      <c r="A26" s="10" t="n"/>
      <c r="B26" s="85" t="n"/>
      <c r="Q26" s="360" t="n"/>
      <c r="R26" s="11" t="n"/>
    </row>
    <row r="27" ht="9.75" customHeight="1" s="718">
      <c r="A27" s="10" t="n"/>
      <c r="B27" s="85" t="n"/>
      <c r="Q27" s="360" t="n"/>
      <c r="R27" s="11" t="n"/>
    </row>
    <row r="28" ht="16.5" customHeight="1" s="718">
      <c r="A28" s="10" t="n"/>
      <c r="B28" s="85" t="n"/>
      <c r="Q28" s="360" t="n"/>
      <c r="R28" s="11" t="n"/>
    </row>
    <row r="29">
      <c r="A29" s="10" t="n"/>
      <c r="B29" s="85" t="n"/>
      <c r="Q29" s="360" t="n"/>
      <c r="R29" s="11" t="n"/>
    </row>
    <row r="30">
      <c r="A30" s="10" t="n"/>
      <c r="B30" s="85" t="n"/>
      <c r="Q30" s="360" t="n"/>
      <c r="R30" s="11" t="n"/>
    </row>
    <row r="31" ht="6" customHeight="1" s="718">
      <c r="A31" s="10" t="n"/>
      <c r="B31" s="85" t="n"/>
      <c r="Q31" s="360" t="n"/>
      <c r="R31" s="11" t="n"/>
    </row>
    <row r="32">
      <c r="A32" s="10" t="n"/>
      <c r="B32" s="85" t="n"/>
      <c r="Q32" s="360" t="n"/>
      <c r="R32" s="11" t="n"/>
    </row>
    <row r="33" ht="6" customHeight="1" s="718">
      <c r="A33" s="10" t="n"/>
      <c r="B33" s="85" t="n"/>
      <c r="Q33" s="360" t="n"/>
      <c r="R33" s="11" t="n"/>
    </row>
    <row r="34" ht="15" customHeight="1" s="718">
      <c r="A34" s="10" t="n"/>
      <c r="B34" s="85" t="n"/>
      <c r="Q34" s="360" t="n"/>
      <c r="R34" s="11" t="n"/>
    </row>
    <row r="35" ht="6" customHeight="1" s="718">
      <c r="A35" s="10" t="n"/>
      <c r="B35" s="85" t="n"/>
      <c r="Q35" s="360" t="n"/>
      <c r="R35" s="11" t="n"/>
    </row>
    <row r="36">
      <c r="A36" s="10" t="n"/>
      <c r="B36" s="85" t="n"/>
      <c r="Q36" s="360" t="n"/>
      <c r="R36" s="11" t="n"/>
      <c r="Z36" s="188" t="n"/>
    </row>
    <row r="37" ht="6" customHeight="1" s="718">
      <c r="A37" s="10" t="n"/>
      <c r="B37" s="85" t="n"/>
      <c r="Q37" s="360" t="n"/>
      <c r="R37" s="11" t="n"/>
    </row>
    <row r="38">
      <c r="A38" s="10" t="n"/>
      <c r="B38" s="85" t="n"/>
      <c r="Q38" s="360" t="n"/>
      <c r="R38" s="11" t="n"/>
    </row>
    <row r="39" ht="15.75" customHeight="1" s="718">
      <c r="A39" s="10" t="n"/>
      <c r="B39" s="85" t="n"/>
      <c r="Q39" s="360" t="n"/>
      <c r="R39" s="11" t="n"/>
    </row>
    <row r="40">
      <c r="A40" s="10" t="n"/>
      <c r="B40" s="85" t="n"/>
      <c r="Q40" s="360" t="n"/>
      <c r="R40" s="11" t="n"/>
    </row>
    <row r="41" ht="15" customHeight="1" s="718">
      <c r="A41" s="10" t="n"/>
      <c r="B41" s="85" t="n"/>
      <c r="Q41" s="360" t="n"/>
      <c r="R41" s="11" t="n"/>
    </row>
    <row r="42">
      <c r="A42" s="10" t="n"/>
      <c r="B42" s="85" t="n"/>
      <c r="Q42" s="360" t="n"/>
      <c r="R42" s="11" t="n"/>
    </row>
    <row r="43">
      <c r="A43" s="10" t="n"/>
      <c r="B43" s="85" t="n"/>
      <c r="Q43" s="360" t="n"/>
      <c r="R43" s="11" t="n"/>
    </row>
    <row r="44">
      <c r="A44" s="10" t="n"/>
      <c r="B44" s="85" t="n"/>
      <c r="Q44" s="360" t="n"/>
      <c r="R44" s="11" t="n"/>
    </row>
    <row r="45">
      <c r="A45" s="10" t="n"/>
      <c r="B45" s="85" t="n"/>
      <c r="Q45" s="360" t="n"/>
      <c r="R45" s="11" t="n"/>
    </row>
    <row r="46">
      <c r="A46" s="10" t="n"/>
      <c r="B46" s="85" t="n"/>
      <c r="Q46" s="360" t="n"/>
      <c r="R46" s="11" t="n"/>
    </row>
    <row r="47" ht="15.75" customHeight="1" s="718">
      <c r="A47" s="10" t="n"/>
      <c r="B47" s="85" t="n"/>
      <c r="Q47" s="360" t="n"/>
      <c r="R47" s="11" t="n"/>
    </row>
    <row r="48" ht="15" customHeight="1" s="718">
      <c r="A48" s="10" t="n"/>
      <c r="B48" s="350" t="n"/>
      <c r="C48" s="348" t="n"/>
      <c r="D48" s="348" t="n"/>
      <c r="E48" s="348" t="n"/>
      <c r="F48" s="348" t="n"/>
      <c r="G48" s="348" t="n"/>
      <c r="H48" s="348" t="n"/>
      <c r="I48" s="348" t="n"/>
      <c r="J48" s="348" t="n"/>
      <c r="K48" s="348" t="n"/>
      <c r="L48" s="348" t="n"/>
      <c r="M48" s="348" t="n"/>
      <c r="N48" s="348" t="n"/>
      <c r="O48" s="348" t="n"/>
      <c r="P48" s="348" t="n"/>
      <c r="Q48" s="349" t="n"/>
      <c r="R48" s="11" t="n"/>
    </row>
    <row r="49" ht="15" customHeight="1" s="718">
      <c r="A49" s="10" t="n"/>
      <c r="B49" s="350" t="n"/>
      <c r="C49" s="348" t="n"/>
      <c r="D49" s="348" t="n"/>
      <c r="E49" s="348" t="n"/>
      <c r="F49" s="348" t="n"/>
      <c r="G49" s="348" t="n"/>
      <c r="H49" s="348" t="n"/>
      <c r="I49" s="348" t="n"/>
      <c r="J49" s="348" t="n"/>
      <c r="K49" s="348" t="n"/>
      <c r="L49" s="348" t="n"/>
      <c r="M49" s="348" t="n"/>
      <c r="N49" s="348" t="n"/>
      <c r="O49" s="348" t="n"/>
      <c r="P49" s="348" t="n"/>
      <c r="Q49" s="349" t="n"/>
      <c r="R49" s="11" t="n"/>
    </row>
    <row r="50" ht="15" customHeight="1" s="718">
      <c r="A50" s="10" t="n"/>
      <c r="B50" s="341" t="n"/>
      <c r="C50" s="342" t="n"/>
      <c r="D50" s="342" t="n"/>
      <c r="E50" s="342" t="n"/>
      <c r="F50" s="342" t="n"/>
      <c r="G50" s="342" t="n"/>
      <c r="H50" s="342" t="n"/>
      <c r="I50" s="342" t="n"/>
      <c r="J50" s="342" t="n"/>
      <c r="K50" s="342" t="n"/>
      <c r="L50" s="342" t="n"/>
      <c r="M50" s="342" t="n"/>
      <c r="N50" s="342" t="n"/>
      <c r="O50" s="342" t="n"/>
      <c r="P50" s="342" t="n"/>
      <c r="Q50" s="343" t="n"/>
      <c r="R50" s="11" t="n"/>
    </row>
    <row r="51">
      <c r="A51" s="10" t="n"/>
      <c r="B51" s="344" t="n"/>
      <c r="C51" s="345" t="n"/>
      <c r="D51" s="345" t="n"/>
      <c r="E51" s="345" t="n"/>
      <c r="F51" s="345" t="n"/>
      <c r="G51" s="345" t="n"/>
      <c r="H51" s="345" t="n"/>
      <c r="I51" s="345" t="n"/>
      <c r="J51" s="345" t="n"/>
      <c r="K51" s="345" t="n"/>
      <c r="L51" s="345" t="n"/>
      <c r="M51" s="345" t="n"/>
      <c r="N51" s="345" t="n"/>
      <c r="O51" s="345" t="n"/>
      <c r="P51" s="345" t="n"/>
      <c r="Q51" s="346" t="n"/>
      <c r="R51" s="11" t="n"/>
    </row>
    <row r="52" ht="22.5" customHeight="1" s="718">
      <c r="A52" s="10" t="n"/>
      <c r="B52" s="804" t="inlineStr">
        <is>
          <t>UNVAN</t>
        </is>
      </c>
      <c r="E52" s="191" t="inlineStr">
        <is>
          <t>:</t>
        </is>
      </c>
      <c r="F52" s="807">
        <f>'ANA SAYFA'!F80:J80</f>
        <v/>
      </c>
      <c r="I52" s="360" t="n"/>
      <c r="J52" s="811" t="inlineStr">
        <is>
          <t>ONAYLAYAN</t>
        </is>
      </c>
      <c r="K52" s="130" t="n"/>
      <c r="L52" s="130" t="n"/>
      <c r="M52" s="130" t="n"/>
      <c r="N52" s="130" t="n"/>
      <c r="O52" s="130" t="n"/>
      <c r="P52" s="130" t="n"/>
      <c r="Q52" s="242" t="n"/>
      <c r="R52" s="11" t="n"/>
    </row>
    <row r="53" ht="22.5" customHeight="1" s="718">
      <c r="A53" s="10" t="n"/>
      <c r="B53" s="511" t="inlineStr">
        <is>
          <t>TEST TARİHİ</t>
        </is>
      </c>
      <c r="C53" s="70" t="n"/>
      <c r="D53" s="70" t="n"/>
      <c r="E53" s="328" t="inlineStr">
        <is>
          <t>:</t>
        </is>
      </c>
      <c r="F53" s="829">
        <f>'ANA SAYFA'!F79</f>
        <v/>
      </c>
      <c r="G53" s="70" t="n"/>
      <c r="H53" s="70" t="n"/>
      <c r="I53" s="359" t="n"/>
      <c r="J53" s="75" t="n"/>
      <c r="K53" s="76" t="n"/>
      <c r="L53" s="191" t="n"/>
      <c r="M53" s="191" t="n"/>
      <c r="N53" s="191" t="n"/>
      <c r="O53" s="191" t="n"/>
      <c r="P53" s="191" t="n"/>
      <c r="Q53" s="193" t="n"/>
      <c r="R53" s="11" t="n"/>
    </row>
    <row r="54" ht="22.5" customHeight="1" s="718">
      <c r="A54" s="10" t="n"/>
      <c r="B54" s="508" t="inlineStr">
        <is>
          <t>ODA SİCİL NO</t>
        </is>
      </c>
      <c r="C54" s="130" t="n"/>
      <c r="D54" s="130" t="n"/>
      <c r="E54" s="564" t="inlineStr">
        <is>
          <t>:</t>
        </is>
      </c>
      <c r="F54" s="565">
        <f>'ANA SAYFA'!F81:J81</f>
        <v/>
      </c>
      <c r="G54" s="70" t="n"/>
      <c r="H54" s="70" t="n"/>
      <c r="I54" s="359" t="n"/>
      <c r="J54" s="75" t="n"/>
      <c r="K54" s="76" t="n"/>
      <c r="L54" s="191" t="n"/>
      <c r="M54" s="191" t="n"/>
      <c r="N54" s="191" t="n"/>
      <c r="O54" s="191" t="n"/>
      <c r="P54" s="191" t="n"/>
      <c r="Q54" s="193" t="n"/>
      <c r="R54" s="11" t="n"/>
    </row>
    <row r="55" ht="22.5" customHeight="1" s="718">
      <c r="A55" s="10" t="n"/>
      <c r="B55" s="508" t="inlineStr">
        <is>
          <t>EKİPNET NO</t>
        </is>
      </c>
      <c r="C55" s="130" t="n"/>
      <c r="D55" s="130" t="n"/>
      <c r="E55" s="509" t="inlineStr">
        <is>
          <t>:</t>
        </is>
      </c>
      <c r="F55" s="510">
        <f>'ANA SAYFA'!F82:J82</f>
        <v/>
      </c>
      <c r="G55" s="130" t="n"/>
      <c r="H55" s="130" t="n"/>
      <c r="I55" s="242" t="n"/>
      <c r="J55" s="352" t="n"/>
      <c r="K55" s="197" t="n"/>
      <c r="L55" s="197" t="n"/>
      <c r="M55" s="197" t="n"/>
      <c r="N55" s="197" t="n"/>
      <c r="O55" s="197" t="n"/>
      <c r="P55" s="197" t="n"/>
      <c r="Q55" s="194" t="n"/>
      <c r="R55" s="11" t="n"/>
    </row>
    <row r="56" ht="12" customHeight="1" s="718"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9">
    <mergeCell ref="B10:Q47"/>
    <mergeCell ref="G2:H2"/>
    <mergeCell ref="L5:N5"/>
    <mergeCell ref="F52:I52"/>
    <mergeCell ref="B53:D53"/>
    <mergeCell ref="B8:Q9"/>
    <mergeCell ref="F53:I53"/>
    <mergeCell ref="O5:P5"/>
    <mergeCell ref="F54:I54"/>
    <mergeCell ref="B55:D55"/>
    <mergeCell ref="G3:H3"/>
    <mergeCell ref="E5:K5"/>
    <mergeCell ref="B5:D5"/>
    <mergeCell ref="F55:I55"/>
    <mergeCell ref="B54:D54"/>
    <mergeCell ref="J3:Q3"/>
    <mergeCell ref="J2:Q2"/>
    <mergeCell ref="B52:D52"/>
    <mergeCell ref="J52:Q52"/>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2026-08-12T08:58:17Z</dcterms:modified>
</cp:coreProperties>
</file>